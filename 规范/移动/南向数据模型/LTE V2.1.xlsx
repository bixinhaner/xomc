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codeName="ThisWorkbook"/>
  <bookViews>
    <workbookView xWindow="0" yWindow="0" windowWidth="9530" windowHeight="11020" tabRatio="737" firstSheet="1" activeTab="1"/>
  </bookViews>
  <sheets>
    <sheet name="设备参数数据表" sheetId="1" state="hidden" r:id="rId1"/>
    <sheet name="修订历史" sheetId="33" r:id="rId2"/>
    <sheet name="封面" sheetId="2" state="hidden" r:id="rId3"/>
    <sheet name="目录" sheetId="34" r:id="rId4"/>
    <sheet name="SA" sheetId="3" r:id="rId5"/>
    <sheet name="SB" sheetId="24" r:id="rId6"/>
    <sheet name="SC" sheetId="4" r:id="rId7"/>
    <sheet name="SD" sheetId="18" r:id="rId8"/>
    <sheet name="SE" sheetId="7" r:id="rId9"/>
    <sheet name="SF" sheetId="12" r:id="rId10"/>
    <sheet name="SG" sheetId="17" r:id="rId11"/>
    <sheet name="SH" sheetId="20" r:id="rId12"/>
    <sheet name="SI" sheetId="35" r:id="rId13"/>
    <sheet name="SJ" sheetId="15" r:id="rId14"/>
    <sheet name="SK" sheetId="32" r:id="rId15"/>
    <sheet name="SL" sheetId="26" r:id="rId16"/>
    <sheet name="SM" sheetId="25" r:id="rId17"/>
    <sheet name="SN" sheetId="8" r:id="rId18"/>
    <sheet name="SO" sheetId="10" r:id="rId19"/>
    <sheet name="SP" sheetId="6" r:id="rId20"/>
    <sheet name="SQ" sheetId="5" r:id="rId21"/>
    <sheet name="SR" sheetId="37" r:id="rId22"/>
    <sheet name="多实例参数Object个数读写属性" sheetId="36" r:id="rId23"/>
  </sheets>
  <definedNames>
    <definedName name="_xlnm._FilterDatabase" localSheetId="7" hidden="1">SD!$A$1:$KU$56</definedName>
    <definedName name="_xlnm._FilterDatabase" localSheetId="13" hidden="1">SJ!$A$1:$M$328</definedName>
    <definedName name="_xlnm._FilterDatabase" localSheetId="14" hidden="1">SK!$A$1:$AK$25</definedName>
    <definedName name="_xlnm._FilterDatabase" localSheetId="0" hidden="1">设备参数数据表!$A$2:$M$72</definedName>
    <definedName name="_Toc375818453" localSheetId="4">SA!$D$4</definedName>
    <definedName name="_Toc375818454" localSheetId="4">SA!$D$5</definedName>
    <definedName name="_Toc375818456" localSheetId="4">SA!#REF!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5725"/>
</workbook>
</file>

<file path=xl/calcChain.xml><?xml version="1.0" encoding="utf-8"?>
<calcChain xmlns="http://schemas.openxmlformats.org/spreadsheetml/2006/main">
  <c r="H19" i="34"/>
  <c r="G19"/>
  <c r="F19"/>
  <c r="E19"/>
  <c r="D19"/>
  <c r="H18"/>
  <c r="G18"/>
  <c r="F18"/>
  <c r="E18"/>
  <c r="D18"/>
  <c r="H17"/>
  <c r="G17"/>
  <c r="F17"/>
  <c r="E17"/>
  <c r="D17"/>
  <c r="H16"/>
  <c r="G16"/>
  <c r="F16"/>
  <c r="E16"/>
  <c r="D16"/>
  <c r="H15"/>
  <c r="G15"/>
  <c r="F15"/>
  <c r="E15"/>
  <c r="D15"/>
  <c r="H14"/>
  <c r="G14"/>
  <c r="F14"/>
  <c r="E14"/>
  <c r="D14"/>
  <c r="H13"/>
  <c r="G13"/>
  <c r="F13"/>
  <c r="E13"/>
  <c r="D13"/>
  <c r="H12"/>
  <c r="G12"/>
  <c r="F12"/>
  <c r="E12"/>
  <c r="D12"/>
  <c r="H11"/>
  <c r="G11"/>
  <c r="F11"/>
  <c r="E11"/>
  <c r="D11"/>
  <c r="H10"/>
  <c r="G10"/>
  <c r="F10"/>
  <c r="E10"/>
  <c r="D10"/>
  <c r="H9"/>
  <c r="G9"/>
  <c r="F9"/>
  <c r="E9"/>
  <c r="D9"/>
  <c r="H8"/>
  <c r="G8"/>
  <c r="F8"/>
  <c r="E8"/>
  <c r="D8"/>
  <c r="H7"/>
  <c r="G7"/>
  <c r="F7"/>
  <c r="E7"/>
  <c r="D7"/>
  <c r="H6"/>
  <c r="G6"/>
  <c r="F6"/>
  <c r="E6"/>
  <c r="D6"/>
  <c r="G5"/>
  <c r="G20" s="1"/>
  <c r="F5"/>
  <c r="F20" s="1"/>
  <c r="E5"/>
  <c r="E20" s="1"/>
  <c r="D5"/>
  <c r="D20" s="1"/>
  <c r="H4"/>
  <c r="G4"/>
  <c r="F4"/>
  <c r="E4"/>
  <c r="D4"/>
  <c r="H3"/>
  <c r="G3"/>
  <c r="F3"/>
  <c r="E3"/>
  <c r="D3"/>
  <c r="H2"/>
  <c r="G2"/>
  <c r="F2"/>
  <c r="E2"/>
  <c r="D2"/>
  <c r="H5" l="1"/>
  <c r="H20" s="1"/>
</calcChain>
</file>

<file path=xl/sharedStrings.xml><?xml version="1.0" encoding="utf-8"?>
<sst xmlns="http://schemas.openxmlformats.org/spreadsheetml/2006/main" count="7679" uniqueCount="3321">
  <si>
    <t>分类</t>
  </si>
  <si>
    <t>节点</t>
  </si>
  <si>
    <t>英文名称</t>
  </si>
  <si>
    <t>中文名称</t>
  </si>
  <si>
    <t>取值范围</t>
  </si>
  <si>
    <t>默认值</t>
  </si>
  <si>
    <t>类型</t>
  </si>
  <si>
    <t>OAM读写权限</t>
  </si>
  <si>
    <t>网管读写权限</t>
  </si>
  <si>
    <t>前置条件</t>
  </si>
  <si>
    <t>后置影响</t>
  </si>
  <si>
    <t>注意事项</t>
  </si>
  <si>
    <t>规范/厂家定义</t>
  </si>
  <si>
    <t>OAM/专业/系统</t>
  </si>
  <si>
    <t>专业</t>
  </si>
  <si>
    <t>（包括单位）</t>
  </si>
  <si>
    <t>专业写</t>
  </si>
  <si>
    <t>OAM/系统写</t>
  </si>
  <si>
    <t>专业/算法/系统</t>
  </si>
  <si>
    <t>填写参数的功能描述和特殊注意事项</t>
  </si>
  <si>
    <t>网管信息参数表</t>
  </si>
  <si>
    <t>IuhIpAddr</t>
  </si>
  <si>
    <t>AU板iuh口IP</t>
  </si>
  <si>
    <t>String(20)</t>
  </si>
  <si>
    <t>RW</t>
  </si>
  <si>
    <r>
      <rPr>
        <sz val="16"/>
        <color indexed="8"/>
        <rFont val="Times New Roman"/>
        <family val="1"/>
      </rPr>
      <t>AU</t>
    </r>
    <r>
      <rPr>
        <sz val="16"/>
        <color indexed="8"/>
        <rFont val="楷体_GB2312"/>
        <charset val="134"/>
      </rPr>
      <t>板</t>
    </r>
    <r>
      <rPr>
        <sz val="16"/>
        <color indexed="8"/>
        <rFont val="Times New Roman"/>
        <family val="1"/>
      </rPr>
      <t>iuh</t>
    </r>
    <r>
      <rPr>
        <sz val="16"/>
        <color indexed="8"/>
        <rFont val="楷体_GB2312"/>
        <charset val="134"/>
      </rPr>
      <t>口</t>
    </r>
    <r>
      <rPr>
        <sz val="16"/>
        <color indexed="8"/>
        <rFont val="Times New Roman"/>
        <family val="1"/>
      </rPr>
      <t>IP</t>
    </r>
    <r>
      <rPr>
        <sz val="16"/>
        <color indexed="8"/>
        <rFont val="楷体_GB2312"/>
        <charset val="134"/>
      </rPr>
      <t>，</t>
    </r>
    <r>
      <rPr>
        <sz val="16"/>
        <color indexed="8"/>
        <rFont val="Times New Roman"/>
        <family val="1"/>
      </rPr>
      <t>IP</t>
    </r>
    <r>
      <rPr>
        <sz val="16"/>
        <color indexed="8"/>
        <rFont val="楷体_GB2312"/>
        <charset val="134"/>
      </rPr>
      <t>协议层所使用的</t>
    </r>
    <r>
      <rPr>
        <sz val="16"/>
        <color indexed="8"/>
        <rFont val="Times New Roman"/>
        <family val="1"/>
      </rPr>
      <t>IP</t>
    </r>
    <r>
      <rPr>
        <sz val="16"/>
        <color indexed="8"/>
        <rFont val="楷体_GB2312"/>
        <charset val="134"/>
      </rPr>
      <t>。</t>
    </r>
  </si>
  <si>
    <t>IuhPort</t>
  </si>
  <si>
    <t>AU板iuh口port</t>
  </si>
  <si>
    <t>unsignedInt</t>
  </si>
  <si>
    <r>
      <rPr>
        <sz val="16"/>
        <color indexed="8"/>
        <rFont val="Times New Roman"/>
        <family val="1"/>
      </rPr>
      <t>AU</t>
    </r>
    <r>
      <rPr>
        <sz val="16"/>
        <color indexed="8"/>
        <rFont val="楷体_GB2312"/>
        <charset val="134"/>
      </rPr>
      <t>板</t>
    </r>
    <r>
      <rPr>
        <sz val="16"/>
        <color indexed="8"/>
        <rFont val="Times New Roman"/>
        <family val="1"/>
      </rPr>
      <t>iuh</t>
    </r>
    <r>
      <rPr>
        <sz val="16"/>
        <color indexed="8"/>
        <rFont val="楷体_GB2312"/>
        <charset val="134"/>
      </rPr>
      <t>口</t>
    </r>
    <r>
      <rPr>
        <sz val="16"/>
        <color indexed="8"/>
        <rFont val="Times New Roman"/>
        <family val="1"/>
      </rPr>
      <t>port</t>
    </r>
    <r>
      <rPr>
        <sz val="16"/>
        <color indexed="8"/>
        <rFont val="楷体_GB2312"/>
        <charset val="134"/>
      </rPr>
      <t>。</t>
    </r>
  </si>
  <si>
    <t>不在网管上显示</t>
  </si>
  <si>
    <t>SrcIpAddr</t>
  </si>
  <si>
    <t>AU板上层源ip</t>
  </si>
  <si>
    <t>String</t>
  </si>
  <si>
    <r>
      <rPr>
        <sz val="16"/>
        <color indexed="8"/>
        <rFont val="Times New Roman"/>
        <family val="1"/>
      </rPr>
      <t>AU</t>
    </r>
    <r>
      <rPr>
        <sz val="16"/>
        <color indexed="8"/>
        <rFont val="楷体_GB2312"/>
        <charset val="134"/>
      </rPr>
      <t>板上层源</t>
    </r>
    <r>
      <rPr>
        <sz val="16"/>
        <color indexed="8"/>
        <rFont val="Times New Roman"/>
        <family val="1"/>
      </rPr>
      <t>ip</t>
    </r>
    <r>
      <rPr>
        <sz val="16"/>
        <color indexed="8"/>
        <rFont val="楷体_GB2312"/>
        <charset val="134"/>
      </rPr>
      <t>。未有用到。</t>
    </r>
  </si>
  <si>
    <t>SrcPort</t>
  </si>
  <si>
    <t>AU板上层源port</t>
  </si>
  <si>
    <r>
      <rPr>
        <sz val="16"/>
        <color indexed="8"/>
        <rFont val="Times New Roman"/>
        <family val="1"/>
      </rPr>
      <t>AU</t>
    </r>
    <r>
      <rPr>
        <sz val="16"/>
        <color indexed="8"/>
        <rFont val="楷体_GB2312"/>
        <charset val="134"/>
      </rPr>
      <t>板上层源</t>
    </r>
    <r>
      <rPr>
        <sz val="16"/>
        <color indexed="8"/>
        <rFont val="Times New Roman"/>
        <family val="1"/>
      </rPr>
      <t>port</t>
    </r>
    <r>
      <rPr>
        <sz val="16"/>
        <color indexed="8"/>
        <rFont val="楷体_GB2312"/>
        <charset val="134"/>
      </rPr>
      <t>，未有用到。</t>
    </r>
  </si>
  <si>
    <t>FapAddr1</t>
  </si>
  <si>
    <t>GU网关ip</t>
  </si>
  <si>
    <r>
      <rPr>
        <sz val="16"/>
        <color indexed="8"/>
        <rFont val="Times New Roman"/>
        <family val="1"/>
      </rPr>
      <t>GU</t>
    </r>
    <r>
      <rPr>
        <sz val="16"/>
        <color indexed="8"/>
        <rFont val="楷体_GB2312"/>
        <charset val="134"/>
      </rPr>
      <t>网关</t>
    </r>
    <r>
      <rPr>
        <sz val="16"/>
        <color indexed="8"/>
        <rFont val="Times New Roman"/>
        <family val="1"/>
      </rPr>
      <t xml:space="preserve">ip </t>
    </r>
    <r>
      <rPr>
        <sz val="16"/>
        <color indexed="8"/>
        <rFont val="楷体_GB2312"/>
        <charset val="134"/>
      </rPr>
      <t>一</t>
    </r>
  </si>
  <si>
    <t>FapAddr2</t>
  </si>
  <si>
    <r>
      <rPr>
        <sz val="16"/>
        <color indexed="8"/>
        <rFont val="Times New Roman"/>
        <family val="1"/>
      </rPr>
      <t>GU</t>
    </r>
    <r>
      <rPr>
        <sz val="16"/>
        <color indexed="8"/>
        <rFont val="楷体_GB2312"/>
        <charset val="134"/>
      </rPr>
      <t>网关</t>
    </r>
    <r>
      <rPr>
        <sz val="16"/>
        <color indexed="8"/>
        <rFont val="Times New Roman"/>
        <family val="1"/>
      </rPr>
      <t xml:space="preserve">ip </t>
    </r>
    <r>
      <rPr>
        <sz val="16"/>
        <color indexed="8"/>
        <rFont val="楷体_GB2312"/>
        <charset val="134"/>
      </rPr>
      <t>二（未有用到）</t>
    </r>
  </si>
  <si>
    <t>FapAddr3</t>
  </si>
  <si>
    <r>
      <rPr>
        <sz val="16"/>
        <color indexed="8"/>
        <rFont val="Times New Roman"/>
        <family val="1"/>
      </rPr>
      <t>GU</t>
    </r>
    <r>
      <rPr>
        <sz val="16"/>
        <color indexed="8"/>
        <rFont val="楷体_GB2312"/>
        <charset val="134"/>
      </rPr>
      <t>网关</t>
    </r>
    <r>
      <rPr>
        <sz val="16"/>
        <color indexed="8"/>
        <rFont val="Times New Roman"/>
        <family val="1"/>
      </rPr>
      <t xml:space="preserve">ip </t>
    </r>
    <r>
      <rPr>
        <sz val="16"/>
        <color indexed="8"/>
        <rFont val="楷体_GB2312"/>
        <charset val="134"/>
      </rPr>
      <t>三（未有用到）</t>
    </r>
  </si>
  <si>
    <t>SecIpAddr1</t>
  </si>
  <si>
    <t>安全网关ip1</t>
  </si>
  <si>
    <r>
      <rPr>
        <sz val="16"/>
        <color indexed="8"/>
        <rFont val="楷体_GB2312"/>
        <charset val="134"/>
      </rPr>
      <t>安全网关</t>
    </r>
    <r>
      <rPr>
        <sz val="16"/>
        <color indexed="8"/>
        <rFont val="Times New Roman"/>
        <family val="1"/>
      </rPr>
      <t>ip</t>
    </r>
    <r>
      <rPr>
        <sz val="16"/>
        <color indexed="8"/>
        <rFont val="楷体_GB2312"/>
        <charset val="134"/>
      </rPr>
      <t>一。</t>
    </r>
  </si>
  <si>
    <t>SecIpAddr2</t>
  </si>
  <si>
    <t>安全网关ip2</t>
  </si>
  <si>
    <r>
      <rPr>
        <sz val="16"/>
        <color indexed="8"/>
        <rFont val="楷体_GB2312"/>
        <charset val="134"/>
      </rPr>
      <t>安全网关</t>
    </r>
    <r>
      <rPr>
        <sz val="16"/>
        <color indexed="8"/>
        <rFont val="Times New Roman"/>
        <family val="1"/>
      </rPr>
      <t>ip</t>
    </r>
    <r>
      <rPr>
        <sz val="16"/>
        <color indexed="8"/>
        <rFont val="楷体_GB2312"/>
        <charset val="134"/>
      </rPr>
      <t>二（未有用到）</t>
    </r>
  </si>
  <si>
    <t>SecIpAddr3</t>
  </si>
  <si>
    <t>安全网关ip3</t>
  </si>
  <si>
    <r>
      <rPr>
        <sz val="16"/>
        <color indexed="8"/>
        <rFont val="楷体_GB2312"/>
        <charset val="134"/>
      </rPr>
      <t>安全网关</t>
    </r>
    <r>
      <rPr>
        <sz val="16"/>
        <color indexed="8"/>
        <rFont val="Times New Roman"/>
        <family val="1"/>
      </rPr>
      <t>ip</t>
    </r>
    <r>
      <rPr>
        <sz val="16"/>
        <color indexed="8"/>
        <rFont val="楷体_GB2312"/>
        <charset val="134"/>
      </rPr>
      <t>三（未有用到）</t>
    </r>
  </si>
  <si>
    <t>Seckey</t>
  </si>
  <si>
    <t>安全网关建立密钥</t>
  </si>
  <si>
    <t>String(64)</t>
  </si>
  <si>
    <t>R</t>
  </si>
  <si>
    <t>SecUseImsi</t>
  </si>
  <si>
    <t>建立安全网关imsi</t>
  </si>
  <si>
    <t>String(16)</t>
  </si>
  <si>
    <r>
      <rPr>
        <sz val="16"/>
        <color indexed="8"/>
        <rFont val="楷体_GB2312"/>
        <charset val="134"/>
      </rPr>
      <t>建立安全网关</t>
    </r>
    <r>
      <rPr>
        <sz val="16"/>
        <color indexed="8"/>
        <rFont val="Times New Roman"/>
        <family val="1"/>
      </rPr>
      <t>imsi</t>
    </r>
  </si>
  <si>
    <t>FapPort</t>
  </si>
  <si>
    <t>GU网关port</t>
  </si>
  <si>
    <t>0~4294967295</t>
  </si>
  <si>
    <t>29169</t>
  </si>
  <si>
    <r>
      <rPr>
        <sz val="16"/>
        <color indexed="8"/>
        <rFont val="Times New Roman"/>
        <family val="1"/>
      </rPr>
      <t>GU</t>
    </r>
    <r>
      <rPr>
        <sz val="16"/>
        <color indexed="8"/>
        <rFont val="楷体_GB2312"/>
        <charset val="134"/>
      </rPr>
      <t>网关</t>
    </r>
    <r>
      <rPr>
        <sz val="16"/>
        <color indexed="8"/>
        <rFont val="Times New Roman"/>
        <family val="1"/>
      </rPr>
      <t>port</t>
    </r>
    <r>
      <rPr>
        <sz val="16"/>
        <color indexed="8"/>
        <rFont val="楷体_GB2312"/>
        <charset val="134"/>
      </rPr>
      <t>。</t>
    </r>
  </si>
  <si>
    <t>IpSecStartAllowedInd</t>
  </si>
  <si>
    <t>IPSec是否启动开关</t>
  </si>
  <si>
    <t>true、false</t>
  </si>
  <si>
    <t>true</t>
  </si>
  <si>
    <t>boolean</t>
  </si>
  <si>
    <t xml:space="preserve">IpSec开关。
取值false：关闭Ipsec功能
取值true：打开Ipsec功能
</t>
  </si>
  <si>
    <t>IpSecRekeyTime</t>
  </si>
  <si>
    <t>ipSec rekey时间</t>
  </si>
  <si>
    <t>0~4294967295(分钟）</t>
  </si>
  <si>
    <t>80000</t>
  </si>
  <si>
    <r>
      <rPr>
        <sz val="16"/>
        <color indexed="8"/>
        <rFont val="Times New Roman"/>
        <family val="1"/>
      </rPr>
      <t>IpSec</t>
    </r>
    <r>
      <rPr>
        <sz val="16"/>
        <color indexed="8"/>
        <rFont val="楷体_GB2312"/>
        <charset val="134"/>
      </rPr>
      <t>重协商时间。单位：分钟</t>
    </r>
  </si>
  <si>
    <t>IpSecSaLifetime</t>
  </si>
  <si>
    <t>IPSec SA的生命周期</t>
  </si>
  <si>
    <t>0~4294967295（秒）</t>
  </si>
  <si>
    <t>30</t>
  </si>
  <si>
    <t>IPSec SA的生命周期。单位：秒</t>
  </si>
  <si>
    <t>IpSecLivenessTimeInterval</t>
  </si>
  <si>
    <t>liveness时间间隔</t>
  </si>
  <si>
    <r>
      <rPr>
        <sz val="16"/>
        <color indexed="8"/>
        <rFont val="Times New Roman"/>
        <family val="1"/>
      </rPr>
      <t>liveness</t>
    </r>
    <r>
      <rPr>
        <sz val="16"/>
        <color indexed="8"/>
        <rFont val="楷体_GB2312"/>
        <charset val="134"/>
      </rPr>
      <t>时间间隔。</t>
    </r>
  </si>
  <si>
    <t>FapPcSocketIpAddr</t>
  </si>
  <si>
    <t>调试日志放置设备IP</t>
  </si>
  <si>
    <r>
      <rPr>
        <sz val="16"/>
        <color indexed="8"/>
        <rFont val="楷体_GB2312"/>
        <charset val="134"/>
      </rPr>
      <t>调试日志放置设备</t>
    </r>
    <r>
      <rPr>
        <sz val="16"/>
        <color indexed="8"/>
        <rFont val="Times New Roman"/>
        <family val="1"/>
      </rPr>
      <t>IP</t>
    </r>
    <r>
      <rPr>
        <sz val="16"/>
        <color indexed="8"/>
        <rFont val="楷体_GB2312"/>
        <charset val="134"/>
      </rPr>
      <t>（调试电脑）</t>
    </r>
  </si>
  <si>
    <t>FapPcSocketPort</t>
  </si>
  <si>
    <t>调试日志放置设备端口</t>
  </si>
  <si>
    <t>调试日志放置设备端口（调试电脑）</t>
  </si>
  <si>
    <t>RealIpAddrToPing</t>
  </si>
  <si>
    <t>用于ping功能的真实站点IpAddr</t>
  </si>
  <si>
    <r>
      <rPr>
        <sz val="16"/>
        <color indexed="8"/>
        <rFont val="楷体_GB2312"/>
        <charset val="134"/>
      </rPr>
      <t>用于</t>
    </r>
    <r>
      <rPr>
        <sz val="16"/>
        <color indexed="8"/>
        <rFont val="Times New Roman"/>
        <family val="1"/>
      </rPr>
      <t>ping</t>
    </r>
    <r>
      <rPr>
        <sz val="16"/>
        <color indexed="8"/>
        <rFont val="楷体_GB2312"/>
        <charset val="134"/>
      </rPr>
      <t>功能的真实站点</t>
    </r>
    <r>
      <rPr>
        <sz val="16"/>
        <color indexed="8"/>
        <rFont val="Times New Roman"/>
        <family val="1"/>
      </rPr>
      <t>IpAddr</t>
    </r>
  </si>
  <si>
    <t>GateWaySupported</t>
  </si>
  <si>
    <t>指示当前所要连接的网关能力</t>
  </si>
  <si>
    <t xml:space="preserve">用于指示当前所要连接的网关能力
取值0：网关支持E1+Surf
取值1：网关支持STM-1+ATCA9100
取值2：网关支持AoIP
</t>
  </si>
  <si>
    <t>Mode</t>
  </si>
  <si>
    <r>
      <rPr>
        <sz val="16"/>
        <color indexed="8"/>
        <rFont val="宋体"/>
        <family val="3"/>
        <charset val="134"/>
      </rPr>
      <t>认证模式</t>
    </r>
  </si>
  <si>
    <t>0~2</t>
  </si>
  <si>
    <t>int</t>
  </si>
  <si>
    <r>
      <rPr>
        <sz val="16"/>
        <color indexed="8"/>
        <rFont val="Times New Roman"/>
        <family val="1"/>
      </rPr>
      <t>mode</t>
    </r>
    <r>
      <rPr>
        <sz val="16"/>
        <color indexed="8"/>
        <rFont val="宋体"/>
        <family val="3"/>
        <charset val="134"/>
      </rPr>
      <t>为</t>
    </r>
    <r>
      <rPr>
        <sz val="16"/>
        <color indexed="8"/>
        <rFont val="Times New Roman"/>
        <family val="1"/>
      </rPr>
      <t>0,</t>
    </r>
    <r>
      <rPr>
        <sz val="16"/>
        <color indexed="8"/>
        <rFont val="宋体"/>
        <family val="3"/>
        <charset val="134"/>
      </rPr>
      <t>为</t>
    </r>
    <r>
      <rPr>
        <sz val="16"/>
        <color indexed="8"/>
        <rFont val="Times New Roman"/>
        <family val="1"/>
      </rPr>
      <t>PSK</t>
    </r>
    <r>
      <rPr>
        <sz val="16"/>
        <color indexed="8"/>
        <rFont val="宋体"/>
        <family val="3"/>
        <charset val="134"/>
      </rPr>
      <t>认证，</t>
    </r>
    <r>
      <rPr>
        <sz val="16"/>
        <color indexed="8"/>
        <rFont val="Times New Roman"/>
        <family val="1"/>
      </rPr>
      <t>mode</t>
    </r>
    <r>
      <rPr>
        <sz val="16"/>
        <color indexed="8"/>
        <rFont val="宋体"/>
        <family val="3"/>
        <charset val="134"/>
      </rPr>
      <t>为</t>
    </r>
    <r>
      <rPr>
        <sz val="16"/>
        <color indexed="8"/>
        <rFont val="Times New Roman"/>
        <family val="1"/>
      </rPr>
      <t>1</t>
    </r>
    <r>
      <rPr>
        <sz val="16"/>
        <color indexed="8"/>
        <rFont val="宋体"/>
        <family val="3"/>
        <charset val="134"/>
      </rPr>
      <t>为</t>
    </r>
    <r>
      <rPr>
        <sz val="16"/>
        <color indexed="8"/>
        <rFont val="Times New Roman"/>
        <family val="1"/>
      </rPr>
      <t>usim</t>
    </r>
    <r>
      <rPr>
        <sz val="16"/>
        <color indexed="8"/>
        <rFont val="宋体"/>
        <family val="3"/>
        <charset val="134"/>
      </rPr>
      <t>卡认证，</t>
    </r>
    <r>
      <rPr>
        <sz val="16"/>
        <color indexed="8"/>
        <rFont val="Times New Roman"/>
        <family val="1"/>
      </rPr>
      <t>mode</t>
    </r>
    <r>
      <rPr>
        <sz val="16"/>
        <color indexed="8"/>
        <rFont val="宋体"/>
        <family val="3"/>
        <charset val="134"/>
      </rPr>
      <t>为</t>
    </r>
    <r>
      <rPr>
        <sz val="16"/>
        <color indexed="8"/>
        <rFont val="Times New Roman"/>
        <family val="1"/>
      </rPr>
      <t>2</t>
    </r>
    <r>
      <rPr>
        <sz val="16"/>
        <color indexed="8"/>
        <rFont val="宋体"/>
        <family val="3"/>
        <charset val="134"/>
      </rPr>
      <t>为</t>
    </r>
    <r>
      <rPr>
        <sz val="16"/>
        <color indexed="8"/>
        <rFont val="Times New Roman"/>
        <family val="1"/>
      </rPr>
      <t>sim</t>
    </r>
    <r>
      <rPr>
        <sz val="16"/>
        <color indexed="8"/>
        <rFont val="宋体"/>
        <family val="3"/>
        <charset val="134"/>
      </rPr>
      <t>卡证（预留），</t>
    </r>
    <r>
      <rPr>
        <sz val="16"/>
        <color indexed="8"/>
        <rFont val="Times New Roman"/>
        <family val="1"/>
      </rPr>
      <t>-1</t>
    </r>
    <r>
      <rPr>
        <sz val="16"/>
        <color indexed="8"/>
        <rFont val="宋体"/>
        <family val="3"/>
        <charset val="134"/>
      </rPr>
      <t>为非法值，</t>
    </r>
    <r>
      <rPr>
        <sz val="16"/>
        <color indexed="8"/>
        <rFont val="Times New Roman"/>
        <family val="1"/>
      </rPr>
      <t>mode</t>
    </r>
    <r>
      <rPr>
        <sz val="16"/>
        <color indexed="8"/>
        <rFont val="宋体"/>
        <family val="3"/>
        <charset val="134"/>
      </rPr>
      <t>为其它值暂时保留</t>
    </r>
  </si>
  <si>
    <t>公共参数表</t>
  </si>
  <si>
    <t>AuId</t>
  </si>
  <si>
    <t>AU注册是使用的基站Id</t>
  </si>
  <si>
    <t>0~65535</t>
  </si>
  <si>
    <t xml:space="preserve">AU注册是使用的基站Id。
取值范围：0~65535
</t>
  </si>
  <si>
    <t>A50</t>
  </si>
  <si>
    <t>是否支持A5_0类型加密</t>
  </si>
  <si>
    <t xml:space="preserve">物理层是否支持A5_0类型加密。
取值false：不支持
取值true：支持
</t>
  </si>
  <si>
    <t>A51</t>
  </si>
  <si>
    <t>是否支持A5_1类型加密</t>
  </si>
  <si>
    <t xml:space="preserve">物理层是否支持A5_1类型加密。
取值false：不支持
取值true：支持
</t>
  </si>
  <si>
    <t>A52</t>
  </si>
  <si>
    <t>是否支持A5_2类型加密</t>
  </si>
  <si>
    <t xml:space="preserve">物理层是否支持A5_2类型加密。
取值false：不支持
取值true：支持
</t>
  </si>
  <si>
    <t>A53</t>
  </si>
  <si>
    <t>是否支持A5_3类型加密</t>
  </si>
  <si>
    <t xml:space="preserve">物理层是否支持A5_3类型加密。
取值false：不支持
取值true：支持
</t>
  </si>
  <si>
    <t>A54</t>
  </si>
  <si>
    <t>是否支持A5_4类型加密</t>
  </si>
  <si>
    <t>false</t>
  </si>
  <si>
    <t xml:space="preserve">物理层是否支持A5_4类型加密。
取值false：不支持
取值true：支持
</t>
  </si>
  <si>
    <t>A55</t>
  </si>
  <si>
    <t>是否支持A5_5类型加密</t>
  </si>
  <si>
    <t xml:space="preserve">物理层是否支持A5_5类型加密。
取值false：不支持
取值true：支持
</t>
  </si>
  <si>
    <t>A56</t>
  </si>
  <si>
    <t>是否支持A5_6类型加密</t>
  </si>
  <si>
    <t xml:space="preserve">物理层是否支持A5_6类型加密。
取值false：不支持
取值true：支持
</t>
  </si>
  <si>
    <t>A57</t>
  </si>
  <si>
    <t>是否支持A5_7类型加密</t>
  </si>
  <si>
    <t xml:space="preserve">物理层是否支持A5_7类型加密。
取值false：不支持
取值true：支持
</t>
  </si>
  <si>
    <t>AuUserAccessMax</t>
  </si>
  <si>
    <t>户型允许接入的用户数上限</t>
  </si>
  <si>
    <t xml:space="preserve">根据户型允许接入的用户数上限。
该参数上层暂时未有使用，保留。
</t>
  </si>
  <si>
    <t>AuAlowPwrMax</t>
  </si>
  <si>
    <t>户型允许最大发射功率</t>
  </si>
  <si>
    <t xml:space="preserve">根据户型允许最大发射功率
该参数上层暂时未有使用，保留。
</t>
  </si>
  <si>
    <t>LogTotalSize</t>
  </si>
  <si>
    <t>单个日志文件大小</t>
  </si>
  <si>
    <t>0~4294967295(KByte)</t>
  </si>
  <si>
    <t>3*1024</t>
  </si>
  <si>
    <t>日志文件的总大小，以1k Byte为单位</t>
  </si>
  <si>
    <t>LogTxtNumberMax</t>
  </si>
  <si>
    <t>同类型日志文件存储最大文件个数</t>
  </si>
  <si>
    <t xml:space="preserve">同类型日志文件存储最大文件个数。
该参数上层暂时未有使用，保留。
</t>
  </si>
  <si>
    <t>LogOutputLevel</t>
  </si>
  <si>
    <t>日志输出类型</t>
  </si>
  <si>
    <t>0~4</t>
  </si>
  <si>
    <t>1</t>
  </si>
  <si>
    <t xml:space="preserve">日志输出级别。
取值范围：0~4
取值0：DEBUG
取值1：INFO
取值2：TRACE
取值3：WARN
取值4：ERROR
</t>
  </si>
  <si>
    <t>AuProductType</t>
  </si>
  <si>
    <t>Au产品类型</t>
  </si>
  <si>
    <t xml:space="preserve">Au产品类型,取值范围：0~3
取值0：普通型原型机产品
取值1：企业级大容量产品
取值2：企业级eNB 3+1产品
取值3：普通型降成本产品
</t>
  </si>
  <si>
    <t>AuRfWorkBandCapability</t>
  </si>
  <si>
    <r>
      <rPr>
        <sz val="16"/>
        <color indexed="8"/>
        <rFont val="宋体"/>
        <family val="3"/>
        <charset val="134"/>
      </rPr>
      <t>基站射频支持的工作频段能力</t>
    </r>
  </si>
  <si>
    <t>0~3</t>
  </si>
  <si>
    <t>0</t>
  </si>
  <si>
    <t xml:space="preserve">基站射频支持的工作频段能力，取值范围：0~3
取值0：基站支持1800工作频段
取值1：基站支持900工作频段
取值2：基站支持900E工作频段
取值3：基站支持1900工作频段
</t>
  </si>
  <si>
    <t>auRtpMultiplexInd</t>
  </si>
  <si>
    <r>
      <rPr>
        <sz val="16"/>
        <color indexed="8"/>
        <rFont val="宋体"/>
        <family val="3"/>
        <charset val="134"/>
      </rPr>
      <t>基站是否支持</t>
    </r>
    <r>
      <rPr>
        <sz val="16"/>
        <color indexed="8"/>
        <rFont val="Times New Roman"/>
        <family val="1"/>
      </rPr>
      <t>rtp</t>
    </r>
    <r>
      <rPr>
        <sz val="16"/>
        <color indexed="8"/>
        <rFont val="宋体"/>
        <family val="3"/>
        <charset val="134"/>
      </rPr>
      <t>复用</t>
    </r>
  </si>
  <si>
    <t xml:space="preserve">基站是否支持rtp复用
取值范围：0和1
0代表不支持
1代表支持
</t>
  </si>
  <si>
    <t>接入管理</t>
  </si>
  <si>
    <t>AccMode</t>
  </si>
  <si>
    <t>标识AU接入模式</t>
  </si>
  <si>
    <t>2</t>
  </si>
  <si>
    <t xml:space="preserve">标识AU接入模式。
取值范围：0、1、2
取值0：白名单有效；
取值1：是黑名单有效；
取值2：黑白名单都无效
</t>
  </si>
  <si>
    <t>NonCSGAccDecision</t>
  </si>
  <si>
    <t>判断非CSG模式的UE接入</t>
  </si>
  <si>
    <t>CsgMembershipDeterminedLocally</t>
  </si>
  <si>
    <t>判断CSG模式的UE接入</t>
  </si>
  <si>
    <t>HnbIdentifier</t>
  </si>
  <si>
    <r>
      <rPr>
        <sz val="16"/>
        <color indexed="8"/>
        <rFont val="宋体"/>
        <family val="3"/>
        <charset val="134"/>
      </rPr>
      <t>广播</t>
    </r>
    <r>
      <rPr>
        <sz val="16"/>
        <rFont val="Times New Roman"/>
        <family val="1"/>
      </rPr>
      <t>HomeNodeBIdentifier</t>
    </r>
  </si>
  <si>
    <t>HomeZoneName</t>
  </si>
  <si>
    <t>运营商定义的ASCII字符串</t>
  </si>
  <si>
    <t>MaxConcurrentCSGUsers</t>
  </si>
  <si>
    <t>同时接入FAP的CSG可能用户的最大数</t>
  </si>
  <si>
    <t>CsgId</t>
  </si>
  <si>
    <t>封闭用户组的接入控制列表</t>
  </si>
  <si>
    <t>AccessControlList</t>
  </si>
  <si>
    <t>白名单IMSI列表</t>
  </si>
  <si>
    <t>String(1024)</t>
  </si>
  <si>
    <r>
      <rPr>
        <sz val="16"/>
        <color indexed="8"/>
        <rFont val="楷体_GB2312"/>
        <charset val="134"/>
      </rPr>
      <t>接入控制表</t>
    </r>
    <r>
      <rPr>
        <sz val="16"/>
        <color indexed="8"/>
        <rFont val="Times New Roman"/>
        <family val="1"/>
      </rPr>
      <t>ACL.</t>
    </r>
    <r>
      <rPr>
        <sz val="16"/>
        <color indexed="8"/>
        <rFont val="楷体_GB2312"/>
        <charset val="134"/>
      </rPr>
      <t>用逗号分隔的</t>
    </r>
    <r>
      <rPr>
        <sz val="16"/>
        <color indexed="8"/>
        <rFont val="Times New Roman"/>
        <family val="1"/>
      </rPr>
      <t>IMSI</t>
    </r>
    <r>
      <rPr>
        <sz val="16"/>
        <color indexed="8"/>
        <rFont val="楷体_GB2312"/>
        <charset val="134"/>
      </rPr>
      <t>列表</t>
    </r>
    <r>
      <rPr>
        <sz val="16"/>
        <color indexed="8"/>
        <rFont val="Times New Roman"/>
        <family val="1"/>
      </rPr>
      <t>,</t>
    </r>
    <r>
      <rPr>
        <sz val="16"/>
        <color indexed="8"/>
        <rFont val="楷体_GB2312"/>
        <charset val="134"/>
      </rPr>
      <t>每个</t>
    </r>
    <r>
      <rPr>
        <sz val="16"/>
        <color indexed="8"/>
        <rFont val="Times New Roman"/>
        <family val="1"/>
      </rPr>
      <t>IMSI</t>
    </r>
    <r>
      <rPr>
        <sz val="16"/>
        <color indexed="8"/>
        <rFont val="楷体_GB2312"/>
        <charset val="134"/>
      </rPr>
      <t>最多可以有</t>
    </r>
    <r>
      <rPr>
        <sz val="16"/>
        <color indexed="8"/>
        <rFont val="Times New Roman"/>
        <family val="1"/>
      </rPr>
      <t>15</t>
    </r>
    <r>
      <rPr>
        <sz val="16"/>
        <color indexed="8"/>
        <rFont val="楷体_GB2312"/>
        <charset val="134"/>
      </rPr>
      <t>个数字</t>
    </r>
  </si>
  <si>
    <t>BlackControlList</t>
  </si>
  <si>
    <t>黑名单IMSI列表</t>
  </si>
  <si>
    <t>MaxMemberDetailEntries</t>
  </si>
  <si>
    <t>maxMemberDetailEntries</t>
  </si>
  <si>
    <t>MemberDetailNumberOfEntries</t>
  </si>
  <si>
    <t>memberDetailNumberOfEntries</t>
  </si>
  <si>
    <t>UE状态管理参数（欢迎短信）</t>
  </si>
  <si>
    <t>PeriodicUploadEnable</t>
  </si>
  <si>
    <t>周期性上传UE注册信息</t>
  </si>
  <si>
    <t>UploadURL</t>
  </si>
  <si>
    <t>周期上传的URL路径</t>
  </si>
  <si>
    <t>UserName</t>
  </si>
  <si>
    <t>周期上传连接的用户名</t>
  </si>
  <si>
    <t>PassWord</t>
  </si>
  <si>
    <t>周期上传连接的密码</t>
  </si>
  <si>
    <t>PeriodicUploadIntervall</t>
  </si>
  <si>
    <t>周期上传的间隔</t>
  </si>
  <si>
    <t>PeriodicUploadTime</t>
  </si>
  <si>
    <t>周期性上传的时间</t>
  </si>
  <si>
    <t>SmsPeriod</t>
  </si>
  <si>
    <t>欢迎短信发送间隔周期</t>
  </si>
  <si>
    <t>0~72(小时）</t>
  </si>
  <si>
    <t>24</t>
  </si>
  <si>
    <t xml:space="preserve">欢迎短信发送间隔周期，以小时为单位。
取值范围：0~72小时
</t>
  </si>
  <si>
    <t>SendSMSType</t>
  </si>
  <si>
    <t>控制FAP广播短信(是否发送欢迎短信标志)</t>
  </si>
  <si>
    <t xml:space="preserve">是否发送欢迎短信标志，False不发送欢迎短信，欢迎短信开关。
取值true：发送欢迎短信
取值false：不发送欢迎短信
</t>
  </si>
  <si>
    <t>SmsInform</t>
  </si>
  <si>
    <t>FAP广播短信内容</t>
  </si>
  <si>
    <t>String(640)</t>
  </si>
  <si>
    <t>欢迎短信内容，最多140字，2条短信内容，如是符号需用转义字符（如短号用\0表示），遇’\0’结束。</t>
  </si>
  <si>
    <t>SmsSenderNumber</t>
  </si>
  <si>
    <t>短信发送主叫号码</t>
  </si>
  <si>
    <t>String(32)</t>
  </si>
  <si>
    <t>欢迎短信所显示的发送方号码，如10086，遇’\0’结束。</t>
  </si>
  <si>
    <t>将广播HomeNodeBIdentifier，供UE显示</t>
  </si>
  <si>
    <t>家庭区域名称.运营商定义的ASCII字符串</t>
  </si>
  <si>
    <t>整个结构体都不显示在网管上</t>
  </si>
  <si>
    <t>网关连接状态参数表</t>
  </si>
  <si>
    <t>设备参数表</t>
  </si>
  <si>
    <t>接入控制参数表</t>
  </si>
  <si>
    <t>NTP时间同步参数</t>
  </si>
  <si>
    <t>解广播参数</t>
  </si>
  <si>
    <t>中国移动TD-LTE一体化皮站/飞站基站设备网络管理南向接口数据配置模型规范</t>
  </si>
  <si>
    <t>版本</t>
  </si>
  <si>
    <t>日期</t>
  </si>
  <si>
    <t>修订内容</t>
  </si>
  <si>
    <t>修订人</t>
  </si>
  <si>
    <t>v0.1</t>
  </si>
  <si>
    <t>创建初稿</t>
  </si>
  <si>
    <t>贾辉，曹汐</t>
  </si>
  <si>
    <t>v0.2</t>
  </si>
  <si>
    <t>完成征求意见稿</t>
  </si>
  <si>
    <t>v0.3</t>
  </si>
  <si>
    <t>完成集中讨论修订稿</t>
  </si>
  <si>
    <r>
      <rPr>
        <sz val="10"/>
        <rFont val="宋体"/>
        <family val="3"/>
        <charset val="134"/>
      </rPr>
      <t>v</t>
    </r>
    <r>
      <rPr>
        <sz val="11"/>
        <color indexed="8"/>
        <rFont val="宋体"/>
        <family val="3"/>
        <charset val="134"/>
      </rPr>
      <t>0.4</t>
    </r>
  </si>
  <si>
    <t>完成省公司征求意见稿</t>
  </si>
  <si>
    <r>
      <rPr>
        <sz val="10"/>
        <rFont val="宋体"/>
        <family val="3"/>
        <charset val="134"/>
      </rPr>
      <t>v</t>
    </r>
    <r>
      <rPr>
        <sz val="11"/>
        <color indexed="8"/>
        <rFont val="宋体"/>
        <family val="3"/>
        <charset val="134"/>
      </rPr>
      <t>0.5</t>
    </r>
  </si>
  <si>
    <t>完成根据省公司讨论意见修改</t>
  </si>
  <si>
    <r>
      <rPr>
        <sz val="10"/>
        <rFont val="宋体"/>
        <family val="3"/>
        <charset val="134"/>
      </rPr>
      <t>V</t>
    </r>
    <r>
      <rPr>
        <sz val="11"/>
        <color indexed="8"/>
        <rFont val="宋体"/>
        <family val="3"/>
        <charset val="134"/>
      </rPr>
      <t>1.0</t>
    </r>
  </si>
  <si>
    <t>发布稿第一版</t>
  </si>
  <si>
    <r>
      <rPr>
        <sz val="10"/>
        <rFont val="宋体"/>
        <family val="3"/>
        <charset val="134"/>
      </rPr>
      <t>V</t>
    </r>
    <r>
      <rPr>
        <sz val="11"/>
        <color indexed="8"/>
        <rFont val="宋体"/>
        <family val="3"/>
        <charset val="134"/>
      </rPr>
      <t>1.1</t>
    </r>
  </si>
  <si>
    <t>基于近期反馈意见修订</t>
  </si>
  <si>
    <r>
      <rPr>
        <sz val="10"/>
        <rFont val="宋体"/>
        <family val="3"/>
        <charset val="134"/>
      </rPr>
      <t>V</t>
    </r>
    <r>
      <rPr>
        <sz val="11"/>
        <color indexed="8"/>
        <rFont val="宋体"/>
        <family val="3"/>
        <charset val="134"/>
      </rPr>
      <t>1.2</t>
    </r>
  </si>
  <si>
    <t>修订SF、SH、SJ页笔误及部分参数，SQ页补充网管南向接口性能文件格式规范要求（遵循3GPP规范）</t>
  </si>
  <si>
    <r>
      <rPr>
        <sz val="10"/>
        <rFont val="宋体"/>
        <family val="3"/>
        <charset val="134"/>
      </rPr>
      <t>V</t>
    </r>
    <r>
      <rPr>
        <sz val="11"/>
        <color indexed="8"/>
        <rFont val="宋体"/>
        <family val="3"/>
        <charset val="134"/>
      </rPr>
      <t>1.3</t>
    </r>
  </si>
  <si>
    <t>修订SF、SG、SJ页数据类型笔误、取值范围等问题</t>
  </si>
  <si>
    <r>
      <rPr>
        <sz val="10"/>
        <rFont val="宋体"/>
        <family val="3"/>
        <charset val="134"/>
      </rPr>
      <t>V</t>
    </r>
    <r>
      <rPr>
        <sz val="11"/>
        <color indexed="8"/>
        <rFont val="宋体"/>
        <family val="3"/>
        <charset val="134"/>
      </rPr>
      <t>1.4</t>
    </r>
  </si>
  <si>
    <t>根据一阶段现网试点建议，修订SF页补充3项基站运行状态参数，补充多实例参数Object个数读写属性页要求</t>
  </si>
  <si>
    <r>
      <rPr>
        <sz val="10"/>
        <rFont val="宋体"/>
        <family val="3"/>
        <charset val="134"/>
      </rPr>
      <t>V</t>
    </r>
    <r>
      <rPr>
        <sz val="11"/>
        <color indexed="8"/>
        <rFont val="宋体"/>
        <family val="3"/>
        <charset val="134"/>
      </rPr>
      <t>1.5</t>
    </r>
  </si>
  <si>
    <t>新增SR页支持扩展型一体化皮站参数</t>
  </si>
  <si>
    <r>
      <rPr>
        <sz val="10"/>
        <rFont val="宋体"/>
        <family val="3"/>
        <charset val="134"/>
      </rPr>
      <t>V</t>
    </r>
    <r>
      <rPr>
        <sz val="11"/>
        <color indexed="8"/>
        <rFont val="宋体"/>
        <family val="3"/>
        <charset val="134"/>
      </rPr>
      <t>1.6</t>
    </r>
  </si>
  <si>
    <t>更正SR页*.EU.{i}.Status和*.RU.{i}.Status两个参数的网管读写属性为只读</t>
  </si>
  <si>
    <r>
      <rPr>
        <sz val="10"/>
        <rFont val="宋体"/>
        <family val="3"/>
        <charset val="134"/>
      </rPr>
      <t>V</t>
    </r>
    <r>
      <rPr>
        <sz val="11"/>
        <color indexed="8"/>
        <rFont val="宋体"/>
        <family val="3"/>
        <charset val="134"/>
      </rPr>
      <t>1.7</t>
    </r>
  </si>
  <si>
    <t>更正SF页“基站运行状态参数”为A类参数</t>
  </si>
  <si>
    <t>贾辉，李响</t>
  </si>
  <si>
    <t>Device,DeviceInfo,SerialNumber增加描述“设备序列号，以“-LTE”结尾”</t>
  </si>
  <si>
    <t>更新SN页LocalTimeZone为string（64）
SA页增加UserLabel和DnPrefix
SF页增加UserLabel</t>
  </si>
  <si>
    <t>v1.8</t>
  </si>
  <si>
    <t>SL页增加UserLabel和PortLocation
目录页增加告警说明
SD页删除serialNumber和OUI</t>
  </si>
  <si>
    <t>v1.9</t>
  </si>
  <si>
    <t>目录页 LDN移除“SA”、“NSA”字段</t>
  </si>
  <si>
    <t>TD-LTE NanoCell南向数据配置模型规范(推荐版)</t>
  </si>
  <si>
    <t>概述（详细问题请查阅正文内容）：</t>
  </si>
  <si>
    <t>文档适应的产品</t>
  </si>
  <si>
    <t>移动 NanoCell</t>
  </si>
  <si>
    <t>文档详细信息</t>
  </si>
  <si>
    <t>作者</t>
  </si>
  <si>
    <t>时间</t>
  </si>
  <si>
    <t>来源</t>
  </si>
  <si>
    <t>注释</t>
  </si>
  <si>
    <t>TD-LTE NanoCell网管数据模型规范(初稿)</t>
  </si>
  <si>
    <t>首发</t>
  </si>
  <si>
    <t>京信团队</t>
  </si>
  <si>
    <t>京信通信系统（广州）有限公司</t>
  </si>
  <si>
    <t>索引</t>
  </si>
  <si>
    <t>参数管理类别</t>
  </si>
  <si>
    <t>参数管理说明</t>
  </si>
  <si>
    <t>A类属性数</t>
  </si>
  <si>
    <t>B类属性数</t>
  </si>
  <si>
    <t>CA类属性数</t>
  </si>
  <si>
    <t>CB类属性数</t>
  </si>
  <si>
    <t>小计</t>
  </si>
  <si>
    <t>SA</t>
  </si>
  <si>
    <t>DeviceInfo</t>
  </si>
  <si>
    <t>设备信息参数管理</t>
  </si>
  <si>
    <t>SB</t>
  </si>
  <si>
    <t>SoftwareCtrl</t>
  </si>
  <si>
    <t>软件版本参数管理</t>
  </si>
  <si>
    <t>SC</t>
  </si>
  <si>
    <t>ManagementServer</t>
  </si>
  <si>
    <t>基站网管参数管理</t>
  </si>
  <si>
    <t>SD</t>
  </si>
  <si>
    <t>FaultMgmt</t>
  </si>
  <si>
    <t>告警参数管理</t>
  </si>
  <si>
    <t>SE</t>
  </si>
  <si>
    <t>DeviceLogMgmt</t>
  </si>
  <si>
    <t>日志参数管理</t>
  </si>
  <si>
    <t>SF</t>
  </si>
  <si>
    <t>Services.FAPService</t>
  </si>
  <si>
    <t>小区服务参数管理（总体）</t>
  </si>
  <si>
    <t>SG</t>
  </si>
  <si>
    <t>Services.FAPService.{i}.SCTP.Transport</t>
  </si>
  <si>
    <t>SCTP参数管理</t>
  </si>
  <si>
    <t>SH</t>
  </si>
  <si>
    <t>Services.FAPService.{i}.CellConfig.LTE.RAN</t>
  </si>
  <si>
    <t>RAN协议栈参数</t>
  </si>
  <si>
    <t>SI</t>
  </si>
  <si>
    <t>Services.FAPService.{i}.CellConfig.LTE.RAN.NeighborList</t>
  </si>
  <si>
    <t>邻区参数管理</t>
  </si>
  <si>
    <t>SJ</t>
  </si>
  <si>
    <t>Services.FAPService.{i}.CellConfig.LTE.RAN.Mobility</t>
  </si>
  <si>
    <t>移动性参数管理</t>
  </si>
  <si>
    <t>SK</t>
  </si>
  <si>
    <t>Services.FAPService.{i}.FAPControl.LTE.SelfConfig.SONConfigParam</t>
  </si>
  <si>
    <t>SON参数管理</t>
  </si>
  <si>
    <t>SL</t>
  </si>
  <si>
    <t>WANDevice</t>
  </si>
  <si>
    <t>WAN口配置参数管理</t>
  </si>
  <si>
    <t>SM</t>
  </si>
  <si>
    <t>Ipsec</t>
  </si>
  <si>
    <t>IPsec参数管理</t>
  </si>
  <si>
    <t>SN</t>
  </si>
  <si>
    <t>Time</t>
  </si>
  <si>
    <t>时间服务器参数管理</t>
  </si>
  <si>
    <t>SO</t>
  </si>
  <si>
    <t>FAP.GPS</t>
  </si>
  <si>
    <t>GPS信息参数管理</t>
  </si>
  <si>
    <t>SP</t>
  </si>
  <si>
    <t>FAP.MRMgmt</t>
  </si>
  <si>
    <t>MR参数管理</t>
  </si>
  <si>
    <t>SQ</t>
  </si>
  <si>
    <t>FAP.PerfMgmt</t>
  </si>
  <si>
    <t>性能参数管理</t>
  </si>
  <si>
    <t>SR</t>
  </si>
  <si>
    <t>ENanocell</t>
  </si>
  <si>
    <t>扩展型一体化皮基站参数</t>
  </si>
  <si>
    <t>合计</t>
  </si>
  <si>
    <t>说明：
1.LDN的组成方式，按照《中国移动室分系统OMC南向接口要求 第2部分：皮基站技术要求_0611_clean》规范中附录B3.2的样例：
  i. eNB的LDN的组成如：localDn="ManagedElement=SN,Type=eNB",其中，ManagedElement的SN取SA页InternetGatewayDevice.DeviceInfo.SerialNumber
  ii. 小区的LDN，其组成如localDn="Type=Cell,eNBID=123,CellIdentity=22"
  iii. EU的LDN组成如：localDn="ManagedElement=SN,Type=EU,EU=EUSN",其中，EUSN取SA页  InternetGatewayDevice.DeviceInfo.EU.{i}.SerialNumber
  iv. RU的LDN组成如：localDn="ManagedElement=SN,Type=RU,RU=RUSN",其中，RUSN取SA页InternetGatewayDevice.DeviceInfo.EU.{i}.RU.{i}.SerialNumber
  v. 网卡的LDN组成如：localDn="ManagedElement=SN,Type=NIC,PortLocation=..."
2.SD页告警ManagedObjectInstance须填写DN，DN后以"|"结尾，并可以携带其他辅助信息，信息以"|"分割
样例(InternetGatewayDevice.DeviceInfo.SerialNumber=1234567)：
  1. MU产生告警，则MOI中信息如：
"DN='DC=BJ,SubNetwork=1,ManagedElement=1234567,Type=eNB'|......"
  2. MU产生小区告警，则MOI中信息如："DN='DC=BJ,SubNetwork=1,ManagedElement=1234567,Type=Cell,eNBID=123,CellIdentity=22'|......"
  3. MU产生网卡告警，则MOI中信息如："DN='DC=BJ,SubNetwork=1,ManagedElement=1234567,Type=NIC,PortLocation=...|......"</t>
  </si>
  <si>
    <t>归类</t>
  </si>
  <si>
    <t>网管数据模型(TR098)</t>
  </si>
  <si>
    <t>网管数据模型(TR181)</t>
  </si>
  <si>
    <t>参数名称</t>
  </si>
  <si>
    <t>中文名</t>
  </si>
  <si>
    <t>重要性</t>
  </si>
  <si>
    <t>北向Index</t>
  </si>
  <si>
    <t>北向NRM参数映射</t>
  </si>
  <si>
    <t>描述</t>
  </si>
  <si>
    <t>备注</t>
  </si>
  <si>
    <t>InternetGatewayDevice.DeviceInfo.UserLabel</t>
  </si>
  <si>
    <t>Device.DeviceInfo.UserLabel</t>
  </si>
  <si>
    <t>UserLabel</t>
  </si>
  <si>
    <t>用户友好名</t>
  </si>
  <si>
    <t>A</t>
  </si>
  <si>
    <t>AA</t>
  </si>
  <si>
    <t>string</t>
  </si>
  <si>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t>
  </si>
  <si>
    <t>技术规范_NanoCell eNB网元统计数据需求规范-NRM(V2.9.0)</t>
  </si>
  <si>
    <t>InternetGatewayDevice.DeviceInfo.DnPrefix</t>
  </si>
  <si>
    <t>Device.DeviceInfo.DnPrefix</t>
  </si>
  <si>
    <t>DnPrefix</t>
  </si>
  <si>
    <t>DN前缀</t>
  </si>
  <si>
    <t>/</t>
  </si>
  <si>
    <t>例如"DC=BJ,SubNetwork=1"</t>
  </si>
  <si>
    <t>中国移动室分系统OMC南向接口要求 第2部分：皮基站技术要求_0611_clean</t>
  </si>
  <si>
    <t>InternetGatewayDevice.DeviceInfo.ManufacturerOUI</t>
  </si>
  <si>
    <t>Device.DeviceInfo.ManufacturerOUI</t>
  </si>
  <si>
    <t>ManufacturerOUI</t>
  </si>
  <si>
    <t>制造商OUI</t>
  </si>
  <si>
    <t>ManufacturerData</t>
  </si>
  <si>
    <t>string(6)</t>
  </si>
  <si>
    <t>TR系列规范(TR098/TR181)/NRM数据配置要求</t>
  </si>
  <si>
    <t>InternetGatewayDevice.DeviceInfo.Manufacturer</t>
  </si>
  <si>
    <t>Device.DeviceInfo.Manufacturer</t>
  </si>
  <si>
    <t>Manufacturer</t>
  </si>
  <si>
    <t>制造商</t>
  </si>
  <si>
    <t>VendorName</t>
  </si>
  <si>
    <t xml:space="preserve">string(64) </t>
  </si>
  <si>
    <t>InternetGatewayDevice.DeviceInfo.ModelName</t>
  </si>
  <si>
    <t>Device.DeviceInfo.ModelName</t>
  </si>
  <si>
    <t>ModelName</t>
  </si>
  <si>
    <t>设备型号</t>
  </si>
  <si>
    <t>NeType</t>
  </si>
  <si>
    <t>string(64)</t>
  </si>
  <si>
    <t>InternetGatewayDevice.DeviceInfo.SerialNumber</t>
  </si>
  <si>
    <t>Device.DeviceInfo.SerialNumber</t>
  </si>
  <si>
    <t>SerialNumber</t>
  </si>
  <si>
    <t>序列号</t>
  </si>
  <si>
    <t>序列号，以“-LTE”结尾</t>
  </si>
  <si>
    <t>InternetGatewayDevice.DeviceInfo.HardwareVersion</t>
  </si>
  <si>
    <t>Device.DeviceInfo.HardwareVersion</t>
  </si>
  <si>
    <t>HardwareVersion</t>
  </si>
  <si>
    <t>硬件版本</t>
  </si>
  <si>
    <t>Version</t>
  </si>
  <si>
    <t>InternetGatewayDevice.DeviceInfo.SoftwareVersion</t>
  </si>
  <si>
    <t>Device.DeviceInfo.SoftwareVersion</t>
  </si>
  <si>
    <t>SoftwareVersion</t>
  </si>
  <si>
    <t>软件版本</t>
  </si>
  <si>
    <t>SwVersion</t>
  </si>
  <si>
    <t>InternetGatewayDevice.DeviceInfo.HardwarePlatform</t>
  </si>
  <si>
    <t>Device.DeviceInfo.HardwarePlatform</t>
  </si>
  <si>
    <t>HardwarePlatform</t>
  </si>
  <si>
    <t>硬件平台</t>
  </si>
  <si>
    <t>NRM数据配置要求</t>
  </si>
  <si>
    <t>InternetGatewayDevice.DeviceInfo.AdditionalHardwareVersion</t>
  </si>
  <si>
    <t>Device.DeviceInfo.AdditionalHardwareVersion</t>
  </si>
  <si>
    <t>AdditionalHardwareVersion</t>
  </si>
  <si>
    <t>附加硬件版本</t>
  </si>
  <si>
    <t>InternetGatewayDevice.DeviceInfo.AdditionalSoftwareVersion</t>
  </si>
  <si>
    <t>Device.DeviceInfo.AdditionalSoftwareVersion</t>
  </si>
  <si>
    <t>AdditionalSoftwareVersion</t>
  </si>
  <si>
    <t>附加软件版本</t>
  </si>
  <si>
    <t>InternetGatewayDevice.DeviceInfo.ProvisioningCode</t>
  </si>
  <si>
    <t>Device.DeviceInfo.ProvisioningCode</t>
  </si>
  <si>
    <t>ProvisioningCode</t>
  </si>
  <si>
    <t>供应商代号</t>
  </si>
  <si>
    <t>InternetGatewayDevice.DeviceInfo.ProductClass</t>
  </si>
  <si>
    <t>Device.DeviceInfo.ProductClass</t>
  </si>
  <si>
    <t>ProductClass</t>
  </si>
  <si>
    <t>产品分类</t>
  </si>
  <si>
    <t>VendorUnitFamilyType</t>
  </si>
  <si>
    <t>InternetGatewayDevice.DeviceInfo.UpTime</t>
  </si>
  <si>
    <t>Device.DeviceInfo.UpTime</t>
  </si>
  <si>
    <t>UpTime</t>
  </si>
  <si>
    <t>运行时间</t>
  </si>
  <si>
    <t>DateOfLastService</t>
  </si>
  <si>
    <t xml:space="preserve">unsignedInt </t>
  </si>
  <si>
    <t>InternetGatewayDevice.DeviceInfo.3GPPSpecVersion</t>
  </si>
  <si>
    <t>Device.DeviceInfo.3GPPSpecVersion</t>
  </si>
  <si>
    <t>3GPPSpecVersion</t>
  </si>
  <si>
    <t>3GPP协议版本</t>
  </si>
  <si>
    <t>InternetGatewayDevice.DeviceInfo.FirstUseDate</t>
  </si>
  <si>
    <t>Device.DeviceInfo.FirstUseDate</t>
  </si>
  <si>
    <t>FirstUseDate</t>
  </si>
  <si>
    <t>首次使用日期</t>
  </si>
  <si>
    <t>DateOfManufacture</t>
  </si>
  <si>
    <t>dateTime</t>
  </si>
  <si>
    <t>InternetGatewayDevice.DeviceInfo.SwUpgrade.Stage</t>
  </si>
  <si>
    <t>Device.DeviceInfo.SwUpgrade.Stage</t>
  </si>
  <si>
    <t>Stage</t>
  </si>
  <si>
    <t>升级阶段</t>
  </si>
  <si>
    <t>unsignedInt[1:5]</t>
  </si>
  <si>
    <t>1:初始化
2:下载
3:安装
4:等待激活
5.激活</t>
  </si>
  <si>
    <t>InternetGatewayDevice.DeviceInfo.SwUpgrade.FailureCause</t>
  </si>
  <si>
    <t>Device.DeviceInfo.SwUpgrade.FailureCause</t>
  </si>
  <si>
    <t>FailureCause</t>
  </si>
  <si>
    <t>升级失败原因</t>
  </si>
  <si>
    <t>string(512)</t>
  </si>
  <si>
    <t>升级失败原因描述</t>
  </si>
  <si>
    <t>InternetGatewayDevice.DeviceInfo.SwUpgrade.Status</t>
  </si>
  <si>
    <t>Device.DeviceInfo.SwUpgrade.Status</t>
  </si>
  <si>
    <t>Status</t>
  </si>
  <si>
    <t>状态</t>
  </si>
  <si>
    <t>unsignedInt[1:3]</t>
  </si>
  <si>
    <t>1:成功
2:失败</t>
  </si>
  <si>
    <t>InternetGatewayDevice.DeviceInfo.DataModelSpecVersion</t>
  </si>
  <si>
    <t>Device.DeviceInfo.DataModelSpecVersion</t>
  </si>
  <si>
    <t>DataModelSpecVersion</t>
  </si>
  <si>
    <t>数据模型版本</t>
  </si>
  <si>
    <t>描述中国移动技术规范发布的小基站南向数据模型版本号</t>
  </si>
  <si>
    <t>版本参数管理</t>
  </si>
  <si>
    <t>InternetGatewayDevice.SoftwareCtrl.AutoActivateEnable</t>
  </si>
  <si>
    <t>Device.SoftwareCtrl.AutoActivateEnable</t>
  </si>
  <si>
    <t>AutoActivateEnable</t>
  </si>
  <si>
    <t>立即激活目标升级版本使能开关</t>
  </si>
  <si>
    <t>(0=false,1=true)，立即激活目标升级版本使能开关，当为true时，设备下载成功目标升级版本后立即激活版本，当为flase时，需要和ActivateTime这两个参数一起使用。</t>
  </si>
  <si>
    <t>自定义</t>
  </si>
  <si>
    <t>InternetGatewayDevice.SoftwareCtrl.ActivateTime</t>
  </si>
  <si>
    <t>Device.SoftwareCtrl.ActivateTime</t>
  </si>
  <si>
    <t>ActivateTime</t>
  </si>
  <si>
    <t>软件激活时间</t>
  </si>
  <si>
    <t>激活时间，格式如：2012-12-11T19:15:00，下发命令后设备只要在大于等于激活时间里开启，就会激活系统备份版本。</t>
  </si>
  <si>
    <t>InternetGatewayDevice.SoftwareCtrl.ActivateEnable</t>
  </si>
  <si>
    <t>Device.SoftwareCtrl.ActivateEnable</t>
  </si>
  <si>
    <t>ActivateEnable</t>
  </si>
  <si>
    <t>激活备份版本使能开关</t>
  </si>
  <si>
    <t>(0=false,1=true)激活备份版本使能开关，当为true时立即激活备份版本。</t>
  </si>
  <si>
    <t>InternetGatewayDevice.SoftwareCtrl.SystemCurrentVersion</t>
  </si>
  <si>
    <t>Device.SoftwareCtrl.SystemCurrentVersion</t>
  </si>
  <si>
    <t>SystemCurrentVersion</t>
  </si>
  <si>
    <t>系统当前版本</t>
  </si>
  <si>
    <t>系统正在使用的版本。</t>
  </si>
  <si>
    <t>InternetGatewayDevice.SoftwareCtrl.SystemBackupVersion</t>
  </si>
  <si>
    <t>Device.SoftwareCtrl.SystemBackupVersion</t>
  </si>
  <si>
    <t>SystemBackupVersion</t>
  </si>
  <si>
    <t>系统备份版本</t>
  </si>
  <si>
    <t>系统备份版本，新下载的或以前使用的版本。</t>
  </si>
  <si>
    <t>网管参数管理</t>
  </si>
  <si>
    <t>InternetGatewayDevice.ManagementServer.URL</t>
  </si>
  <si>
    <t>Device.ManagementServer.URL</t>
  </si>
  <si>
    <t>URL</t>
  </si>
  <si>
    <t>网管服务器URL</t>
  </si>
  <si>
    <t>string(256)</t>
  </si>
  <si>
    <t>ACS使用CWMP连接ACS的URL。格式必须为合法的HTTP/HTTPS的形式。</t>
  </si>
  <si>
    <t>TR系列规范(TR098/TR181)</t>
  </si>
  <si>
    <t>InternetGatewayDevice.ManagementServer.Username</t>
  </si>
  <si>
    <t>Device.ManagementServer.Username</t>
  </si>
  <si>
    <t>Username</t>
  </si>
  <si>
    <t>连接用户名</t>
  </si>
  <si>
    <t>ACS使用CWMP连接基站时使用的认证用户名。仅用于基站的基于HTTP的认证。</t>
  </si>
  <si>
    <t>InternetGatewayDevice.ManagementServer.Password</t>
  </si>
  <si>
    <t>Device.ManagementServer.Password</t>
  </si>
  <si>
    <t>Password</t>
  </si>
  <si>
    <t>连接密码</t>
  </si>
  <si>
    <t>基站使用CWMP连接ACS时使用的认证密码。仅用于基站的基于HTTP的认证。读取时返回一个空字符串.</t>
  </si>
  <si>
    <t>InternetGatewayDevice.ManagementServer.PeriodicInformEnable</t>
  </si>
  <si>
    <t>Device.ManagementServer.PeriodicInformEnable</t>
  </si>
  <si>
    <t>PeriodicInformEnable</t>
  </si>
  <si>
    <t>连接使能开关</t>
  </si>
  <si>
    <t>基站是否必须利用Inform方法调用定时向服务器端发送基站信息。当PeriodicInformEnable=true时，PeriodicInformInterval才起作用</t>
  </si>
  <si>
    <t>InternetGatewayDevice.ManagementServer.PeriodicInformTime</t>
  </si>
  <si>
    <t>Device.ManagementServer.PeriodicInformTime</t>
  </si>
  <si>
    <t>PeriodicInformTime</t>
  </si>
  <si>
    <t>上报周期</t>
  </si>
  <si>
    <t xml:space="preserve"> dateTime </t>
  </si>
  <si>
    <t>2012-12-11T19:15:00</t>
  </si>
  <si>
    <t>InternetGatewayDevice.ManagementServer.PeriodicInformInterval</t>
  </si>
  <si>
    <t>Device.ManagementServer.PeriodicInformInterval</t>
  </si>
  <si>
    <t>PeriodicInformInterval</t>
  </si>
  <si>
    <t>周期上报时间间隔</t>
  </si>
  <si>
    <t>unsignedInt[1:]</t>
  </si>
  <si>
    <t>在PeriodicInformEnable为真时，基站必须尝试连接ACS并调用Inform方法的时间间隔。当PeriodicInformEnable=true才生效</t>
  </si>
  <si>
    <t>InternetGatewayDevice.ManagementServer.ParameterKey</t>
  </si>
  <si>
    <t>Device.ManagementServer.ParameterKey</t>
  </si>
  <si>
    <t>ParameterKey</t>
  </si>
  <si>
    <t>键值</t>
  </si>
  <si>
    <t>string(32)</t>
  </si>
  <si>
    <t>来自于服务器的最新的 SetParameterValues，AddObject 或 DeleteObject 方法调用的 ParameterKey 自变量数值。如果没有此类调用，此数值为空。</t>
  </si>
  <si>
    <t>InternetGatewayDevice.ManagementServer.ConnectionRequestURL</t>
  </si>
  <si>
    <t>Device.ManagementServer.ConnectionRequestURL</t>
  </si>
  <si>
    <t>ConnectionRequestURL</t>
  </si>
  <si>
    <t>连接请求URL</t>
  </si>
  <si>
    <r>
      <rPr>
        <sz val="9"/>
        <rFont val="宋体"/>
        <family val="3"/>
        <charset val="134"/>
        <scheme val="minor"/>
      </rPr>
      <t>A</t>
    </r>
    <r>
      <rPr>
        <sz val="9"/>
        <rFont val="宋体"/>
        <family val="3"/>
        <charset val="134"/>
        <scheme val="minor"/>
      </rPr>
      <t>A</t>
    </r>
  </si>
  <si>
    <t>ManagementIpAddress</t>
  </si>
  <si>
    <t>ACS向基站发起连接请求通知时所使用的HTTPURL。其形式如下：http://host:port/SOAP/HNBServlet?a=1的"主机"部分可以是基站管理接口的IP地址，用以替代域名。</t>
  </si>
  <si>
    <t>InternetGatewayDevice.ManagementServer.ConnectionRequestUsername</t>
  </si>
  <si>
    <t>Device.ManagementServer.ConnectionRequestUsername</t>
  </si>
  <si>
    <t>ConnectionRequestUsername</t>
  </si>
  <si>
    <t>连接请求用户名</t>
  </si>
  <si>
    <t>ACS向基站发起连接请求时，鉴权过程使用的用户名。</t>
  </si>
  <si>
    <t>InternetGatewayDevice.ManagementServer.ConnectionRequestPassword</t>
  </si>
  <si>
    <t>Device.ManagementServer.ConnectionRequestPassword</t>
  </si>
  <si>
    <t>ConnectionRequestPassword</t>
  </si>
  <si>
    <t>连接请求密码</t>
  </si>
  <si>
    <t>ACS向基站发起连接请求时，鉴权过程使用的密码。在被读取时，该参数会忽略实际值而返回一个空字符串。</t>
  </si>
  <si>
    <t>InternetGatewayDevice.ManagementServer.UDPConnectionRequestAddress</t>
  </si>
  <si>
    <t>Device.ManagementServer.UDPConnectionRequestAddress</t>
  </si>
  <si>
    <t>UDPConnectionRequestAddress</t>
  </si>
  <si>
    <t>UDP连接请求地址</t>
  </si>
  <si>
    <t>InternetGatewayDevice.ManagementServer.STUNEnable</t>
  </si>
  <si>
    <t>Device.ManagementServer.STUNEnable</t>
  </si>
  <si>
    <t>STUNEnable</t>
  </si>
  <si>
    <t>STUN使能开关</t>
  </si>
  <si>
    <t>(0=false,1=true)</t>
  </si>
  <si>
    <t>InternetGatewayDevice.ManagementServer.STUNServerAddress</t>
  </si>
  <si>
    <t>Device.ManagementServer.STUNServerAddress</t>
  </si>
  <si>
    <t>STUNServerAddress</t>
  </si>
  <si>
    <t>STUN服务器地址</t>
  </si>
  <si>
    <t>InternetGatewayDevice.ManagementServer.STUNServerPort</t>
  </si>
  <si>
    <t>Device.ManagementServer.STUNServerPort</t>
  </si>
  <si>
    <t>STUNServerPort</t>
  </si>
  <si>
    <t>STUN服务器端口</t>
  </si>
  <si>
    <t xml:space="preserve">unsignedInt[0:65535]
</t>
  </si>
  <si>
    <t>InternetGatewayDevice.ManagementServer.STUNUsername</t>
  </si>
  <si>
    <t>Device.ManagementServer.STUNUsername</t>
  </si>
  <si>
    <t>STUNUsername</t>
  </si>
  <si>
    <t>STUN用户名</t>
  </si>
  <si>
    <t>InternetGatewayDevice.ManagementServer.STUNPassword</t>
  </si>
  <si>
    <t>Device.ManagementServer.STUNPassword</t>
  </si>
  <si>
    <t>STUNPassword</t>
  </si>
  <si>
    <t>STUN密码</t>
  </si>
  <si>
    <t>InternetGatewayDevice.ManagementServer.STUNMaximumKeepAlivePeriod</t>
  </si>
  <si>
    <t>Device.ManagementServer.STUNMaximumKeepAlivePeriod</t>
  </si>
  <si>
    <t>STUNMaximumKeepAlivePeriod</t>
  </si>
  <si>
    <t>STUN最大生存周期</t>
  </si>
  <si>
    <t>int[-1:65535]</t>
  </si>
  <si>
    <t>InternetGatewayDevice.ManagementServer.STUNMinimumKeepAlivePeriod</t>
  </si>
  <si>
    <t>Device.ManagementServer.STUNMinimumKeepAlivePeriod</t>
  </si>
  <si>
    <t>STUNMinimumKeepAlivePeriod</t>
  </si>
  <si>
    <t>STUN最小生存周期</t>
  </si>
  <si>
    <t>unsignedInt[0:65535]</t>
  </si>
  <si>
    <t>InternetGatewayDevice.ManagementServer.NATDetected</t>
  </si>
  <si>
    <t>Device.ManagementServer.NATDetected</t>
  </si>
  <si>
    <t>NATDetected</t>
  </si>
  <si>
    <t>NAT转换地址</t>
  </si>
  <si>
    <t xml:space="preserve">告警管理
</t>
  </si>
  <si>
    <t>InternetGatewayDevice.FaultMgmt.SupportedAlarmNumberOfEntries</t>
  </si>
  <si>
    <t>Device.FaultMgmt.SupportedAlarmNumberOfEntries</t>
  </si>
  <si>
    <t>SupportedAlarmNumberOfEntries</t>
  </si>
  <si>
    <t>最大告警实例数量</t>
  </si>
  <si>
    <t>TR系列规范(TR098/TR181/中国移动Nanocell基站设备网络管理南向接口技术规范v1.3.0)</t>
  </si>
  <si>
    <t>InternetGatewayDevice.FaultMgmt.MaxCurrentAlarmEntries</t>
  </si>
  <si>
    <t>Device.FaultMgmt.MaxCurrentAlarmEntries</t>
  </si>
  <si>
    <t>MaxCurrentAlarmEntries</t>
  </si>
  <si>
    <t>最大当前告警实例数量</t>
  </si>
  <si>
    <t>InternetGatewayDevice.FaultMgmt.CurrentAlarmNumberOfEntries</t>
  </si>
  <si>
    <t>Device.FaultMgmt.CurrentAlarmNumberOfEntries</t>
  </si>
  <si>
    <t>CurrentAlarmNumberOfEntries</t>
  </si>
  <si>
    <t>当前告警实例数量</t>
  </si>
  <si>
    <t>InternetGatewayDevice.FaultMgmt.HistoryEventNumberOfEntries</t>
  </si>
  <si>
    <t>Device.FaultMgmt.HistoryEventNumberOfEntries</t>
  </si>
  <si>
    <t>HistoryEventNumberOfEntries</t>
  </si>
  <si>
    <t>历史事件实例数量</t>
  </si>
  <si>
    <t>InternetGatewayDevice.FaultMgmt.ExpeditedEventNumberOfEntries</t>
  </si>
  <si>
    <t>Device.FaultMgmt.ExpeditedEventNumberOfEntries</t>
  </si>
  <si>
    <t>ExpeditedEventNumberOfEntries</t>
  </si>
  <si>
    <t>紧急事件实例数量</t>
  </si>
  <si>
    <t>InternetGatewayDevice.FaultMgmt.QueuedEventNumberOfEntries</t>
  </si>
  <si>
    <t>Device.FaultMgmt.QueuedEventNumberOfEntries</t>
  </si>
  <si>
    <t>QueuedEventNumberOfEntries</t>
  </si>
  <si>
    <t>队列事件实例数量</t>
  </si>
  <si>
    <t>InternetGatewayDevice.FaultMgmt.SupportedAlarm.{i}.EventType</t>
  </si>
  <si>
    <t>Device.FaultMgmt.SupportedAlarm.{i}.EventType</t>
  </si>
  <si>
    <t>EventType</t>
  </si>
  <si>
    <t>告警类型</t>
  </si>
  <si>
    <t>设备上报告警消息中的告警类型，包括通讯告警、环境告警、设备告警、处理错误告警、服务质量告警等</t>
  </si>
  <si>
    <t>InternetGatewayDevice.FaultMgmt.SupportedAlarm.{i}.ProbableCause</t>
  </si>
  <si>
    <t>Device.FaultMgmt.SupportedAlarm.{i}.ProbableCause</t>
  </si>
  <si>
    <t>ProbableCause</t>
  </si>
  <si>
    <t>告警原因</t>
  </si>
  <si>
    <t>InternetGatewayDevice.FaultMgmt.SupportedAlarm.{i}.SpecificProblem</t>
  </si>
  <si>
    <t>Device.FaultMgmt.SupportedAlarm.{i}.SpecificProblem</t>
  </si>
  <si>
    <t>SpecificProblem</t>
  </si>
  <si>
    <t>告警描述</t>
  </si>
  <si>
    <t>string(128)</t>
  </si>
  <si>
    <t>InternetGatewayDevice.FaultMgmt.SupportedAlarm.{i}.PerceivedSeverity</t>
  </si>
  <si>
    <t>Device.FaultMgmt.SupportedAlarm.{i}.PerceivedSeverity</t>
  </si>
  <si>
    <t>PerceivedSeverity</t>
  </si>
  <si>
    <t>支持告警级别</t>
  </si>
  <si>
    <t>设备上报告警消息中的告警级别：Critical,严重；Major,重要；Minor,次要；Warning,警告；</t>
  </si>
  <si>
    <t>InternetGatewayDevice.FaultMgmt.SupportedAlarm.{i}.ReportingMechanism</t>
  </si>
  <si>
    <t>Device.FaultMgmt.SupportedAlarm.{i}.ReportingMechanism</t>
  </si>
  <si>
    <t>ReportingMechanism</t>
  </si>
  <si>
    <t xml:space="preserve"> 告警上报机制</t>
  </si>
  <si>
    <t>修改网管读写权限</t>
  </si>
  <si>
    <t>InternetGatewayDevice.FaultMgmt.CurrentAlarm.{i}.AlarmIdentifier</t>
  </si>
  <si>
    <t>Device.FaultMgmt.CurrentAlarm.{i}.AlarmIdentifier</t>
  </si>
  <si>
    <t>AlarmIdentifier</t>
  </si>
  <si>
    <t>该告警的唯一序列号</t>
  </si>
  <si>
    <t>InternetGatewayDevice.FaultMgmt.CurrentAlarm.{i}.AlarmRaisedTime</t>
  </si>
  <si>
    <t>Device.FaultMgmt.CurrentAlarm.{i}.AlarmRaisedTime</t>
  </si>
  <si>
    <t>AlarmRaisedTime</t>
  </si>
  <si>
    <t>告警发生时间</t>
  </si>
  <si>
    <t>InternetGatewayDevice.FaultMgmt.CurrentAlarm.{i}.AlarmChangedTime</t>
  </si>
  <si>
    <t>Device.FaultMgmt.CurrentAlarm.{i}.AlarmChangedTime</t>
  </si>
  <si>
    <t>AlarmChangedTime</t>
  </si>
  <si>
    <t>告警改变时间</t>
  </si>
  <si>
    <t>InternetGatewayDevice.FaultMgmt.CurrentAlarm.{i}.ManagedObjectInstance</t>
  </si>
  <si>
    <t>Device.FaultMgmt.CurrentAlarm.{i}.ManagedObjectInstance</t>
  </si>
  <si>
    <t>ManagedObjectInstance</t>
  </si>
  <si>
    <t>管理对象实例</t>
  </si>
  <si>
    <t>定义了承载该对象实例DN时发生的基站告警的信息对象等级的实例</t>
  </si>
  <si>
    <t>手动同步告警采用该模型节点上报</t>
  </si>
  <si>
    <t>InternetGatewayDevice.FaultMgmt.CurrentAlarm.{i}.EventType</t>
  </si>
  <si>
    <t>Device.FaultMgmt.CurrentAlarm.{i}.EventType</t>
  </si>
  <si>
    <t>InternetGatewayDevice.FaultMgmt.CurrentAlarm.{i}.ProbableCause</t>
  </si>
  <si>
    <t>Device.FaultMgmt.CurrentAlarm.{i}.ProbableCause</t>
  </si>
  <si>
    <t>InternetGatewayDevice.FaultMgmt.CurrentAlarm.{i}.SpecificProblem</t>
  </si>
  <si>
    <t>Device.FaultMgmt.CurrentAlarm.{i}.SpecificProblem</t>
  </si>
  <si>
    <t>InternetGatewayDevice.FaultMgmt.CurrentAlarm.{i}.PerceivedSeverity</t>
  </si>
  <si>
    <t>Device.FaultMgmt.CurrentAlarm.{i}.PerceivedSeverity</t>
  </si>
  <si>
    <t>当前告警级别</t>
  </si>
  <si>
    <t>InternetGatewayDevice.FaultMgmt.CurrentAlarm.{i}.AdditionalText</t>
  </si>
  <si>
    <t>Device.FaultMgmt.CurrentAlarm.{i}.AdditionalText</t>
  </si>
  <si>
    <t>AdditionalText</t>
  </si>
  <si>
    <t>告警附加文本</t>
  </si>
  <si>
    <t>本规范规定内容为厂家告警编码</t>
  </si>
  <si>
    <t>InternetGatewayDevice.FaultMgmt.CurrentAlarm.{i}.AdditionalInformation</t>
  </si>
  <si>
    <t>Device.FaultMgmt.CurrentAlarm.{i}.AdditionalInformation</t>
  </si>
  <si>
    <t>AdditionalInformation</t>
  </si>
  <si>
    <t>告警附加信息</t>
  </si>
  <si>
    <t>（格式：英文）统一采用此参数作为告警附加信息，映射到北向的AlarmText字段</t>
  </si>
  <si>
    <t>InternetGatewayDevice.FaultMgmt.HistoryEvent.{i}.EventTime</t>
  </si>
  <si>
    <t>Device.FaultMgmt.HistoryEvent.{i}.EventTime</t>
  </si>
  <si>
    <t>EventTime</t>
  </si>
  <si>
    <t>告警发生、改变、清除的时间</t>
  </si>
  <si>
    <t>InternetGatewayDevice.FaultMgmt.HistoryEvent.{i}.AlarmIdentifier</t>
  </si>
  <si>
    <t>Device.FaultMgmt.HistoryEvent.{i}.AlarmIdentifier</t>
  </si>
  <si>
    <t>InternetGatewayDevice.FaultMgmt.HistoryEvent.{i}.NotificationType</t>
  </si>
  <si>
    <t>Device.FaultMgmt.HistoryEvent.{i}.NotificationType</t>
  </si>
  <si>
    <t>NotificationType</t>
  </si>
  <si>
    <t>通知类型</t>
  </si>
  <si>
    <t>InternetGatewayDevice.FaultMgmt.HistoryEvent.{i}.ManagedObjectInstance</t>
  </si>
  <si>
    <t>Device.FaultMgmt.HistoryEvent.{i}.ManagedObjectInstance</t>
  </si>
  <si>
    <t>InternetGatewayDevice.FaultMgmt.HistoryEvent.{i}.EventType</t>
  </si>
  <si>
    <t>Device.FaultMgmt.HistoryEvent.{i}.EventType</t>
  </si>
  <si>
    <t>InternetGatewayDevice.FaultMgmt.HistoryEvent.{i}.ProbableCause</t>
  </si>
  <si>
    <t>Device.FaultMgmt.HistoryEvent.{i}.ProbableCause</t>
  </si>
  <si>
    <t>InternetGatewayDevice.FaultMgmt.HistoryEvent.{i}.SpecificProblem</t>
  </si>
  <si>
    <t>Device.FaultMgmt.HistoryEvent.{i}.SpecificProblem</t>
  </si>
  <si>
    <t>InternetGatewayDevice.FaultMgmt.HistoryEvent.{i}.PerceivedSeverity</t>
  </si>
  <si>
    <t>Device.FaultMgmt.HistoryEvent.{i}.PerceivedSeverity</t>
  </si>
  <si>
    <t>告警级别</t>
  </si>
  <si>
    <t>InternetGatewayDevice.FaultMgmt.HistoryEvent.{i}.AdditionalText</t>
  </si>
  <si>
    <t>Device.FaultMgmt.HistoryEvent.{i}.AdditionalText</t>
  </si>
  <si>
    <t>InternetGatewayDevice.FaultMgmt.HistoryEvent.{i}.AdditionalInformation</t>
  </si>
  <si>
    <t>Device.FaultMgmt.HistoryEvent.{i}.AdditionalInformation</t>
  </si>
  <si>
    <t>格式：英文。统一采用此参数作为告警附加信息，映射到北向的AlarmText字段</t>
  </si>
  <si>
    <t>InternetGatewayDevice.FaultMgmt.ExpeditedEvent.{i}.EventTime</t>
  </si>
  <si>
    <t>Device.FaultMgmt.ExpeditedEvent.{i}.EventTime</t>
  </si>
  <si>
    <t>InternetGatewayDevice.FaultMgmt.ExpeditedEvent.{i}.AlarmIdentifier</t>
  </si>
  <si>
    <t>Device.FaultMgmt.ExpeditedEvent.{i}.AlarmIdentifier</t>
  </si>
  <si>
    <t>InternetGatewayDevice.FaultMgmt.ExpeditedEvent.{i}.NotificationType</t>
  </si>
  <si>
    <t>Device.FaultMgmt.ExpeditedEvent.{i}.NotificationType</t>
  </si>
  <si>
    <t>InternetGatewayDevice.FaultMgmt.ExpeditedEvent.{i}.ManagedObjectInstance</t>
  </si>
  <si>
    <t>Device.FaultMgmt.ExpeditedEvent.{i}.ManagedObjectInstance</t>
  </si>
  <si>
    <t>InternetGatewayDevice.FaultMgmt.ExpeditedEvent.{i}.EventType</t>
  </si>
  <si>
    <t>Device.FaultMgmt.ExpeditedEvent.{i}.EventType</t>
  </si>
  <si>
    <t>InternetGatewayDevice.FaultMgmt.ExpeditedEvent.{i}.ProbableCause</t>
  </si>
  <si>
    <t>Device.FaultMgmt.ExpeditedEvent.{i}.ProbableCause</t>
  </si>
  <si>
    <t>InternetGatewayDevice.FaultMgmt.ExpeditedEvent.{i}.SpecificProblem</t>
  </si>
  <si>
    <t>Device.FaultMgmt.ExpeditedEvent.{i}.SpecificProblem</t>
  </si>
  <si>
    <t>InternetGatewayDevice.FaultMgmt.ExpeditedEvent.{i}.PerceivedSeverity</t>
  </si>
  <si>
    <t>Device.FaultMgmt.ExpeditedEvent.{i}.PerceivedSeverity</t>
  </si>
  <si>
    <t>InternetGatewayDevice.FaultMgmt.ExpeditedEvent.{i}.AdditionalText</t>
  </si>
  <si>
    <t>Device.FaultMgmt.ExpeditedEvent.{i}.AdditionalText</t>
  </si>
  <si>
    <t>InternetGatewayDevice.FaultMgmt.ExpeditedEvent.{i}.AdditionalInformation</t>
  </si>
  <si>
    <t>Device.FaultMgmt.ExpeditedEvent.{i}.AdditionalInformation</t>
  </si>
  <si>
    <t>InternetGatewayDevice.FaultMgmt.QueuedEvent.{i}.EventTime</t>
  </si>
  <si>
    <t>Device.FaultMgmt.QueuedEvent.{i}.EventTime</t>
  </si>
  <si>
    <t>InternetGatewayDevice.FaultMgmt.QueuedEvent.{i}.AlarmIdentifier</t>
  </si>
  <si>
    <t>Device.FaultMgmt.QueuedEvent.{i}.AlarmIdentifier</t>
  </si>
  <si>
    <t>InternetGatewayDevice.FaultMgmt.QueuedEvent.{i}.NotificationType</t>
  </si>
  <si>
    <t>Device.FaultMgmt.QueuedEvent.{i}.NotificationType</t>
  </si>
  <si>
    <t>InternetGatewayDevice.FaultMgmt.QueuedEvent.{i}.ManagedObjectInstance</t>
  </si>
  <si>
    <t>Device.FaultMgmt.QueuedEvent.{i}.ManagedObjectInstance</t>
  </si>
  <si>
    <t>InternetGatewayDevice.FaultMgmt.QueuedEvent.{i}.EventType</t>
  </si>
  <si>
    <t>Device.FaultMgmt.QueuedEvent.{i}.EventType</t>
  </si>
  <si>
    <t>InternetGatewayDevice.FaultMgmt.QueuedEvent.{i}.ProbableCause</t>
  </si>
  <si>
    <t>Device.FaultMgmt.QueuedEvent.{i}.ProbableCause</t>
  </si>
  <si>
    <t>InternetGatewayDevice.FaultMgmt.QueuedEvent.{i}.SpecificProblem</t>
  </si>
  <si>
    <t>Device.FaultMgmt.QueuedEvent.{i}.SpecificProblem</t>
  </si>
  <si>
    <t>InternetGatewayDevice.FaultMgmt.QueuedEvent.{i}.PerceivedSeverity</t>
  </si>
  <si>
    <t>Device.FaultMgmt.QueuedEvent.{i}.PerceivedSeverity</t>
  </si>
  <si>
    <t>InternetGatewayDevice.FaultMgmt.QueuedEvent.{i}.AdditionalText</t>
  </si>
  <si>
    <t>Device.FaultMgmt.QueuedEvent.{i}.AdditionalText</t>
  </si>
  <si>
    <t>InternetGatewayDevice.FaultMgmt.QueuedEvent.{i}.AdditionalInformation</t>
  </si>
  <si>
    <t>Device.FaultMgmt.QueuedEvent.{i}.AdditionalInformation</t>
  </si>
  <si>
    <t>InternetGatewayDevice.LogMgmt.PeriodicUploadEnable</t>
  </si>
  <si>
    <t>Device.LogMgmt.PeriodicUploadEnable</t>
  </si>
  <si>
    <t>日志周期上传使能开关</t>
  </si>
  <si>
    <t>(0=false,1=true),禁止或启用将设备日志周期性地发送到指定的文件服务器。在使能开关开启的情况下，如果还未达到上报周期，设备日志文件已达到存储容量上限，则应立即将该时段的增量日志上报到HeMS，并开启一个新的上报周期的要求。</t>
  </si>
  <si>
    <t xml:space="preserve"> 2015年中国移动一体化皮基站网管南向接口技术规范.docx</t>
  </si>
  <si>
    <t>InternetGatewayDevice.LogMgmt.URL</t>
  </si>
  <si>
    <t>Device.LogMgmt.URL</t>
  </si>
  <si>
    <t>日志上传URL</t>
  </si>
  <si>
    <t>指定了目的日志的位置，没有以任何方式指明需要上传的本地文件的名字和位置</t>
  </si>
  <si>
    <t>InternetGatewayDevice.LogMgmt.Username</t>
  </si>
  <si>
    <t>Device.LogMgmt.Username</t>
  </si>
  <si>
    <t>日志管理用户名</t>
  </si>
  <si>
    <t>用户名用于设备到日志服务器的鉴权，如果不需要鉴权，此字符串为空，当PeriodicUploadEnable=true时，才生效。</t>
  </si>
  <si>
    <t>InternetGatewayDevice.LogMgmt.Password</t>
  </si>
  <si>
    <t>Device.LogMgmt.Password</t>
  </si>
  <si>
    <t>日志管理密码</t>
  </si>
  <si>
    <t>密码用于设备到日志服务器的鉴权，如果不需要鉴权，此字符串为空
当为读时，该参数返回一个空字符串，而不是一个实际的值，当PeriodicUploadEnable=true时，才生效。</t>
  </si>
  <si>
    <t>InternetGatewayDevice.LogMgmt.PeriodicUploadInterval</t>
  </si>
  <si>
    <t>Device.LogMgmt.PeriodicUploadInterval</t>
  </si>
  <si>
    <t>PeriodicUploadInterval</t>
  </si>
  <si>
    <t>日志周期上传时间间隔</t>
  </si>
  <si>
    <t>NNSF参数管理</t>
  </si>
  <si>
    <t>InternetGatewayDevice.Services.FAPService.{i}.Capabilities.LTE.NNSFSupported</t>
  </si>
  <si>
    <t>Device.Services.FAPService.{i}.Capabilities.LTE.NNSFSupported</t>
  </si>
  <si>
    <t>NNSFSupported</t>
  </si>
  <si>
    <t>负载均衡参数</t>
  </si>
  <si>
    <t xml:space="preserve">IsLbAllowed </t>
  </si>
  <si>
    <t>TR系列规范(TR098/TR181/TR196)/NRM数据配置要求</t>
  </si>
  <si>
    <t>EPC参数管理</t>
  </si>
  <si>
    <t>InternetGatewayDevice.Services.FAPService.{i}.CellConfig.LTE.EPC.EAID</t>
  </si>
  <si>
    <t>Device.Services.FAPService.{i}.CellConfig.LTE.EPC.EAID</t>
  </si>
  <si>
    <t>EAID</t>
  </si>
  <si>
    <t>EPCEAID</t>
  </si>
  <si>
    <t>unsignedInt[0:16777216]</t>
  </si>
  <si>
    <t>突发事件区域ID</t>
  </si>
  <si>
    <t>TR系列规范(TR098/TR181/TR196)</t>
  </si>
  <si>
    <t>修正参数类型</t>
  </si>
  <si>
    <t>InternetGatewayDevice.Services.FAPService.{i}.CellConfig.LTE.EPC.TAC</t>
  </si>
  <si>
    <t>Device.Services.FAPService.{i}.CellConfig.LTE.EPC.TAC</t>
  </si>
  <si>
    <t>TAC</t>
  </si>
  <si>
    <t>Tac</t>
  </si>
  <si>
    <t>跟踪区代码</t>
  </si>
  <si>
    <t>MME地址</t>
  </si>
  <si>
    <t>InternetGatewayDevice.Services.FAPService.{i}.CellConfig.LTE.MmePoolConfigParam.{i}.PLMNID</t>
  </si>
  <si>
    <t>Device.Services.FAPService.{i}.CellConfig.LTE.MmePoolConfigParam.{i}.PLMNID</t>
  </si>
  <si>
    <t>PLMNID</t>
  </si>
  <si>
    <t>MMEPLMN标识</t>
  </si>
  <si>
    <t>CA</t>
  </si>
  <si>
    <t>AN</t>
  </si>
  <si>
    <t>GlobalUniqueMmeId</t>
  </si>
  <si>
    <t>修正参数类型为string(6)</t>
  </si>
  <si>
    <t>InternetGatewayDevice.Services.FAPService.{i}.CellConfig.LTE.MmePoolConfigParam.{i}.MMEGroupID</t>
  </si>
  <si>
    <t>Device.Services.FAPService.{i}.CellConfig.LTE.MmePoolConfigParam.{i}.MMEGroupID</t>
  </si>
  <si>
    <t>MMEGroupID</t>
  </si>
  <si>
    <t>MMEGroup标识</t>
  </si>
  <si>
    <t>InternetGatewayDevice.Services.FAPService.{i}.CellConfig.LTE.MmePoolConfigParam.{i}.MMECode</t>
  </si>
  <si>
    <t>Device.Services.FAPService.{i}.CellConfig.LTE.MmePoolConfigParam.{i}.MMECode</t>
  </si>
  <si>
    <t>MMECode</t>
  </si>
  <si>
    <t>MME代码</t>
  </si>
  <si>
    <t>unsignedInt[0:255]</t>
  </si>
  <si>
    <t>InternetGatewayDevice.Services.FAPService.{i}.CellConfig.LTE.MmePoolConfigParam.{i}.MMEIp1</t>
  </si>
  <si>
    <t>Device.Services.FAPService.{i}.CellConfig.LTE.MmePoolConfigParam.{i}.MMEIp1</t>
  </si>
  <si>
    <t>MMEIp1</t>
  </si>
  <si>
    <t>MMEIP1</t>
  </si>
  <si>
    <t>FarEndIpAddrList</t>
  </si>
  <si>
    <t>InternetGatewayDevice.Services.FAPService.{i}.CellConfig.LTE.MmePoolConfigParam.{i}.MMEIp2</t>
  </si>
  <si>
    <t>Device.Services.FAPService.{i}.CellConfig.LTE.MmePoolConfigParam.{i}.MMEIp2</t>
  </si>
  <si>
    <t>MMEIp2</t>
  </si>
  <si>
    <t>MMEIP2</t>
  </si>
  <si>
    <t>S1-U对象</t>
  </si>
  <si>
    <t>InternetGatewayDevice.Services.FAPService.{i}.CellConfig.LTE.S1U.{i}.LocIpAddrList</t>
  </si>
  <si>
    <t>Device.Services.FAPService.{i}.CellConfig.LTE.S1U.{i}.LocIpAddrList</t>
  </si>
  <si>
    <t>LocIpAddrList</t>
  </si>
  <si>
    <t>本地IP地址列表</t>
  </si>
  <si>
    <t>AI</t>
  </si>
  <si>
    <t>InternetGatewayDevice.Services.FAPService.{i}.CellConfig.LTE.S1U.{i}.FarIpSubnetworkList</t>
  </si>
  <si>
    <t>Device.Services.FAPService.{i}.CellConfig.LTE.S1U.{i}.FarIpSubnetworkList</t>
  </si>
  <si>
    <t>FarIpSubnetworkList</t>
  </si>
  <si>
    <t>远端IP地址列表</t>
  </si>
  <si>
    <t>安全网关参数管理</t>
  </si>
  <si>
    <t>InternetGatewayDevice.Services.FAPService.{i}.FAPControl.LTE.Gateway.SecGWServer1</t>
  </si>
  <si>
    <t>Device.Services.FAPService.{i}.FAPControl.LTE.Gateway.SecGWServer1</t>
  </si>
  <si>
    <t>SecGWServer1</t>
  </si>
  <si>
    <t>安全网关1</t>
  </si>
  <si>
    <t>AX、AY</t>
  </si>
  <si>
    <t>InternetGatewayDevice.Services.FAPService.{i}.FAPControl.LTE.Gateway.SecGWServer2</t>
  </si>
  <si>
    <t>Device.Services.FAPService.{i}.FAPControl.LTE.Gateway.SecGWServer2</t>
  </si>
  <si>
    <t>SecGWServer2</t>
  </si>
  <si>
    <t>安全网关2</t>
  </si>
  <si>
    <t>InternetGatewayDevice.Services.FAPService.{i}.FAPControl.LTE.Gateway.SecGWServer3</t>
  </si>
  <si>
    <t>Device.Services.FAPService.{i}.FAPControl.LTE.Gateway.SecGWServer3</t>
  </si>
  <si>
    <t>SecGWServer3</t>
  </si>
  <si>
    <t>安全网关3</t>
  </si>
  <si>
    <t>接入网关参数管理</t>
  </si>
  <si>
    <t xml:space="preserve">InternetGatewayDevice.Services.FAPService.{i}.FAPControl.LTE.Gateway.AGServerEnable </t>
  </si>
  <si>
    <t xml:space="preserve">Device.Services.FAPService.{i}.FAPControl.LTE.Gateway.AGServerEnable </t>
  </si>
  <si>
    <t xml:space="preserve">AGServerEnable </t>
  </si>
  <si>
    <t>HeGW方式接入</t>
  </si>
  <si>
    <t>AccessHegw</t>
  </si>
  <si>
    <t>控制小基站采用信令网关地址或MME地址来连接
(0=采用MME地址,1=采用信令网关地址)</t>
  </si>
  <si>
    <t>InternetGatewayDevice.Services.FAPService.{i}.FAPControl.LTE.Gateway.AGServerIp1</t>
  </si>
  <si>
    <t>Device.Services.FAPService.{i}.FAPControl.LTE.Gateway.AGServerIp1</t>
  </si>
  <si>
    <t>AGServerIp1</t>
  </si>
  <si>
    <t>接入网关1</t>
  </si>
  <si>
    <t>InternetGatewayDevice.Services.FAPService.{i}.FAPControl.LTE.Gateway.AGServerIp2</t>
  </si>
  <si>
    <t>Device.Services.FAPService.{i}.FAPControl.LTE.Gateway.AGServerIp2</t>
  </si>
  <si>
    <t>AGServerIp2</t>
  </si>
  <si>
    <t>接入网关2</t>
  </si>
  <si>
    <t>InternetGatewayDevice.Services.FAPService.{i}.FAPControl.LTE.Gateway.AGServerIp3</t>
  </si>
  <si>
    <t>Device.Services.FAPService.{i}.FAPControl.LTE.Gateway.AGServerIp3</t>
  </si>
  <si>
    <t>AGServerIp3</t>
  </si>
  <si>
    <t>接入网关3</t>
  </si>
  <si>
    <t>InternetGatewayDevice.Services.FAPService.{i}.FAPControl.LTE.Gateway.AGPort1</t>
  </si>
  <si>
    <t>Device.Services.FAPService.{i}.FAPControl.LTE.Gateway.AGPort1</t>
  </si>
  <si>
    <t>AGPort1</t>
  </si>
  <si>
    <t>接入网关端口1</t>
  </si>
  <si>
    <t>InternetGatewayDevice.Services.FAPService.{i}.FAPControl.LTE.Gateway.AGPort2</t>
  </si>
  <si>
    <t>Device.Services.FAPService.{i}.FAPControl.LTE.Gateway.AGPort2</t>
  </si>
  <si>
    <t>AGPort2</t>
  </si>
  <si>
    <t>接入网关端口2</t>
  </si>
  <si>
    <t>InternetGatewayDevice.Services.FAPService.{i}.FAPControl.LTE.Gateway.AGPort3</t>
  </si>
  <si>
    <t>Device.Services.FAPService.{i}.FAPControl.LTE.Gateway.AGPort3</t>
  </si>
  <si>
    <t>AGPort3</t>
  </si>
  <si>
    <t>接入网关端口3</t>
  </si>
  <si>
    <t>X2连接地址</t>
  </si>
  <si>
    <t>InternetGatewayDevice.Services.FAPService.{i}.FAPControl.X2IpAddrMapInfo.{i}.PLMNID</t>
  </si>
  <si>
    <t>Device.Services.FAPService.{i}.FAPControl.X2IpAddrMapInfo.{i}.PLMNID</t>
  </si>
  <si>
    <t>AG</t>
  </si>
  <si>
    <t>InternetGatewayDevice.Services.FAPService.{i}.FAPControl.X2IpAddrMapInfo.{i}.EnbType</t>
  </si>
  <si>
    <t>Device.Services.FAPService.{i}.FAPControl.X2IpAddrMapInfo.{i}.EnbType</t>
  </si>
  <si>
    <t>EnbType</t>
  </si>
  <si>
    <t>基站类型</t>
  </si>
  <si>
    <t>InternetGatewayDevice.Services.FAPService.{i}.FAPControl.X2IpAddrMapInfo.{i}.EnbId</t>
  </si>
  <si>
    <t>Device.Services.FAPService.{i}.FAPControl.X2IpAddrMapInfo.{i}.EnbId</t>
  </si>
  <si>
    <t>EnbId</t>
  </si>
  <si>
    <t>eNBID</t>
  </si>
  <si>
    <t>InternetGatewayDevice.Services.FAPService.{i}.FAPControl.X2IpAddrMapInfo.{i}.WanIpAddress</t>
  </si>
  <si>
    <t>Device.Services.FAPService.{i}.FAPControl.X2IpAddrMapInfo.{i}.WanIpAddress</t>
  </si>
  <si>
    <t>WanIpAddress</t>
  </si>
  <si>
    <t>WAN口IP</t>
  </si>
  <si>
    <t>X2IpAddressList</t>
  </si>
  <si>
    <t>InternetGatewayDevice.Services.FAPService.{i}.FAPControl.X2IpAddrMapInfo.{i}.SubnetMask</t>
  </si>
  <si>
    <t>Device.Services.FAPService.{i}.FAPControl.X2IpAddrMapInfo.{i}.SubnetMask</t>
  </si>
  <si>
    <t>SubnetMask</t>
  </si>
  <si>
    <t>子网掩码</t>
  </si>
  <si>
    <t>增加子网掩码用于配置X2连接地址</t>
  </si>
  <si>
    <t>小区闭塞</t>
  </si>
  <si>
    <t>InternetGatewayDevice.Services.FAPService.{i}.CellConfig.LTE.RAN.CellRestriction.CellBarred</t>
  </si>
  <si>
    <t>Device.Services.FAPService.{i}.CellConfig.LTE.RAN.CellRestriction.CellBarred</t>
  </si>
  <si>
    <t>CellBarred</t>
  </si>
  <si>
    <t>AQ</t>
  </si>
  <si>
    <t>{barred, notBarred}</t>
  </si>
  <si>
    <t>接入UE数量管理</t>
  </si>
  <si>
    <t>InternetGatewayDevice.Services.FAPService.{i}.AccessMgmt.LTE.UeInactiveTimer</t>
  </si>
  <si>
    <t>Device.Services.FAPService.{i}.Capabilities.LTE.UeInactiveTimer</t>
  </si>
  <si>
    <t>UeInactiveTimer</t>
  </si>
  <si>
    <t>连接态UE不活动定时器</t>
  </si>
  <si>
    <t>InternetGatewayDevice.Services.FAPService.{i}.AccessMgmt.LTE.MaxUEsServed</t>
  </si>
  <si>
    <t>Device.Services.FAPService.{i}.AccessMgmt.LTE.MaxUEsServed</t>
  </si>
  <si>
    <t>SupportRRCNumbers</t>
  </si>
  <si>
    <t>同时支持RRC连接最大用户数</t>
  </si>
  <si>
    <t>int[-1:]</t>
  </si>
  <si>
    <t>InternetGatewayDevice.Services.FAPService.{i}.AccessMgmt.LTE.SupportActiveRRCNumbers</t>
  </si>
  <si>
    <t>Device.Services.FAPService.{i}.Capabilities.LTE.SupportActiveRRCNumbers</t>
  </si>
  <si>
    <t>SupportActiveRRCNumbers</t>
  </si>
  <si>
    <t>同时支持RRC激活最大用户数</t>
  </si>
  <si>
    <t>基站PLMN参数列表</t>
  </si>
  <si>
    <t>InternetGatewayDevice.Services.FAPService.{i}.CellConfig.LTE.EPC.PLMNList.{i}.PLMNID</t>
  </si>
  <si>
    <t>Device.Services.FAPService.{i}.CellConfig.LTE.EPC.PLMNList.{i}.PLMNID</t>
  </si>
  <si>
    <t>小区PLMNID</t>
  </si>
  <si>
    <t>PlmnIdList</t>
  </si>
  <si>
    <t>由MCC和MNC组成</t>
  </si>
  <si>
    <t>InternetGatewayDevice.Services.FAPService.{i}.CellConfig.LTE.EPC.PLMNList.{i}.CellReservedForOperatorUse</t>
  </si>
  <si>
    <t>Device.Services.FAPService.{i}.CellConfig.LTE.EPC.PLMNList.{i}.CellReservedForOperatorUse</t>
  </si>
  <si>
    <t>CellReservedForOperatorUse</t>
  </si>
  <si>
    <t>小区预留标识</t>
  </si>
  <si>
    <t>供运营商使用的小区预留标志</t>
  </si>
  <si>
    <t>广播参数管理</t>
  </si>
  <si>
    <t>InternetGatewayDevice.Services.FAPService.{i}.CellConfig.SysInfoCtrlParam.MultiBandInfoListSIB1</t>
  </si>
  <si>
    <t>Device.Services.FAPService.{i}.CellConfig.SysInfoCtrlParam.MultiBandInfoListSIB1</t>
  </si>
  <si>
    <t>MultiBandInfoListSIB1</t>
  </si>
  <si>
    <t>SIB1中多频段指示参数</t>
  </si>
  <si>
    <t>unsignedInt[1:64]</t>
  </si>
  <si>
    <t>InternetGatewayDevice.Services.FAPService.{i}.CellConfig.SysInfoCtrlParam.MultiBandInfoListSIB5</t>
  </si>
  <si>
    <t>Device.Services.FAPService.{i}.CellConfig.SysInfoCtrlParam.MultiBandInfoListSIB5</t>
  </si>
  <si>
    <t>MultiBandInfoListSIB5</t>
  </si>
  <si>
    <t>SIB5中多频段指示参数</t>
  </si>
  <si>
    <t>小区参数管理</t>
  </si>
  <si>
    <t>InternetGatewayDevice.Services.FAPService.{i}.CellConfig.LTE.RAN.RF.UserLabel</t>
  </si>
  <si>
    <t>Device.Services.FAPService.{i}.CellConfig.LTE.RAN.RF.UserLabel</t>
  </si>
  <si>
    <t>AJ</t>
  </si>
  <si>
    <t>InternetGatewayDevice.Services.FAPService.{i}.CellConfig.LTE.RAN.RF.EARFCNDL</t>
  </si>
  <si>
    <t>Device.Services.FAPService.{i}.CellConfig.LTE.RAN.RF.EARFCNDL</t>
  </si>
  <si>
    <t>EARFCNDL</t>
  </si>
  <si>
    <t>下行EARFCN</t>
  </si>
  <si>
    <t>AJ、AG</t>
  </si>
  <si>
    <t>Earfcn</t>
  </si>
  <si>
    <t xml:space="preserve">  string(128)</t>
  </si>
  <si>
    <t>InternetGatewayDevice.Services.FAPService.{i}.CellConfig.LTE.RAN.RF.PhyCellID</t>
  </si>
  <si>
    <t>Device.Services.FAPService.{i}.CellConfig.LTE.RAN.RF.PhyCellID</t>
  </si>
  <si>
    <t>PhyCellID</t>
  </si>
  <si>
    <t>PCI</t>
  </si>
  <si>
    <t>Pci</t>
  </si>
  <si>
    <t>修正参数类型，修改参数名大小写，保持和TR196一致</t>
  </si>
  <si>
    <t>InternetGatewayDevice.Services.FAPService.{i}.CellConfig.LTE.RAN.RF.DLBandwidth</t>
  </si>
  <si>
    <t>Device.Services.FAPService.{i}.CellConfig.LTE.RAN.RF.DLBandwidth</t>
  </si>
  <si>
    <t>DLBandwidth</t>
  </si>
  <si>
    <t>下行带宽</t>
  </si>
  <si>
    <t>BandWidth</t>
  </si>
  <si>
    <t>InternetGatewayDevice.Services.FAPService.{i}.CellConfig.LTE.RAN.RF.ULBandwidth</t>
  </si>
  <si>
    <t>Device.Services.FAPService.{i}.CellConfig.LTE.RAN.RF.ULBandwidth</t>
  </si>
  <si>
    <t>ULBandwidth</t>
  </si>
  <si>
    <t>上行带宽</t>
  </si>
  <si>
    <t>InternetGatewayDevice.Services.FAPService.{i}.CellConfig.LTE.RAN.RF.PSCHPowerOffset</t>
  </si>
  <si>
    <t>Device.Services.FAPService.{i}.CellConfig.LTE.RAN.RF.PSCHPowerOffset</t>
  </si>
  <si>
    <t>PSCHPowerOffset</t>
  </si>
  <si>
    <t>PSCH功率偏置</t>
  </si>
  <si>
    <t>主同步信道相对ReferenceSignalPower的功率偏置</t>
  </si>
  <si>
    <t>InternetGatewayDevice.Services.FAPService.{i}.CellConfig.LTE.RAN.RF.SSCHPowerOffset</t>
  </si>
  <si>
    <t>Device.Services.FAPService.{i}.CellConfig.LTE.RAN.RF.SSCHPowerOffset</t>
  </si>
  <si>
    <t>SSCHPowerOffset</t>
  </si>
  <si>
    <t>SSCH功率偏置</t>
  </si>
  <si>
    <t>辅同步信道相对ReferenceSignalPower
的功率偏置</t>
  </si>
  <si>
    <t>InternetGatewayDevice.Services.FAPService.{i}.CellConfig.LTE.RAN.RF.PBCHPowerOffset</t>
  </si>
  <si>
    <t>Device.Services.FAPService.{i}.CellConfig.LTE.RAN.RF.PBCHPowerOffset</t>
  </si>
  <si>
    <t>PBCHPowerOffset</t>
  </si>
  <si>
    <t>PBCH功率偏置</t>
  </si>
  <si>
    <t>物理广播信道相对ReferenceSignalPower的功率偏置</t>
  </si>
  <si>
    <t>InternetGatewayDevice.Services.FAPService.{i}.CellConfig.LTE.RAN.RF.EARFCNUL</t>
  </si>
  <si>
    <t>Device.Services.FAPService.{i}.CellConfig.LTE.RAN.RF.EARFCNUL</t>
  </si>
  <si>
    <t>EARFCNUL</t>
  </si>
  <si>
    <t>上行EARFCN</t>
  </si>
  <si>
    <t>上行或双向E-UTRA载频</t>
  </si>
  <si>
    <t>InternetGatewayDevice.Services.FAPService.{i}.CellConfig.LTE.RAN.RF.FreqBandIndicator</t>
  </si>
  <si>
    <t>Device.Services.FAPService.{i}.CellConfig.LTE.RAN.RF.FreqBandIndicator</t>
  </si>
  <si>
    <t>FreqBandIndicator</t>
  </si>
  <si>
    <t>频带指示</t>
  </si>
  <si>
    <t>BandIndicator</t>
  </si>
  <si>
    <t>int[1:40]</t>
  </si>
  <si>
    <t>将181参数名称改为和098一致</t>
  </si>
  <si>
    <t>InternetGatewayDevice.Services.FAPService.{i}.Capabilities.MaxTxPower</t>
  </si>
  <si>
    <t>Device.Services.FAPService.{i}.Capabilities.MaxTxPower</t>
  </si>
  <si>
    <t>MaxTxPower</t>
  </si>
  <si>
    <t>最大发射功率</t>
  </si>
  <si>
    <t>MaximumTransmissionPower</t>
  </si>
  <si>
    <t xml:space="preserve">  unsignedInt</t>
  </si>
  <si>
    <t>InternetGatewayDevice.Services.FAPService.{i}.CellConfig.LTE.RAN.RF.ReferenceSignalPower</t>
  </si>
  <si>
    <t>Device.Services.FAPService.{i}.CellConfig.LTE.RAN.RF.ReferenceSignalPower</t>
  </si>
  <si>
    <t>ReferenceSignalPower</t>
  </si>
  <si>
    <t>参考信号功率</t>
  </si>
  <si>
    <t>小区参考信号功率</t>
  </si>
  <si>
    <t>小区标识参数</t>
  </si>
  <si>
    <t>InternetGatewayDevice.Services.FAPService.{i}.CellConfig.LTE.RAN.Common.CellIdentity</t>
  </si>
  <si>
    <t>Device.Services.FAPService.{i}.CellConfig.LTE.RAN.Common.CellIdentity</t>
  </si>
  <si>
    <t>CellIdentity</t>
  </si>
  <si>
    <t>小区标识</t>
  </si>
  <si>
    <t>unsignedInt[0:268435455]</t>
  </si>
  <si>
    <t>小区CelllD（对应3GPP ECGI格式，28位）</t>
  </si>
  <si>
    <t>InternetGatewayDevice.Services.FAPService.{i}.CellConfig.LTE.RAN.Common.EnbType</t>
  </si>
  <si>
    <t>Device.Services.FAPService.{i}.CellConfig.LTE.RAN.Common.EnbType</t>
  </si>
  <si>
    <t xml:space="preserve"> </t>
  </si>
  <si>
    <t>unsignedInt[0:1]</t>
  </si>
  <si>
    <t>(0=宏站小区，1=微站小区)</t>
  </si>
  <si>
    <t>VoLTE参数</t>
  </si>
  <si>
    <t>InternetGatewayDevice.Services.FAPService.{i}.CellConfig.LTE.VoLTE.PdcpInitParam.{i}.RohcEn</t>
  </si>
  <si>
    <t>Device.Services.FAPService.{i}.CellConfig.LTE.VoLTE.PdcpInitParam.{i}.RohcEn</t>
  </si>
  <si>
    <t>RohcEn</t>
  </si>
  <si>
    <t>分QCI头压缩功能开关</t>
  </si>
  <si>
    <t>HeaderCompressionSwitch</t>
  </si>
  <si>
    <t>（ON，OFF, NA）,{i}取值范围[1,…,9]</t>
  </si>
  <si>
    <t>InternetGatewayDevice.Services.FAPService.{i}.CellConfig.LTE.VoLTEParam.SPSSwitchQCI1Ul</t>
  </si>
  <si>
    <t>Device.Services.FAPService.{i}.CellConfig.LTE.VoLTEParam.SPSSwitchQCI1Ul</t>
  </si>
  <si>
    <t>SPSSwitchQCI1Ul</t>
  </si>
  <si>
    <t>QCI1上行SPS功能开关</t>
  </si>
  <si>
    <t>（ON，OFF, NA）</t>
  </si>
  <si>
    <t>载波聚合参数管理</t>
  </si>
  <si>
    <t>InternetGatewayDevice.Services.FAPService.{i}.CellConfig.LTE.CAParam.CASwitchUl</t>
  </si>
  <si>
    <t>Device.Services.FAPService.{i}.CellConfig.LTE.CAParam.CASwitchUl</t>
  </si>
  <si>
    <t>CASwitchUl</t>
  </si>
  <si>
    <t>上行载波聚合功能开关</t>
  </si>
  <si>
    <t>InternetGatewayDevice.Services.FAPService.{i}.CellConfig.LTE.CAParam.CASwitchDl</t>
  </si>
  <si>
    <t>Device.Services.FAPService.{i}.CellConfig.LTE.CAParam.CASwitchDl</t>
  </si>
  <si>
    <t>CASwitchDl</t>
  </si>
  <si>
    <t>下行载波聚合功能开关</t>
  </si>
  <si>
    <t>基站运行状态参数</t>
  </si>
  <si>
    <t>InternetGatewayDevice.Services.FAPService.{i}.FAPControl.LTE.AdminState</t>
  </si>
  <si>
    <t>Device.Services.FAPService.{i}.FAPControl.LTE.AdminState</t>
  </si>
  <si>
    <t>AdminState</t>
  </si>
  <si>
    <t>基站管理状态</t>
  </si>
  <si>
    <t>0:关闭
1:开启</t>
  </si>
  <si>
    <t xml:space="preserve">一体化皮基基站或扩展型一体化皮基站主机射频开关：
true：标识射频开启；
false：标识射频关闭。. </t>
  </si>
  <si>
    <t>InternetGatewayDevice.Services.FAPService.{i}.FAPControl.LTE.OpState</t>
  </si>
  <si>
    <t>Device.Services.FAPService.{i}.FAPControl.LTE.OpState</t>
  </si>
  <si>
    <t>OpState</t>
  </si>
  <si>
    <t>基站运行状态</t>
  </si>
  <si>
    <t>0:禁止
1:启动</t>
  </si>
  <si>
    <t>TR系列规范(TR098/TR181/TR197)</t>
  </si>
  <si>
    <t>FAP当前操作状态：
false：禁止
true:启动</t>
  </si>
  <si>
    <t>InternetGatewayDevice.Services.FAPService.{i}.FAPControl.LTE.RFTxStatus</t>
  </si>
  <si>
    <t>Device.Services.FAPService.{i}.FAPControl.LTE.RFTxStatus</t>
  </si>
  <si>
    <t>RFTxStatus</t>
  </si>
  <si>
    <t>基站射频状态</t>
  </si>
  <si>
    <t>TR系列规范(TR098/TR181/TR198)</t>
  </si>
  <si>
    <t>RF发射机的当前状态：
true：RF发射机运行状态；
false：RF发射机是停止状态。</t>
  </si>
  <si>
    <t>InternetGatewayDevice.Services.FAPService.{i}.Transport.SCTP.Enable</t>
  </si>
  <si>
    <t>Device.Services.FAPService.{i}.Transport.SCTP.Enable</t>
  </si>
  <si>
    <t>Enable</t>
  </si>
  <si>
    <t>使能开关</t>
  </si>
  <si>
    <t>Boolean</t>
  </si>
  <si>
    <t>InternetGatewayDevice.Services.FAPService.{i}.Transport.SCTP.RTOInitial</t>
  </si>
  <si>
    <t>Device.Services.FAPService.{i}.Transport.SCTP.RTOInitial</t>
  </si>
  <si>
    <t>RTOInitial</t>
  </si>
  <si>
    <t>重传超时的初始值</t>
  </si>
  <si>
    <t>InternetGatewayDevice.Services.FAPService.{i}.Transport.SCTP.RTOMin</t>
  </si>
  <si>
    <t>Device.Services.FAPService.{i}.Transport.SCTP.RTOMin</t>
  </si>
  <si>
    <t>RTOMin</t>
  </si>
  <si>
    <t>重传超时的最小值</t>
  </si>
  <si>
    <t>InternetGatewayDevice.Services.FAPService.{i}.Transport.SCTP.RTOMax</t>
  </si>
  <si>
    <t>Device.Services.FAPService.{i}.Transport.SCTP.RTOMax</t>
  </si>
  <si>
    <t>RTOMax</t>
  </si>
  <si>
    <t>重传超时的最大值</t>
  </si>
  <si>
    <t>InternetGatewayDevice.Services.FAPService.{i}.Transport.SCTP.MaxInitRetransmits</t>
  </si>
  <si>
    <t>Device.Services.FAPService.{i}.Transport.SCTP.MaxInitRetransmits</t>
  </si>
  <si>
    <t>MaxInitRetransmits</t>
  </si>
  <si>
    <t>最大初始重传数</t>
  </si>
  <si>
    <t>InternetGatewayDevice.Services.FAPService.{i}.Transport.SCTP.HBInterval</t>
  </si>
  <si>
    <t>Device.Services.FAPService.{i}.Transport.SCTP.HBInterval</t>
  </si>
  <si>
    <t>HBInterval</t>
  </si>
  <si>
    <t>心跳时间间隔</t>
  </si>
  <si>
    <t>InternetGatewayDevice.Services.FAPService.{i}.Transport.SCTP.MaxPathRetransmits</t>
  </si>
  <si>
    <t>Device.Services.FAPService.{i}.Transport.SCTP.MaxPathRetransmits</t>
  </si>
  <si>
    <t>MaxPathRetransmits</t>
  </si>
  <si>
    <t>最大重传次数</t>
  </si>
  <si>
    <t>InternetGatewayDevice.Services.FAPService.{i}.Transport.SCTP.MaxAssociationRetransmits</t>
  </si>
  <si>
    <t>Device.Services.FAPService.{i}.Transport.SCTP.MaxAssociationRetransmits</t>
  </si>
  <si>
    <t>MaxAssociationRetransmits</t>
  </si>
  <si>
    <t>本端的最大连续重传数目</t>
  </si>
  <si>
    <t>InternetGatewayDevice.Services.FAPService.{i}.Transport.SCTP.ValCookieLife</t>
  </si>
  <si>
    <t>Device.Services.FAPService.{i}.Transport.SCTP.ValCookieLife</t>
  </si>
  <si>
    <t>ValCookieLife</t>
  </si>
  <si>
    <t>有效cookie的生命周期</t>
  </si>
  <si>
    <t>InternetGatewayDevice.Services.FAPService.{i}.Transport.SCTP.Assoc.{i}.SCTPAssocLocalAddr</t>
  </si>
  <si>
    <t>Device.Services.FAPService.{i}.Transport.SCTP.Assoc.{i}.SCTPAssocLocalAddr</t>
  </si>
  <si>
    <t>SCTPAssocLocalAddr</t>
  </si>
  <si>
    <t>本端IP地址</t>
  </si>
  <si>
    <t>NRM配置要求</t>
  </si>
  <si>
    <t>北向对应关系重新匹配</t>
  </si>
  <si>
    <t>InternetGatewayDevice.Services.FAPService.{i}.Transport.SCTP.Assoc.{i}.LocalPort</t>
  </si>
  <si>
    <t>Device.Services.FAPService.{i}.Transport.SCTP.Assoc.{i}.LocalPort</t>
  </si>
  <si>
    <t>LocalPort</t>
  </si>
  <si>
    <t>本端端口</t>
  </si>
  <si>
    <t>InternetGatewayDevice.Services.FAPService.{i}.Transport.SCTP.Assoc.{i}.PrimaryPeerAddress</t>
  </si>
  <si>
    <t>Device.Services.FAPService.{i}.Transport.SCTP.Assoc.{i}.PrimaryPeerAddress</t>
  </si>
  <si>
    <t>PrimaryPeerAddress</t>
  </si>
  <si>
    <t>远端IP地址</t>
  </si>
  <si>
    <t>AP</t>
  </si>
  <si>
    <t>SCTPAssocRemoteAddr</t>
  </si>
  <si>
    <t>InternetGatewayDevice.Services.FAPService.{i}.Transport.SCTP.Assoc.{i}.RemotePort</t>
  </si>
  <si>
    <t>Device.Services.FAPService.{i}.Transport.SCTP.Assoc.{i}.RemotePort</t>
  </si>
  <si>
    <t>RemotePort</t>
  </si>
  <si>
    <t>远端端口</t>
  </si>
  <si>
    <t>修改说明</t>
  </si>
  <si>
    <t>物理层参数管理</t>
  </si>
  <si>
    <t>InternetGatewayDevice.Services.FAPService.{i}.CellConfig.LTE.RAN.PHY.MBSFN.NeighCellConfig</t>
  </si>
  <si>
    <t>Device.Services.FAPService.{i}.CellConfig.LTE.RAN.PHY.MBSFN.NeighCellConfig</t>
  </si>
  <si>
    <t>NeighCellConfig</t>
  </si>
  <si>
    <t>邻区配置</t>
  </si>
  <si>
    <t>AJ、AV</t>
  </si>
  <si>
    <t>unsignedInt[0:3]</t>
  </si>
  <si>
    <t>提供邻小区的MBSFN和TDDUL/DL配置信息。
0：不是所有的小区与服务小区有相同的MBSFN子帧分配；
1：所有邻小区没有MBSFN子帧；
2：所有邻小区的MBSFN子帧分配与服务小区相同或者是服务小区的自己；
3：对于TDD，邻小区的UL/DL分配与服务小区的不同。</t>
  </si>
  <si>
    <t>InternetGatewayDevice.Services.FAPService.{i}.CellConfig.LTE.RAN.PHY.MBSFN.SFConfigList.{i}.RadioframeAllocationOffset</t>
  </si>
  <si>
    <t>Device.Services.FAPService.{i}.CellConfig.LTE.RAN.PHY.MBSFN.SFConfigList.{i}.RadioframeAllocationOffset</t>
  </si>
  <si>
    <t>RadioframeAllocationOffset</t>
  </si>
  <si>
    <t>无线帧分配偏置</t>
  </si>
  <si>
    <t>unsignedInt[0:6]</t>
  </si>
  <si>
    <t xml:space="preserve">radioFrameAllocationPeriod=radioFrameAllocationOffset时，生成包含MBSFN子帧的无线帧。当radioFrameAllocationSize等于4时，等式定义分配的前四个帧。n1
对应1，n2对应2等。当
radioFrameAllocationSize等于4
时，值n1,n2不再适用
</t>
  </si>
  <si>
    <t>InternetGatewayDevice.Services.FAPService.{i}.CellConfig.LTE.RAN.PHY.MBSFN.SFConfigList.{i}.RadioFrameAllocationPeriod</t>
  </si>
  <si>
    <t>Device.Services.FAPService.{i}.CellConfig.LTE.RAN.PHY.MBSFN.SFConfigList.{i}.RadioFrameAllocationPeriod</t>
  </si>
  <si>
    <t>RadioFrameAllocationPeriod</t>
  </si>
  <si>
    <t>无线帧分配周期</t>
  </si>
  <si>
    <t>unsignedInt[0:8]</t>
  </si>
  <si>
    <t>radioFrameAllocationPeriod=radioFrameAllocationOffset时，生成包含MBSFN子帧的无线帧。n1代表1，n2代表2</t>
  </si>
  <si>
    <t>InternetGatewayDevice.Services.FAPService.{i}.CellConfig.LTE.RAN.PHY.MBSFN.SFConfigList.{i}.RadioFrameAllocationSize</t>
  </si>
  <si>
    <t>Device.Services.FAPService.{i}.CellConfig.LTE.RAN.PHY.MBSFN.SFConfigList.{i}.RadioFrameAllocationSize</t>
  </si>
  <si>
    <t>RadioFrameAllocationSize</t>
  </si>
  <si>
    <t>MBSFN连续无线帧数</t>
  </si>
  <si>
    <t>unsignedInt[1,4]</t>
  </si>
  <si>
    <t xml:space="preserve">代表MBSFN分配适合的连续帧的数，rf1对应1，rf4对应4，
取值范围：1,4
1代表rf1,4代表rf4
</t>
  </si>
  <si>
    <t>InternetGatewayDevice.Services.FAPService.{i}.CellConfig.LTE.RAN.PHY.MBSFN.SFConfigList.{i}.SubFrameAllocations</t>
  </si>
  <si>
    <t>Device.Services.FAPService.{i}.CellConfig.LTE.RAN.PHY.MBSFN.SFConfigList.{i}.SubFrameAllocations</t>
  </si>
  <si>
    <t>SubFrameAllocations</t>
  </si>
  <si>
    <t>MBSFN子帧分配样式</t>
  </si>
  <si>
    <t>分配的子帧数，如果radioFrameAllocationSize为1，有效位为低6位，如果radioFrameAllocationSize为4，有效位为低24位</t>
  </si>
  <si>
    <t>InternetGatewayDevice.Services.FAPService.{i}.CellConfig.LTE.RAN.PHY.MBSFN.SFConfigList.{i}.SyncStratumID</t>
  </si>
  <si>
    <t>Device.Services.FAPService.{i}.CellConfig.LTE.RAN.PHY.MBSFN.SFConfigList.{i}.SyncStratumID</t>
  </si>
  <si>
    <t>SyncStratumID</t>
  </si>
  <si>
    <t>空口同步等级</t>
  </si>
  <si>
    <t>unsignedInt[1:8]</t>
  </si>
  <si>
    <t>定义MBSFN配置适用的同步层级别</t>
  </si>
  <si>
    <t>InternetGatewayDevice.Services.FAPService.{i}.CellConfig.LTE.RAN.PHY.PRACH.ConfigurationIndex</t>
  </si>
  <si>
    <t>Device.Services.FAPService.{i}.CellConfig.LTE.RAN.PHY.PRACH.ConfigurationIndex</t>
  </si>
  <si>
    <t>ConfigurationIndex</t>
  </si>
  <si>
    <t>PRACH配置索引</t>
  </si>
  <si>
    <t>PRACH配置资源索引，由该值可确定系统所用的前导码格式及PRACH资源的时域位置</t>
  </si>
  <si>
    <t>InternetGatewayDevice.Services.FAPService.{i}.CellConfig.LTE.RAN.PHY.PRACH.FreqOffset</t>
  </si>
  <si>
    <t>Device.Services.FAPService.{i}.CellConfig.LTE.RAN.PHY.PRACH.FreqOffset</t>
  </si>
  <si>
    <t>FreqOffset</t>
  </si>
  <si>
    <t>PRACH频率偏移</t>
  </si>
  <si>
    <t>第一个PRACH可用的物理资源块，表示为一个物理资源块序号。该参数仅对前导格式0~3有效</t>
  </si>
  <si>
    <t>InternetGatewayDevice.Services.FAPService.{i}.CellConfig.LTE.RAN.PHY.PRACH.HighSpeedFlag</t>
  </si>
  <si>
    <t>Device.Services.FAPService.{i}.CellConfig.LTE.RAN.PHY.PRACH.HighSpeedFlag</t>
  </si>
  <si>
    <t>HighSpeedFlag</t>
  </si>
  <si>
    <t>高速状态标识</t>
  </si>
  <si>
    <t>决定使用不受限制的前导码集(FALSE)还是受限制的前导码集(TRUE)</t>
  </si>
  <si>
    <t>InternetGatewayDevice.Services.FAPService.{i}.CellConfig.LTE.RAN.PHY.PRACH.RootSequenceIndex</t>
  </si>
  <si>
    <t>Device.Services.FAPService.{i}.CellConfig.LTE.RAN.PHY.PRACH.RootSequenceIndex</t>
  </si>
  <si>
    <t>RootSequenceIndex</t>
  </si>
  <si>
    <t>逻辑根序列索引</t>
  </si>
  <si>
    <t>决定小区中可用的64个物理RACH前导码序列</t>
  </si>
  <si>
    <t>InternetGatewayDevice.Services.FAPService.{i}.CellConfig.LTE.RAN.PHY.PRACH.ZeroCorrelationZoneConfig</t>
  </si>
  <si>
    <t>Device.Services.FAPService.{i}.CellConfig.LTE.RAN.PHY.PRACH.ZeroCorrelationZoneConfig</t>
  </si>
  <si>
    <t>ZeroCorrelationZoneConfig</t>
  </si>
  <si>
    <t>零相关配置</t>
  </si>
  <si>
    <t>该参数用在前导码序列生成中</t>
  </si>
  <si>
    <t>InternetGatewayDevice.Services.FAPService.{i}.CellConfig.LTE.RAN.PHY.SRS.SRSEnabled</t>
  </si>
  <si>
    <t>Device.Services.FAPService.{i}.CellConfig.LTE.RAN.PHY.SRS.SRSEnabled</t>
  </si>
  <si>
    <t>SRSEnabled</t>
  </si>
  <si>
    <t>SRS使能开关</t>
  </si>
  <si>
    <t>SRS使能开关
1=true,0=false</t>
  </si>
  <si>
    <r>
      <rPr>
        <sz val="9"/>
        <color rgb="FFFF0000"/>
        <rFont val="宋体"/>
        <family val="3"/>
        <charset val="134"/>
      </rPr>
      <t xml:space="preserve">修正笔误
</t>
    </r>
    <r>
      <rPr>
        <sz val="9"/>
        <color rgb="FF0070C0"/>
        <rFont val="宋体"/>
        <family val="3"/>
        <charset val="134"/>
      </rPr>
      <t>修改参数名为SRSEnabled，与TR196对齐</t>
    </r>
  </si>
  <si>
    <r>
      <rPr>
        <sz val="9"/>
        <rFont val="宋体"/>
        <family val="3"/>
        <charset val="134"/>
      </rPr>
      <t>InternetGatewayDevice.Services.FAPService.{i}.CellConfig.LTE.RAN.PHY.SRS.</t>
    </r>
    <r>
      <rPr>
        <sz val="9"/>
        <color rgb="FFFF0000"/>
        <rFont val="宋体"/>
        <family val="3"/>
        <charset val="134"/>
      </rPr>
      <t>SRSBandwidthConfig</t>
    </r>
  </si>
  <si>
    <r>
      <rPr>
        <sz val="9"/>
        <rFont val="宋体"/>
        <family val="3"/>
        <charset val="134"/>
      </rPr>
      <t>Device.Services.FAPService.{i}.CellConfig.LTE.RAN.PHY.SRS.</t>
    </r>
    <r>
      <rPr>
        <sz val="9"/>
        <color rgb="FFFF0000"/>
        <rFont val="宋体"/>
        <family val="3"/>
        <charset val="134"/>
      </rPr>
      <t>SRSBandwidthConfig</t>
    </r>
  </si>
  <si>
    <t>SRSBandwidthConfig</t>
  </si>
  <si>
    <t>SRS带宽配置</t>
  </si>
  <si>
    <t>代表包含小区SRSBandwidthConfiguration的表格的索引</t>
  </si>
  <si>
    <t>修改参数名大小写，与TR196保持一致</t>
  </si>
  <si>
    <r>
      <rPr>
        <sz val="9"/>
        <rFont val="宋体"/>
        <family val="3"/>
        <charset val="134"/>
      </rPr>
      <t>InternetGatewayDevice.Services.FAPService.{i}.CellConfig.LTE.RAN.PHY.SRS.</t>
    </r>
    <r>
      <rPr>
        <sz val="9"/>
        <color rgb="FFFF0000"/>
        <rFont val="宋体"/>
        <family val="3"/>
        <charset val="134"/>
      </rPr>
      <t>SRSMaxUpPTS</t>
    </r>
  </si>
  <si>
    <r>
      <rPr>
        <sz val="9"/>
        <rFont val="宋体"/>
        <family val="3"/>
        <charset val="134"/>
      </rPr>
      <t>Device.Services.FAPService.{i}.CellConfig.LTE.RAN.PHY.SRS.</t>
    </r>
    <r>
      <rPr>
        <sz val="9"/>
        <color rgb="FFFF0000"/>
        <rFont val="宋体"/>
        <family val="3"/>
        <charset val="134"/>
      </rPr>
      <t>SRSMaxUpPTS</t>
    </r>
  </si>
  <si>
    <t>SRSMaxUpPTS</t>
  </si>
  <si>
    <t>SRSUpPTS带宽重配指示</t>
  </si>
  <si>
    <t>重配置SRS是否适用于UpPTS;1=true,0=false</t>
  </si>
  <si>
    <t>InternetGatewayDevice.Services.FAPService.{i}.CellConfig.LTE.RAN.PHY.SRS.AckNackSRSSimultaneousTransmission</t>
  </si>
  <si>
    <t>Device.Services.FAPService.{i}.CellConfig.LTE.RAN.PHY.SRS.AckNackSRSSimultaneousTransmission</t>
  </si>
  <si>
    <t>AckNackSRSSimultaneousTransmission</t>
  </si>
  <si>
    <t>SRS/ACK/NACK同时传输标识</t>
  </si>
  <si>
    <t>定义UE能否同时传输SRS和ACK/NACK
(0=可以同时传输,1=不能同属传输)</t>
  </si>
  <si>
    <t>InternetGatewayDevice.Services.FAPService.{i}.CellConfig.LTE.RAN.PHY.PUCCH.DeltaPUCCHShift</t>
  </si>
  <si>
    <t>Device.Services.FAPService.{i}.CellConfig.LTE.RAN.PHY.PUCCH.DeltaPUCCHShift</t>
  </si>
  <si>
    <t>DeltaPUCCHShift</t>
  </si>
  <si>
    <t>PUCCH循环移位间隔</t>
  </si>
  <si>
    <t>代表PUCCHformat1/1a/1b资源的循环位移</t>
  </si>
  <si>
    <t>InternetGatewayDevice.Services.FAPService.{i}.CellConfig.LTE.RAN.PHY.PUCCH.NRBCQI</t>
  </si>
  <si>
    <t>Device.Services.FAPService.{i}.CellConfig.LTE.RAN.PHY.PUCCH.NRBCQI</t>
  </si>
  <si>
    <t>NRBCQI</t>
  </si>
  <si>
    <t>PUCCH2/2a/2b占用RB数</t>
  </si>
  <si>
    <r>
      <rPr>
        <sz val="9"/>
        <rFont val="宋体"/>
        <family val="3"/>
        <charset val="134"/>
      </rPr>
      <t>即N</t>
    </r>
    <r>
      <rPr>
        <vertAlign val="superscript"/>
        <sz val="9"/>
        <rFont val="宋体"/>
        <family val="3"/>
        <charset val="134"/>
      </rPr>
      <t>2</t>
    </r>
    <r>
      <rPr>
        <sz val="9"/>
        <rFont val="宋体"/>
        <family val="3"/>
        <charset val="134"/>
      </rPr>
      <t>RB参数，代表PUCCH域中预留用于传输CQI的PUCCH域个数</t>
    </r>
  </si>
  <si>
    <t>InternetGatewayDevice.Services.FAPService.{i}.CellConfig.LTE.RAN.PHY.PUCCH.NCSAN</t>
  </si>
  <si>
    <t>Device.Services.FAPService.{i}.CellConfig.LTE.RAN.PHY.PUCCH.NCSAN</t>
  </si>
  <si>
    <t>NCSAN</t>
  </si>
  <si>
    <t>PUCCH1/1a/1b预留资源数</t>
  </si>
  <si>
    <t>unsignedInt[0:7]</t>
  </si>
  <si>
    <t>即N(1)cs参数，在混合使用1/1a/1b和2/2a/2b格式的资源块中，代表预留给PUCCH1/1a/1b格式的循环位移</t>
  </si>
  <si>
    <t>InternetGatewayDevice.Services.FAPService.{i}.CellConfig.LTE.RAN.PHY.PUCCH.N1PUCCHAN</t>
  </si>
  <si>
    <t>Device.Services.FAPService.{i}.CellConfig.LTE.RAN.PHY.PUCCH.N1PUCCHAN</t>
  </si>
  <si>
    <t>N1PUCCHAN</t>
  </si>
  <si>
    <t>SPSACK/NACK及SR预留资源数</t>
  </si>
  <si>
    <t>即N(1)PUCCH参数，表示预留给半持续调度（SPS）的ACK/NACK和SR请求的PUCCHformat1静态资源数</t>
  </si>
  <si>
    <t>InternetGatewayDevice.Services.FAPService.{i}.CellConfig.LTE.RAN.PHY.PUCCH.CQIPUCCHResourceIndex</t>
  </si>
  <si>
    <t>Device.Services.FAPService.{i}.CellConfig.LTE.RAN.PHY.PUCCH.CQIPUCCHResourceIndex</t>
  </si>
  <si>
    <t>CQIPUCCHResourceIndex</t>
  </si>
  <si>
    <t>CQI报告使用PUCCH资源索引</t>
  </si>
  <si>
    <t>为UE分配的用于CQI上报的PUCCHformat2资源索引</t>
  </si>
  <si>
    <t>InternetGatewayDevice.Services.FAPService.{i}.CellConfig.LTE.RAN.PHY.PUCCH.K</t>
  </si>
  <si>
    <t>Device.Services.FAPService.{i}.CellConfig.LTE.RAN.PHY.PUCCH.K</t>
  </si>
  <si>
    <t>K</t>
  </si>
  <si>
    <t>子带CQI报告带宽</t>
  </si>
  <si>
    <t>unsignedInt[1:4]</t>
  </si>
  <si>
    <t xml:space="preserve">子波段报告模式中的子波段大小，
以物理资源块为单位
</t>
  </si>
  <si>
    <t>InternetGatewayDevice.Services.FAPService.{i}.CellConfig.LTE.RAN.PHY.PaParam.PUSCHPowerCtrlSwitch</t>
  </si>
  <si>
    <t>Device.Services.FAPService.{i}.CellConfig.LTE.RAN.PHY.PaParam.PUSCHPowerCtrlSwitch</t>
  </si>
  <si>
    <t>PUSCHPowerCtrlSwitch</t>
  </si>
  <si>
    <t>上行PUSCH闭环功控开关</t>
  </si>
  <si>
    <t>PuschPcSwitch</t>
  </si>
  <si>
    <t>ON=1,OFF=0</t>
  </si>
  <si>
    <t>InternetGatewayDevice.Services.FAPService.{i}.CellConfig.LTE.RAN.PHY.PaParam.PUCCHPowerCtrlSwitch</t>
  </si>
  <si>
    <t>Device.Services.FAPService.{i}.CellConfig.LTE.RAN.PHY.PaParam.PUCCHPowerCtrlSwitch</t>
  </si>
  <si>
    <t>PUCCHPowerCtrlSwitch</t>
  </si>
  <si>
    <t>上行PUCCH闭环功控开关</t>
  </si>
  <si>
    <t>PucchPcSwitch</t>
  </si>
  <si>
    <t>增加PUCCHPcSwitch参数适配北向参数</t>
  </si>
  <si>
    <t>InternetGatewayDevice.Services.FAPService.{i}.CellConfig.LTE.RAN.PHY.PUSCH.Enable64QAM</t>
  </si>
  <si>
    <t>Device.Services.FAPService.{i}.CellConfig.LTE.RAN.PHY.PUSCH.Enable64QAM</t>
  </si>
  <si>
    <t>Enable64QAM</t>
  </si>
  <si>
    <t>PUSCH64QAM使能开关</t>
  </si>
  <si>
    <t>TRUE代表允许64QAM，FALSE代表不允许64QAM;
64QAM,1=64QAM</t>
  </si>
  <si>
    <t>InternetGatewayDevice.Services.FAPService.{i}.CellConfig.LTE.RAN.PHY.PUSCH.HoppingMode</t>
  </si>
  <si>
    <t>Device.Services.FAPService.{i}.CellConfig.LTE.RAN.PHY.PUSCH.HoppingMode</t>
  </si>
  <si>
    <t>HoppingMode</t>
  </si>
  <si>
    <t>PUSCH跳频模式</t>
  </si>
  <si>
    <t>决定跳跃是“子帧间跳跃”还是“子帧间与子帧内跳跃”</t>
  </si>
  <si>
    <t>InternetGatewayDevice.Services.FAPService.{i}.CellConfig.LTE.RAN.PHY.PUSCH.HoppingOffset</t>
  </si>
  <si>
    <t>Device.Services.FAPService.{i}.CellConfig.LTE.RAN.PHY.PUSCH.HoppingOffset</t>
  </si>
  <si>
    <t>HoppingOffset</t>
  </si>
  <si>
    <t>PUSCH跳频偏置</t>
  </si>
  <si>
    <t>如果上行链路频率跳跃模式启用，该参数用来计算需要用来在PUSCH传输的物理资源块</t>
  </si>
  <si>
    <t>InternetGatewayDevice.Services.FAPService.{i}.CellConfig.LTE.RAN.PHY.PUSCH.NSB</t>
  </si>
  <si>
    <t>Device.Services.FAPService.{i}.CellConfig.LTE.RAN.PHY.PUSCH.NSB</t>
  </si>
  <si>
    <t>NSB</t>
  </si>
  <si>
    <t>跳频子带个数</t>
  </si>
  <si>
    <t>代表次频带的数目</t>
  </si>
  <si>
    <t>InternetGatewayDevice.Services.FAPService.{i}.CellConfig.LTE.RAN.PHY.PRS.NumPRSResourceBlocks</t>
  </si>
  <si>
    <t>Device.Services.FAPService.{i}.CellConfig.LTE.RAN.PHY.PRS.NumPRSResourceBlocks</t>
  </si>
  <si>
    <t>NumPRSResourceBlocks</t>
  </si>
  <si>
    <t>PRSRB数目</t>
  </si>
  <si>
    <t>定义PRS使用的资源块的数目</t>
  </si>
  <si>
    <t>InternetGatewayDevice.Services.FAPService.{i}.CellConfig.LTE.RAN.PHY.PRS.PRSConfigurationIndex</t>
  </si>
  <si>
    <t>Device.Services.FAPService.{i}.CellConfig.LTE.RAN.PHY.PRS.PRSConfigurationIndex</t>
  </si>
  <si>
    <t>PRSConfigurationIndex</t>
  </si>
  <si>
    <t>PRS配置索引</t>
  </si>
  <si>
    <t>unsignedInt[0:4095]</t>
  </si>
  <si>
    <t>对应于PRS配置索引</t>
  </si>
  <si>
    <t>InternetGatewayDevice.Services.FAPService.{i}.CellConfig.LTE.RAN.PHY.PRS.NumConsecutivePRSSubfames</t>
  </si>
  <si>
    <t>Device.Services.FAPService.{i}.CellConfig.LTE.RAN.PHY.PRS.NumConsecutivePRSSubfames</t>
  </si>
  <si>
    <t>NumConsecutivePRSSubfames</t>
  </si>
  <si>
    <t>PRS连续子帧数</t>
  </si>
  <si>
    <t>unsignedInt[1:2,4,6]</t>
  </si>
  <si>
    <t>定义连续位置子帧的数目,0x0FFFFFFF:暂不使用</t>
  </si>
  <si>
    <t>InternetGatewayDevice.Services.FAPService.{i}.CellConfig.LTE.RAN.PHY.TDDFrame.SpecialSubframePatterns</t>
  </si>
  <si>
    <t>Device.Services.FAPService.{i}.CellConfig.LTE.RAN.PHY.TDDFrame.SpecialSubframePatterns</t>
  </si>
  <si>
    <t>SpecialSubframePatterns</t>
  </si>
  <si>
    <t>特殊子帧配置</t>
  </si>
  <si>
    <t>SpecialSfPatterns</t>
  </si>
  <si>
    <t>上行链路与下行链路之间传输保护时间间隔的特殊子帧配置</t>
  </si>
  <si>
    <t>InternetGatewayDevice.Services.FAPService.{i}.CellConfig.LTE.RAN.PHY.TDDFrame.SubFrameAssignment</t>
  </si>
  <si>
    <t>Device.Services.FAPService.{i}.CellConfig.LTE.RAN.PHY.TDDFrame.SubFrameAssignment</t>
  </si>
  <si>
    <t>SubFrameAssignment</t>
  </si>
  <si>
    <t>上下行子帧配置</t>
  </si>
  <si>
    <t>SfAssignment</t>
  </si>
  <si>
    <t>DL/UL子帧配置，sa0对应配置0，sa1对应配置1</t>
  </si>
  <si>
    <t>InternetGatewayDevice.Services.FAPService.{i}.CellConfig.LTE.RAN.PHY.PDSCH.Pb</t>
  </si>
  <si>
    <t>Device.Services.FAPService.{i}.CellConfig.LTE.RAN.PHY.PDSCH.Pb</t>
  </si>
  <si>
    <t>Pb</t>
  </si>
  <si>
    <t>天线端口信号功率比</t>
  </si>
  <si>
    <t>InternetGatewayDevice.Services.FAPService.{i}.CellConfig.LTE.RAN.PHY.PDSCH.Pa</t>
  </si>
  <si>
    <t>Device.Services.FAPService.{i}.CellConfig.LTE.RAN.PHY.PDSCH.Pa</t>
  </si>
  <si>
    <t>Pa</t>
  </si>
  <si>
    <t>小区PDSCH采用固定功率分配时的PA取值</t>
  </si>
  <si>
    <t>实际值=该值/100</t>
  </si>
  <si>
    <t>InternetGatewayDevice.Services.FAPService.{i}.CellConfig.LTE.RAN.PHY.ULPowerControl.P0NominalPUSCHPersistent</t>
  </si>
  <si>
    <t>Device.Services.FAPService.{i}.CellConfig.LTE.RAN.PHY.ULPowerControl.P0NominalPUSCHPersistent</t>
  </si>
  <si>
    <t>P0NominalPUSCHPersistent</t>
  </si>
  <si>
    <t>持续调度期望接收功率</t>
  </si>
  <si>
    <t>Int[-126:24]</t>
  </si>
  <si>
    <t>修改参数类型</t>
  </si>
  <si>
    <t>InternetGatewayDevice.Services.FAPService.{i}.CellConfig.LTE.RAN.PHY.ULPowerControl.P0NominalPUSCH</t>
  </si>
  <si>
    <t>Device.Services.FAPService.{i}.CellConfig.LTE.RAN.PHY.ULPowerControl.P0NominalPUSCH</t>
  </si>
  <si>
    <t>P0NominalPUSCH</t>
  </si>
  <si>
    <t>非持续调度期望功率</t>
  </si>
  <si>
    <t>InternetGatewayDevice.Services.FAPService.{i}.CellConfig.LTE.RAN.PHY.ULPowerControl.Alpha</t>
  </si>
  <si>
    <t>Device.Services.FAPService.{i}.CellConfig.LTE.RAN.PHY.ULPowerControl.Alpha</t>
  </si>
  <si>
    <t>Alpha</t>
  </si>
  <si>
    <t>部分路损补偿系数</t>
  </si>
  <si>
    <t>InternetGatewayDevice.Services.FAPService.{i}.CellConfig.LTE.RAN.PHY.ULPowerControl.P0NominalPUCCH</t>
  </si>
  <si>
    <t>Device.Services.FAPService.{i}.CellConfig.LTE.RAN.PHY.ULPowerControl.P0NominalPUCCH</t>
  </si>
  <si>
    <t>P0NominalPUCCH</t>
  </si>
  <si>
    <t>PUCCH期望功率</t>
  </si>
  <si>
    <t>InternetGatewayDevice.Services.FAPService.{i}.CellConfig.LTE.RAN.PHY.ULPowerControl.DeltaMCSEnabled</t>
  </si>
  <si>
    <t>Device.Services.FAPService.{i}.CellConfig.LTE.RAN.PHY.ULPowerControl.DeltaMCSEnabled</t>
  </si>
  <si>
    <t>DeltaMCSEnabled</t>
  </si>
  <si>
    <t>MCS补偿值</t>
  </si>
  <si>
    <t>MAC层参数管理</t>
  </si>
  <si>
    <t>InternetGatewayDevice.Services.FAPService.{i}.CellConfig.LTE.RAN.MAC.RACH.NumberOfRaPreambles</t>
  </si>
  <si>
    <t>Device.Services.FAPService.{i}.CellConfig.LTE.RAN.MAC.RACH.NumberOfRaPreambles</t>
  </si>
  <si>
    <t>NumberOfRaPreambles</t>
  </si>
  <si>
    <t>竞争随机接入前导码数</t>
  </si>
  <si>
    <t>AR、AJ、AV</t>
  </si>
  <si>
    <t>非专用随机接入前导码数目</t>
  </si>
  <si>
    <t>InternetGatewayDevice.Services.FAPService.{i}.CellConfig.LTE.RAN.MAC.RACH.SizeOfRaGroupA</t>
  </si>
  <si>
    <t>Device.Services.FAPService.{i}.CellConfig.LTE.RAN.MAC.RACH.SizeOfRaGroupA</t>
  </si>
  <si>
    <t>SizeOfRaGroupA</t>
  </si>
  <si>
    <t>随机接入前导码组A大小</t>
  </si>
  <si>
    <t>A类无线接入前导中非专用随机接入前导码的数目
0x0FFFFFFF:暂不使用此参数</t>
  </si>
  <si>
    <t>InternetGatewayDevice.Services.FAPService.{i}.CellConfig.LTE.RAN.MAC.RACH.MessageSizeGroupA</t>
  </si>
  <si>
    <t>Device.Services.FAPService.{i}.CellConfig.LTE.RAN.MAC.RACH.MessageSizeGroupA</t>
  </si>
  <si>
    <t>MessageSizeGroupA</t>
  </si>
  <si>
    <t>组A信息大小</t>
  </si>
  <si>
    <t>前导码选择门限，选定组A或组B时的约束条件之一
单位：bit</t>
  </si>
  <si>
    <t>InternetGatewayDevice.Services.FAPService.{i}.CellConfig.LTE.RAN.MAC.RACH.MessagePowerOffsetGroupB</t>
  </si>
  <si>
    <t>Device.Services.FAPService.{i}.CellConfig.LTE.RAN.MAC.RACH.MessagePowerOffsetGroupB</t>
  </si>
  <si>
    <t>MessagePowerOffsetGroupB</t>
  </si>
  <si>
    <t>组B功率补偿信息</t>
  </si>
  <si>
    <t>前导码选择门限，选定组A或组B时的约束条件之一
单位：dB</t>
  </si>
  <si>
    <t>InternetGatewayDevice.Services.FAPService.{i}.CellConfig.LTE.RAN.MAC.RACH.PowerRampingStep</t>
  </si>
  <si>
    <t>Device.Services.FAPService.{i}.CellConfig.LTE.RAN.MAC.RACH.PowerRampingStep</t>
  </si>
  <si>
    <t>PowerRampingStep</t>
  </si>
  <si>
    <t>功率增加补偿</t>
  </si>
  <si>
    <t>string(16)</t>
  </si>
  <si>
    <t>随机接入失败后的前导码传输之间的功率增长因子
单位：dB</t>
  </si>
  <si>
    <t>InternetGatewayDevice.Services.FAPService.{i}.CellConfig.LTE.RAN.MAC.RACH.PreambleInitialReceivedTargetPower</t>
  </si>
  <si>
    <t>Device.Services.FAPService.{i}.CellConfig.LTE.RAN.MAC.RACH.PreambleInitialReceivedTargetPower</t>
  </si>
  <si>
    <t>PreambleInitialReceivedTargetPower</t>
  </si>
  <si>
    <t>前导码初始接收目标功率</t>
  </si>
  <si>
    <t xml:space="preserve">string(128)
</t>
  </si>
  <si>
    <t>代表随机接入功率传输中传输功率计算的基准
单位：dBm</t>
  </si>
  <si>
    <t>InternetGatewayDevice.Services.FAPService.{i}.CellConfig.LTE.RAN.MAC.RACH.PreambleTransMax</t>
  </si>
  <si>
    <t>Device.Services.FAPService.{i}.CellConfig.LTE.RAN.MAC.RACH.PreambleTransMax</t>
  </si>
  <si>
    <t>PreambleTransMax</t>
  </si>
  <si>
    <t>最大随机接入次数</t>
  </si>
  <si>
    <t>随机接入前导码传输的最大数目</t>
  </si>
  <si>
    <t>InternetGatewayDevice.Services.FAPService.{i}.CellConfig.LTE.RAN.MAC.RACH.ResponseWindowSize</t>
  </si>
  <si>
    <t>Device.Services.FAPService.{i}.CellConfig.LTE.RAN.MAC.RACH.ResponseWindowSize</t>
  </si>
  <si>
    <t>ResponseWindowSize</t>
  </si>
  <si>
    <t>随机接入响应窗口大小</t>
  </si>
  <si>
    <t>随机接入回复窗口的持续时间
表示子帧个数</t>
  </si>
  <si>
    <t>InternetGatewayDevice.Services.FAPService.{i}.CellConfig.LTE.RAN.MAC.RACH.ContentionResolutionTimer</t>
  </si>
  <si>
    <t>Device.Services.FAPService.{i}.CellConfig.LTE.RAN.MAC.RACH.ContentionResolutionTimer</t>
  </si>
  <si>
    <t>ContentionReslutionTimer</t>
  </si>
  <si>
    <t>冲突解决定时器</t>
  </si>
  <si>
    <t>冲突解决定时器
表示子帧个数</t>
  </si>
  <si>
    <t>InternetGatewayDevice.Services.FAPService.{i}.CellConfig.LTE.RAN.MAC.RACH.MaxHARQMsg3Tx</t>
  </si>
  <si>
    <t>Device.Services.FAPService.{i}.CellConfig.LTE.RAN.MAC.RACH.MaxHARQMsg3Tx</t>
  </si>
  <si>
    <t>MaxHARQMsg3Tx</t>
  </si>
  <si>
    <t>Msg3HARQ最大传输次数</t>
  </si>
  <si>
    <t>通过RRC的Msg3HARQ最大传输数目</t>
  </si>
  <si>
    <t>InternetGatewayDevice.Services.FAPService.{i}.CellConfig.LTE.RAN.MAC.DRX.DRXEnabled</t>
  </si>
  <si>
    <t>Device.Services.FAPService.{i}.CellConfig.LTE.RAN.MAC.DRX.DRXEnabled</t>
  </si>
  <si>
    <t>DRXEnabled</t>
  </si>
  <si>
    <t>DRX功能开关</t>
  </si>
  <si>
    <t>DrxSwitch</t>
  </si>
  <si>
    <t>指示DRX操作是否使能;(0=false,1=true)</t>
  </si>
  <si>
    <t>InternetGatewayDevice.Services.FAPService.{i}.CellConfig.LTE.RAN.MAC.DrxInitialParam.{i}.DRXShortCycleTimer</t>
  </si>
  <si>
    <t>Device.Services.FAPService.{i}.CellConfig.LTE.RAN.MAC.DrxInitialParam.{i}.DRXShortCycleTimer</t>
  </si>
  <si>
    <t>DRXShortCycleTimer</t>
  </si>
  <si>
    <t>DRX短周期定时器</t>
  </si>
  <si>
    <t>DrxShortCycleTimer</t>
  </si>
  <si>
    <t>实例号即为QCI值即，实例1~9，设备固定生成9个实例</t>
  </si>
  <si>
    <t>根据北向要求重新定义模型</t>
  </si>
  <si>
    <t>InternetGatewayDevice.Services.FAPService.{i}.CellConfig.LTE.RAN.MAC.DrxInitialParam.{i}.ONDurationTimer</t>
  </si>
  <si>
    <t>Device.Services.FAPService.{i}.CellConfig.LTE.RAN.MAC.DrxInitialParam.{i}.ONDurationTimer</t>
  </si>
  <si>
    <t>ONDurationTimer</t>
  </si>
  <si>
    <t>DRX持续时间定时器</t>
  </si>
  <si>
    <t>OnDurationTimer</t>
  </si>
  <si>
    <t>InternetGatewayDevice.Services.FAPService.{i}.CellConfig.LTE.RAN.MAC.DrxInitialParam.{i}.DRXInactivityTimer</t>
  </si>
  <si>
    <t>Device.Services.FAPService.{i}.CellConfig.LTE.RAN.MAC.DrxInitialParam.{i}.DRXInactivityTimer</t>
  </si>
  <si>
    <t>DRXInactivityTimer</t>
  </si>
  <si>
    <t>DRX非激活定时器</t>
  </si>
  <si>
    <t>DrxInactivityTimer</t>
  </si>
  <si>
    <t>InternetGatewayDevice.Services.FAPService.{i}.CellConfig.LTE.RAN.MAC.DrxInitialParam.{i}.DRXRetransmissionTimer</t>
  </si>
  <si>
    <t>Device.Services.FAPService.{i}.CellConfig.LTE.RAN.MAC.DrxInitialParam.{i}.DRXRetransmissionTimer</t>
  </si>
  <si>
    <t>DRXRetransmissionTimer</t>
  </si>
  <si>
    <t>DRX等待重传定时器</t>
  </si>
  <si>
    <t>DrxRetransmissionTimer</t>
  </si>
  <si>
    <t>InternetGatewayDevice.Services.FAPService.{i}.CellConfig.LTE.RAN.MAC.DrxInitialParam.{i}.LongDRXCycle</t>
  </si>
  <si>
    <t>Device.Services.FAPService.{i}.CellConfig.LTE.RAN.MAC.DrxInitialParam.{i}.LongDRXCycle</t>
  </si>
  <si>
    <t>LongDRXCycle</t>
  </si>
  <si>
    <t>DRX长周期</t>
  </si>
  <si>
    <t>LongDrxCycle</t>
  </si>
  <si>
    <t>DRX长周期，以子帧数目表示。
表示子帧数目</t>
  </si>
  <si>
    <t>InternetGatewayDevice.Services.FAPService.{i}.CellConfig.LTE.RAN.MAC.DrxInitialParam.{i}.ShortDRXCycle</t>
  </si>
  <si>
    <t>Device.Services.FAPService.{i}.CellConfig.LTE.RAN.MAC.DrxInitialParam.{i}.ShortDRXCycle</t>
  </si>
  <si>
    <t>ShortDRXCycle</t>
  </si>
  <si>
    <t>DRX短周期</t>
  </si>
  <si>
    <t>ShortDrxCycle</t>
  </si>
  <si>
    <t>DRX短周期，以子帧数目表示。
表示子帧数目</t>
  </si>
  <si>
    <t>InternetGatewayDevice.Services.FAPService.{i}.CellConfig.LTE.RAN.MAC.ULSCH.MaxHARQTx</t>
  </si>
  <si>
    <t>Device.Services.FAPService.{i}.CellConfig.LTE.RAN.MAC.ULSCH.MaxHARQTx</t>
  </si>
  <si>
    <t>MaxHARQTx</t>
  </si>
  <si>
    <t>上行HARQ最大传输次数</t>
  </si>
  <si>
    <t>unsignedInt[1:8, 10, 12, 16, 20, 24, 28]</t>
  </si>
  <si>
    <t>ULHARQ传输的最大数目
spare为预留值</t>
  </si>
  <si>
    <t>InternetGatewayDevice.Services.FAPService.{i}.CellConfig.LTE.RAN.MAC.ULSCH.PeriodicBSRTimer</t>
  </si>
  <si>
    <t>Device.Services.FAPService.{i}.CellConfig.LTE.RAN.MAC.ULSCH.PeriodicBSRTimer</t>
  </si>
  <si>
    <t>PeriodicBSRTimer</t>
  </si>
  <si>
    <t>周期性BSR定时器</t>
  </si>
  <si>
    <t xml:space="preserve">unsignedInt[0, 5, 10, 16, 20, 32, 40, 64, 80, 128, 160, 320, 640, 1280, 2560]
</t>
  </si>
  <si>
    <t xml:space="preserve">周期性BSR上报定时器
</t>
  </si>
  <si>
    <t>InternetGatewayDevice.Services.FAPService.{i}.CellConfig.LTE.RAN.MAC.ULSCH.RetxBSRTimer</t>
  </si>
  <si>
    <t>Device.Services.FAPService.{i}.CellConfig.LTE.RAN.MAC.ULSCH.RetxBSRTimer</t>
  </si>
  <si>
    <t>RetxBSRTimer</t>
  </si>
  <si>
    <t>重传BSR定时器</t>
  </si>
  <si>
    <t>unsignedInt[320, 640, 1280, 2560, 5120, 10240]</t>
  </si>
  <si>
    <t xml:space="preserve">一般BSR上报定时器，该定时器到
期后，如果缓冲区数据存在，UE
传输一般BSR
</t>
  </si>
  <si>
    <t>InternetGatewayDevice.Services.FAPService.{i}.CellConfig.LTE.RAN.MAC.ULSCH.TTIBundling</t>
  </si>
  <si>
    <t>Device.Services.FAPService.{i}.CellConfig.LTE.RAN.MAC.ULSCH.TTIBundling</t>
  </si>
  <si>
    <t>TTIBundling</t>
  </si>
  <si>
    <t>TTI绑定功能开关</t>
  </si>
  <si>
    <t>指示系统是否支持tti绑定功能
(0=false,1=true)</t>
  </si>
  <si>
    <t>InternetGatewayDevice.Services.FAPService.{i}.CellConfig.LTE.RAN.MAC.ULSCH.MaxUePerUlSf</t>
  </si>
  <si>
    <t>Device.Services.FAPService.{i}.CellConfig.LTE.RAN.MAC.ULSCH.MaxUePerUlSf</t>
  </si>
  <si>
    <t>MaxUePerUlSf</t>
  </si>
  <si>
    <t>上行单帧最大调度用户数</t>
  </si>
  <si>
    <t>RRC参数管理（RRC计时器）</t>
  </si>
  <si>
    <t>InternetGatewayDevice.Services.FAPService.{i}.CellConfig.LTE.RAN.RRCTimers.T300</t>
  </si>
  <si>
    <t>Device.Services.FAPService.{i}.CellConfig.LTE.RAN.RRCTimers.T300</t>
  </si>
  <si>
    <t>T300</t>
  </si>
  <si>
    <t>T300定时器</t>
  </si>
  <si>
    <t>AS</t>
  </si>
  <si>
    <t>连续RRCConnectionRequest传输之间的时间间隔,单位ms</t>
  </si>
  <si>
    <t>InternetGatewayDevice.Services.FAPService.{i}.CellConfig.LTE.RAN.RRCTimers.T301</t>
  </si>
  <si>
    <t>Device.Services.FAPService.{i}.CellConfig.LTE.RAN.RRCTimers.T301</t>
  </si>
  <si>
    <t>T301</t>
  </si>
  <si>
    <t>T301定时器</t>
  </si>
  <si>
    <t>连续RRCConnectionReestablishmentRe
quest传输之间的时间间隔,单位ms</t>
  </si>
  <si>
    <t>InternetGatewayDevice.Services.FAPService.{i}.CellConfig.LTE.RAN.RRCTimers.T302</t>
  </si>
  <si>
    <t>Device.Services.FAPService.{i}.CellConfig.LTE.RAN.RRCTimers.T302</t>
  </si>
  <si>
    <t>T302</t>
  </si>
  <si>
    <t>T302定时器</t>
  </si>
  <si>
    <t>unsignedInt[1:16]</t>
  </si>
  <si>
    <t>RRCConnectionReject 之后小区重选或
RRConnectionSetup等待的时间</t>
  </si>
  <si>
    <t>InternetGatewayDevice.Services.FAPService.{i}.CellConfig.LTE.RAN.RRCTimers.T304EUTRA</t>
  </si>
  <si>
    <t>Device.Services.FAPService.{i}.CellConfig.LTE.RAN.RRCTimers.T304EUTRA</t>
  </si>
  <si>
    <t>T304EUTRA</t>
  </si>
  <si>
    <t>T304(EUTRA)定时器</t>
  </si>
  <si>
    <t>切换失败定时器,单位ms</t>
  </si>
  <si>
    <t>InternetGatewayDevice.Services.FAPService.{i}.CellConfig.LTE.RAN.RRCTimers.T304IRAT</t>
  </si>
  <si>
    <t>Device.Services.FAPService.{i}.CellConfig.LTE.RAN.RRCTimers.T304IRAT</t>
  </si>
  <si>
    <t>T304IRAT</t>
  </si>
  <si>
    <t>T304(异系统)定时器</t>
  </si>
  <si>
    <t>InternetGatewayDevice.Services.FAPService.{i}.CellConfig.LTE.RAN.RRCTimers.T310</t>
  </si>
  <si>
    <t>Device.Services.FAPService.{i}.CellConfig.LTE.RAN.RRCTimers.T310</t>
  </si>
  <si>
    <t>T310</t>
  </si>
  <si>
    <t>T310定时器</t>
  </si>
  <si>
    <t>unsignedInt[0,50,100,200,500,1000,2000]</t>
  </si>
  <si>
    <t xml:space="preserve">RLF声明定时器,单位ms
</t>
  </si>
  <si>
    <t>InternetGatewayDevice.Services.FAPService.{i}.CellConfig.LTE.RAN.RRCTimers.T311</t>
  </si>
  <si>
    <t>Device.Services.FAPService.{i}.CellConfig.LTE.RAN.RRCTimers.T311</t>
  </si>
  <si>
    <t>T311</t>
  </si>
  <si>
    <t>T311定时器</t>
  </si>
  <si>
    <t xml:space="preserve">RLF恢复定时器,单位ms
</t>
  </si>
  <si>
    <t>InternetGatewayDevice.Services.FAPService.{i}.CellConfig.LTE.RAN.RRCTimers.T320</t>
  </si>
  <si>
    <t>Device.Services.FAPService.{i}.CellConfig.LTE.RAN.RRCTimers.T320</t>
  </si>
  <si>
    <t>T320</t>
  </si>
  <si>
    <t>T320定时器</t>
  </si>
  <si>
    <t>unsignedInt[5, 10, 20, 30, 60, 120, 180]</t>
  </si>
  <si>
    <t>RRCConnection释放之后的时间,单位min</t>
  </si>
  <si>
    <t>InternetGatewayDevice.Services.FAPService.{i}.CellConfig.LTE.RAN.RRCTimers.N310</t>
  </si>
  <si>
    <t>Device.Services.FAPService.{i}.CellConfig.LTE.RAN.RRCTimers.N310</t>
  </si>
  <si>
    <t>N310</t>
  </si>
  <si>
    <t>unsignedInt[1:4, 6, 8, 10, 20]</t>
  </si>
  <si>
    <t>从低层收到的”out-of-sync” 标志的连续数目，会触发T310定时器</t>
  </si>
  <si>
    <t>InternetGatewayDevice.Services.FAPService.{i}.CellConfig.LTE.RAN.RRCTimers.N311</t>
  </si>
  <si>
    <t>Device.Services.FAPService.{i}.CellConfig.LTE.RAN.RRCTimers.N311</t>
  </si>
  <si>
    <t>N311</t>
  </si>
  <si>
    <t>unsignedInt[1:6, 8, 10]</t>
  </si>
  <si>
    <t>低层收到的”in-sync”标志的连续数目，会停止T310定时器</t>
  </si>
  <si>
    <t>LTE邻区参数管理</t>
  </si>
  <si>
    <t>InternetGatewayDevice.Services.FAPService.{i}.CellConfig.LTE.RAN.NeighborList.LTECell.{i}.PLMNID</t>
  </si>
  <si>
    <t>Device.Services.FAPService.{i}.CellConfig.LTE.RAN.NeighborList.LTECell.{i}.PLMNID</t>
  </si>
  <si>
    <t>邻区PLMN ID</t>
  </si>
  <si>
    <t>AK、AL、AM</t>
  </si>
  <si>
    <t>Tci</t>
  </si>
  <si>
    <t xml:space="preserve">  string(6)</t>
  </si>
  <si>
    <t>邻区PLMN ID，由MCC和MNC组成</t>
  </si>
  <si>
    <t>InternetGatewayDevice.Services.FAPService.{i}.CellConfig.LTE.RAN.NeighborList.LTECell.{i}.CID</t>
  </si>
  <si>
    <t>Device.Services.FAPService.{i}.CellConfig.LTE.RAN.NeighborList.LTECell.{i}.CID</t>
  </si>
  <si>
    <t>CID</t>
  </si>
  <si>
    <t>邻区CID</t>
  </si>
  <si>
    <t>unsignedInt[1:268435455]</t>
  </si>
  <si>
    <t>邻区CID（28bit）</t>
  </si>
  <si>
    <t>InternetGatewayDevice.Services.FAPService.{i}.CellConfig.LTE.RAN.NeighborList.LTECell.{i}.EUTRACarrierARFCN</t>
  </si>
  <si>
    <t>Device.Services.FAPService.{i}.CellConfig.LTE.RAN.NeighborList.LTECell.{i}.EUTRACarrierARFCN</t>
  </si>
  <si>
    <t>EUTRACarrierARFCN</t>
  </si>
  <si>
    <t>邻区EARFCN</t>
  </si>
  <si>
    <t>邻区载频的EARFCN</t>
  </si>
  <si>
    <t>InternetGatewayDevice.Services.FAPService.{i}.CellConfig.LTE.RAN.NeighborList.LTECell.{i}.PhyCellID</t>
  </si>
  <si>
    <t>Device.Services.FAPService.{i}.CellConfig.LTE.RAN.NeighborList.LTECell.{i}.PhyCellID</t>
  </si>
  <si>
    <t>邻区PCI</t>
  </si>
  <si>
    <t>unsignedInt[0:503]</t>
  </si>
  <si>
    <t>InternetGatewayDevice.Services.FAPService.{i}.CellConfig.LTE.RAN.NeighborList.LTECell.{i}.QOffset</t>
  </si>
  <si>
    <t>Device.Services.FAPService.{i}.CellConfig.LTE.RAN.NeighborList.LTECell.{i}.QOffset</t>
  </si>
  <si>
    <t>QOffset</t>
  </si>
  <si>
    <t>小区特定偏移量</t>
  </si>
  <si>
    <t>QOffsetCell</t>
  </si>
  <si>
    <t>int[-24:-8, -6:6, 8:24]</t>
  </si>
  <si>
    <t>邻区的小区特定偏移量</t>
  </si>
  <si>
    <t>InternetGatewayDevice.Services.FAPService.{i}.CellConfig.LTE.RAN.NeighborList.LTECell.{i}.CIO</t>
  </si>
  <si>
    <t>Device.Services.FAPService.{i}.CellConfig.LTE.RAN.NeighborList.LTECell.{i}.CIO</t>
  </si>
  <si>
    <t>CIO</t>
  </si>
  <si>
    <t>小区独立偏移量</t>
  </si>
  <si>
    <t>邻区的小区独立偏移量</t>
  </si>
  <si>
    <t>InternetGatewayDevice.Services.FAPService.{i}.CellConfig.LTE.RAN.NeighborList.LTECell.{i}.RSTxPower</t>
  </si>
  <si>
    <t>Device.Services.FAPService.{i}.CellConfig.LTE.RAN.NeighborList.LTECell.{i}.RSTxPower</t>
  </si>
  <si>
    <t>RSTxPower</t>
  </si>
  <si>
    <t>参考信号发射功率</t>
  </si>
  <si>
    <t>int[-60:50]</t>
  </si>
  <si>
    <t>InternetGatewayDevice.Services.FAPService.{i}.CellConfig.LTE.RAN.NeighborList.LTECell.{i}.Blacklisted</t>
  </si>
  <si>
    <t>Device.Services.FAPService.{i}.CellConfig.LTE.RAN.NeighborList.LTECell.{i}.Blacklisted</t>
  </si>
  <si>
    <t>Blacklisted</t>
  </si>
  <si>
    <t>禁止切换标识</t>
  </si>
  <si>
    <t>邻小区是否可以被UE作为切换目标，
1=禁止向该小区切换；
0=允许向该小区切换</t>
  </si>
  <si>
    <t>InternetGatewayDevice.Services.FAPService.{i}.CellConfig.LTE.RAN.NeighborList.LTECell.{i}.TAC</t>
  </si>
  <si>
    <t>Device.Services.FAPService.{i}.CellConfig.LTE.RAN.NeighborList.LTECell.{i}.TAC</t>
  </si>
  <si>
    <t>邻区TAC</t>
  </si>
  <si>
    <t>InternetGatewayDevice.Services.FAPService.{i}.CellConfig.LTE.RAN.NeighborList.LTECell.{i}.EnbType</t>
  </si>
  <si>
    <t>Device.Services.FAPService.{i}.CellConfig.LTE.RAN.NeighborList.LTECell.{i}.EnbType</t>
  </si>
  <si>
    <t>邻区基站类型</t>
  </si>
  <si>
    <t>基站类型
0=宏站小区
1=微站小区</t>
  </si>
  <si>
    <t>TD邻区参数管理</t>
  </si>
  <si>
    <t>InternetGatewayDevice.Services.FAPService.{i}.CellConfig.LTE.RAN.NeighborList.InterRATCell.UMTS.{i}.PLMNID</t>
  </si>
  <si>
    <t>Device.Services.FAPService.{i}.CellConfig.LTE.RAN.NeighborList.InterRATCell.UMTS.{i}.PLMNID</t>
  </si>
  <si>
    <t>PLMN ID</t>
  </si>
  <si>
    <t>AdjacentCellId</t>
  </si>
  <si>
    <t>PLMN ID，由MCC和MNC组成</t>
  </si>
  <si>
    <t>InternetGatewayDevice.Services.FAPService.{i}.CellConfig.LTE.RAN.NeighborList.InterRATCell.UMTS.{i}.RNCID</t>
  </si>
  <si>
    <t>Device.Services.FAPService.{i}.CellConfig.LTE.RAN.NeighborList.InterRATCell.UMTS.{i}.RNCID</t>
  </si>
  <si>
    <t>RNCID</t>
  </si>
  <si>
    <t>RNC ID</t>
  </si>
  <si>
    <t>频内邻小区的RNC-ID</t>
  </si>
  <si>
    <t>InternetGatewayDevice.Services.FAPService.{i}.CellConfig.LTE.RAN.NeighborList.InterRATCell.UMTS.{i}.CID</t>
  </si>
  <si>
    <t>Device.Services.FAPService.{i}.CellConfig.LTE.RAN.NeighborList.InterRATCell.UMTS.{i}.CID</t>
  </si>
  <si>
    <t>小区ID</t>
  </si>
  <si>
    <t>InternetGatewayDevice.Services.FAPService.{i}.CellConfig.LTE.RAN.NeighborList.InterRATCell.UMTS.{i}.LAC</t>
  </si>
  <si>
    <t>Device.Services.FAPService.{i}.CellConfig.LTE.RAN.NeighborList.InterRATCell.UMTS.{i}.LAC</t>
  </si>
  <si>
    <t>LAC</t>
  </si>
  <si>
    <t>Lac</t>
  </si>
  <si>
    <t>位置区代码（LAC）</t>
  </si>
  <si>
    <t>InternetGatewayDevice.Services.FAPService.{i}.CellConfig.LTE.RAN.NeighborList.InterRATCell.UMTS.{i}.RAC</t>
  </si>
  <si>
    <t>Device.Services.FAPService.{i}.CellConfig.LTE.RAN.NeighborList.InterRATCell.UMTS.{i}.RAC</t>
  </si>
  <si>
    <t>RAC</t>
  </si>
  <si>
    <t>Rac</t>
  </si>
  <si>
    <t>路由区代码(RAC)</t>
  </si>
  <si>
    <t>InternetGatewayDevice.Services.FAPService.{i}.CellConfig.LTE.RAN.NeighborList.InterRATCell.UMTS.{i}.URA</t>
  </si>
  <si>
    <t>Device.Services.FAPService.{i}.CellConfig.LTE.RAN.NeighborList.InterRATCell.UMTS.{i}.URA</t>
  </si>
  <si>
    <t>URA</t>
  </si>
  <si>
    <t>UTRAN 注册区域</t>
  </si>
  <si>
    <t>InternetGatewayDevice.Services.FAPService.{i}.CellConfig.LTE.RAN.NeighborList.InterRATCell.UMTS.{i}.UARFCNUL</t>
  </si>
  <si>
    <t>Device.Services.FAPService.{i}.CellConfig.LTE.RAN.NeighborList.InterRATCell.UMTS.{i}.UARFCNUL</t>
  </si>
  <si>
    <t>UARFCNUL</t>
  </si>
  <si>
    <t>上行UARFCN</t>
  </si>
  <si>
    <t>unsignedInt[0:16383]</t>
  </si>
  <si>
    <t>FDD模式小区中的上行链路UTRA绝对无线频率信道号（UARFCN）</t>
  </si>
  <si>
    <t>InternetGatewayDevice.Services.FAPService.{i}.CellConfig.LTE.RAN.NeighborList.InterRATCell.UMTS.{i}.UARFCNDL</t>
  </si>
  <si>
    <t>Device.Services.FAPService.{i}.CellConfig.LTE.RAN.NeighborList.InterRATCell.UMTS.{i}.UARFCNDL</t>
  </si>
  <si>
    <t>UARFCNDL</t>
  </si>
  <si>
    <t>下行UARFCN</t>
  </si>
  <si>
    <t>Uarfcn</t>
  </si>
  <si>
    <t>FDD模式小区中的下行链路UTRA绝对无线频率信道号（UARFCN</t>
  </si>
  <si>
    <t>InternetGatewayDevice.Services.FAPService.{i}.CellConfig.LTE.RAN.NeighborList.InterRATCell.UMTS.{i}.PCPICHScramblingCode</t>
  </si>
  <si>
    <t>Device.Services.FAPService.{i}.CellConfig.LTE.RAN.NeighborList.InterRATCell.UMTS.{i}.PCPICHScramblingCode</t>
  </si>
  <si>
    <t>PCPICHScramblingCode</t>
  </si>
  <si>
    <t>Primary CPICH扰码</t>
  </si>
  <si>
    <t>unsignedInt[0:511]</t>
  </si>
  <si>
    <t>InternetGatewayDevice.Services.FAPService.{i}.CellConfig.LTE.RAN.NeighborList.InterRATCell.UMTS.{i}.PCPICHTxPower</t>
  </si>
  <si>
    <t>Device.Services.FAPService.{i}.CellConfig.LTE.RAN.NeighborList.InterRATCell.UMTS.{i}.PCPICHTxPower</t>
  </si>
  <si>
    <t>PCPICHTxPower</t>
  </si>
  <si>
    <t>Primary CPICH发射功率</t>
  </si>
  <si>
    <t xml:space="preserve">  int[-100:500]</t>
  </si>
  <si>
    <t>GSM邻区参数管理</t>
  </si>
  <si>
    <t>InternetGatewayDevice.Services.FAPService.{i}.CellConfig.LTE.RAN.NeighborList.InterRATCell.GSM.{i}.PLMNID</t>
  </si>
  <si>
    <t>Device.Services.FAPService.{i}.CellConfig.LTE.RAN.NeighborList.InterRATCell.GSM.{i}.PLMNID</t>
  </si>
  <si>
    <t>InternetGatewayDevice.Services.FAPService.{i}.CellConfig.LTE.RAN.NeighborList.InterRATCell.GSM.{i}.LAC</t>
  </si>
  <si>
    <t>Device.Services.FAPService.{i}.CellConfig.LTE.RAN.NeighborList.InterRATCell.GSM.{i}.LAC</t>
  </si>
  <si>
    <t>位置区代码</t>
  </si>
  <si>
    <t>InternetGatewayDevice.Services.FAPService.{i}.CellConfig.LTE.RAN.NeighborList.InterRATCell.GSM.{i}.BSIC</t>
  </si>
  <si>
    <t>Device.Services.FAPService.{i}.CellConfig.LTE.RAN.NeighborList.InterRATCell.GSM.{i}.BSIC</t>
  </si>
  <si>
    <t>BSIC</t>
  </si>
  <si>
    <t>小区的BSIC</t>
  </si>
  <si>
    <t>InternetGatewayDevice.Services.FAPService.{i}.CellConfig.LTE.RAN.NeighborList.InterRATCell.GSM.{i}.CI</t>
  </si>
  <si>
    <t>Device.Services.FAPService.{i}.CellConfig.LTE.RAN.NeighborList.InterRATCell.GSM.{i}.CI</t>
  </si>
  <si>
    <t>CI</t>
  </si>
  <si>
    <t>InternetGatewayDevice.Services.FAPService.{i}.CellConfig.LTE.RAN.NeighborList.InterRATCell.GSM.{i}.BandIndicator</t>
  </si>
  <si>
    <t>Device.Services.FAPService.{i}.CellConfig.LTE.RAN.NeighborList.InterRATCell.GSM.{i}.BandIndicator</t>
  </si>
  <si>
    <t>频段指示</t>
  </si>
  <si>
    <t>指示频段是DCS1800还是PCS1900
0=DCS 1800
1=PCS 1900</t>
  </si>
  <si>
    <t>InternetGatewayDevice.Services.FAPService.{i}.CellConfig.LTE.RAN.NeighborList.InterRATCell.GSM.{i}.BCCHARFCN</t>
  </si>
  <si>
    <t>Device.Services.FAPService.{i}.CellConfig.LTE.RAN.NeighborList.InterRATCell.GSM.{i}.BCCHARFCN</t>
  </si>
  <si>
    <t>BCCHARFCN</t>
  </si>
  <si>
    <t>BCCH ARFCN</t>
  </si>
  <si>
    <t>BcchFrequency</t>
  </si>
  <si>
    <t>unsignedInt[0:1023]</t>
  </si>
  <si>
    <t>BCCH载频的ARFCN</t>
  </si>
  <si>
    <t>InternetGatewayDevice.Services.FAPService.{i}.CellConfig.LTE.RAN.NeighborList.InterRATCell.GSM.{i}.RAC</t>
  </si>
  <si>
    <t>Device.Services.FAPService.{i}.CellConfig.LTE.RAN.NeighborList.InterRATCell.GSM.{i}.RAC</t>
  </si>
  <si>
    <t>切换公共参数</t>
  </si>
  <si>
    <t>InternetGatewayDevice.Services.FAPService.{i}.CellConfig.LTE.RAN.Mobility.ConnMode.IRAT.QoffsetGERAN</t>
  </si>
  <si>
    <t>Device.Services.FAPService.{i}.CellConfig.LTE.RAN.Mobility.ConnMode.IRAT.QoffsetGERAN</t>
  </si>
  <si>
    <t>QoffsetGERAN</t>
  </si>
  <si>
    <t>GERAN频点偏移量</t>
  </si>
  <si>
    <t>OffsetFreqGeran</t>
  </si>
  <si>
    <t>GERAN小区频点偏移量</t>
  </si>
  <si>
    <t>InternetGatewayDevice.Services.FAPService.{i}.CellConfig.LTE.RAN.Mobility.ConnMode.IRAT.MeasQuantityUTRAFDD</t>
  </si>
  <si>
    <t>Device.Services.FAPService.{i}.CellConfig.LTE.RAN.Mobility.ConnMode.IRAT.MeasQuantityUTRAFDD</t>
  </si>
  <si>
    <t>MeasQuantityUTRAFDD</t>
  </si>
  <si>
    <t>UTRA测量量</t>
  </si>
  <si>
    <t xml:space="preserve">CPICH-RSCP
CPICH-EcN0 </t>
  </si>
  <si>
    <t>定义B1、B2事件中3G系统测量量：答复ZTE 20</t>
  </si>
  <si>
    <t>InternetGatewayDevice.Services.FAPService.{i}.CellConfig.LTE.RAN.Mobility.ConnMode.IRAT.MeasQuantityGERAN</t>
  </si>
  <si>
    <t>Device.Services.FAPService.{i}.CellConfig.LTE.RAN.Mobility.ConnMode.IRAT.MeasQuantityGERAN</t>
  </si>
  <si>
    <t>MeasQuantityGERAN</t>
  </si>
  <si>
    <t>GERAN测量量</t>
  </si>
  <si>
    <t>rrsi</t>
  </si>
  <si>
    <t>定义B1、B2事件中2G系统测量量：答复ZTE 20</t>
  </si>
  <si>
    <t>InternetGatewayDevice.Services.FAPService.{i}.CellConfig.LTE.RAN.Mobility.ConnMode.IRAT.QoffsetUTRA</t>
  </si>
  <si>
    <t>Device.Services.FAPService.{i}.CellConfig.LTE.RAN.Mobility.ConnMode.IRAT.QoffsetUTRA</t>
  </si>
  <si>
    <t>QoffsetUTRA</t>
  </si>
  <si>
    <t>UTRA频点偏移量</t>
  </si>
  <si>
    <t>OffsetFreqUtra</t>
  </si>
  <si>
    <t>UTRA小区频点偏移量</t>
  </si>
  <si>
    <t>InternetGatewayDevice.Services.FAPService.{i}.CellConfig.LTE.RAN.Mobility.ConnMode.EUTRA.MeasureCtrl.Smeasure</t>
  </si>
  <si>
    <t>Device.Services.FAPService.{i}.CellConfig.LTE.RAN.Mobility.ConnMode.EUTRA.MeasureCtrl.Smeasure</t>
  </si>
  <si>
    <t>Smeasure</t>
  </si>
  <si>
    <t>测量启动门限</t>
  </si>
  <si>
    <t>unsignedInt[0:97]</t>
  </si>
  <si>
    <t>A1事件测量控制参数</t>
  </si>
  <si>
    <t>InternetGatewayDevice.Services.FAPService.{i}.CellConfig.LTE.RAN.Mobility.ConnMode.EUTRA.A1MeasureCtrl.1.Enable</t>
  </si>
  <si>
    <t>Device.Services.FAPService.{i}.CellConfig.LTE.RAN.Mobility.ConnMode.EUTRA.A1MeasureCtrl.1.Enable</t>
  </si>
  <si>
    <t>B</t>
  </si>
  <si>
    <t>是否启用该表项</t>
  </si>
  <si>
    <t>参数路径中最后一个多实例节点（{i}）序号1～10为系统保留段，若厂商对A1测量事件有其它用途，则从A1MeasureCtrl.11.开始定义</t>
  </si>
  <si>
    <t>新增使能开关</t>
  </si>
  <si>
    <t>InternetGatewayDevice.Services.FAPService.{i}.CellConfig.LTE.RAN.Mobility.ConnMode.EUTRA.A1MeasureCtrl.1.A1ThresholdRSRP</t>
  </si>
  <si>
    <t>Device.Services.FAPService.{i}.CellConfig.LTE.RAN.Mobility.ConnMode.EUTRA.A1MeasureCtrl.1.A1ThresholdRSRP</t>
  </si>
  <si>
    <t>A1ThresholdRSRP</t>
  </si>
  <si>
    <t>A1事件RSRP门限</t>
  </si>
  <si>
    <t>AT</t>
  </si>
  <si>
    <t>A1ThresholdInterFCo</t>
  </si>
  <si>
    <t>用于EUTRA测量中,触发量为RSRP时,A1事件触发条件的绝对门限</t>
  </si>
  <si>
    <t>InternetGatewayDevice.Services.FAPService.{i}.CellConfig.LTE.RAN.Mobility.ConnMode.EUTRA.A1MeasureCtrl.1.A1ThresholdRSRQ</t>
  </si>
  <si>
    <t>Device.Services.FAPService.{i}.CellConfig.LTE.RAN.Mobility.ConnMode.EUTRA.A1MeasureCtrl.1.A1ThresholdRSRQ</t>
  </si>
  <si>
    <t>A1ThresholdRSRQ</t>
  </si>
  <si>
    <t>A1事件RSRQ门限</t>
  </si>
  <si>
    <t>A1ThresholdInterFCov</t>
  </si>
  <si>
    <t>unsignedInt[0:34]</t>
  </si>
  <si>
    <t>用于EUTRA测量中,触发量为RSRQ时,A1事件触发条件的绝对门限</t>
  </si>
  <si>
    <t>InternetGatewayDevice.Services.FAPService.{i}.CellConfig.LTE.RAN.Mobility.ConnMode.EUTRA.A1MeasureCtrl.1.Hysteresis</t>
  </si>
  <si>
    <t>Device.Services.FAPService.{i}.CellConfig.LTE.RAN.Mobility.ConnMode.EUTRA.A1MeasureCtrl.1.Hysteresis</t>
  </si>
  <si>
    <t>Hysteresis</t>
  </si>
  <si>
    <t>迟滞值</t>
  </si>
  <si>
    <t>A1HysteresisInterFCov</t>
  </si>
  <si>
    <t>unsignedInt[0:30]</t>
  </si>
  <si>
    <t>进入和离开上报触发事件条件的滞后值</t>
  </si>
  <si>
    <t>InternetGatewayDevice.Services.FAPService.{i}.CellConfig.LTE.RAN.Mobility.ConnMode.EUTRA.A1MeasureCtrl.1.MaxReportCells</t>
  </si>
  <si>
    <t>Device.Services.FAPService.{i}.CellConfig.LTE.RAN.Mobility.ConnMode.EUTRA.A1MeasureCtrl.1.MaxReportCells</t>
  </si>
  <si>
    <t>MaxReportCells</t>
  </si>
  <si>
    <t>最大上报小区数</t>
  </si>
  <si>
    <t>测量报告中包含小区的最大数目</t>
  </si>
  <si>
    <t>InternetGatewayDevice.Services.FAPService.{i}.CellConfig.LTE.RAN.Mobility.ConnMode.EUTRA.A1MeasureCtrl.1.MeasurePurpose</t>
  </si>
  <si>
    <t>Device.Services.FAPService.{i}.CellConfig.LTE.RAN.Mobility.ConnMode.EUTRA.A1MeasureCtrl.1.MeasurePurpose</t>
  </si>
  <si>
    <t>MeasurePurpose</t>
  </si>
  <si>
    <t>测量目的</t>
  </si>
  <si>
    <t>unsignedInt[1:100]</t>
  </si>
  <si>
    <t>用于表明当前配置事件的使用目的，本字段取值固定为：
(1=异频测量)</t>
  </si>
  <si>
    <t>对测量目的增加描述</t>
  </si>
  <si>
    <t>InternetGatewayDevice.Services.FAPService.{i}.CellConfig.LTE.RAN.Mobility.ConnMode.EUTRA.A1MeasureCtrl.1.ReportAmount</t>
  </si>
  <si>
    <t>Device.Services.FAPService.{i}.CellConfig.LTE.RAN.Mobility.ConnMode.EUTRA.A1MeasureCtrl.1.ReportAmount</t>
  </si>
  <si>
    <t>ReportAmount</t>
  </si>
  <si>
    <t>上报次数</t>
  </si>
  <si>
    <t>unsignedInt[0:2, 4, 8, 16, 32, 64]</t>
  </si>
  <si>
    <r>
      <rPr>
        <sz val="9"/>
        <rFont val="宋体"/>
        <family val="3"/>
        <charset val="134"/>
      </rPr>
      <t>测量报告发送的次数，</t>
    </r>
    <r>
      <rPr>
        <sz val="9"/>
        <color rgb="FFFF0000"/>
        <rFont val="宋体"/>
        <family val="3"/>
        <charset val="134"/>
      </rPr>
      <t>0表示无限次</t>
    </r>
  </si>
  <si>
    <t>InternetGatewayDevice.Services.FAPService.{i}.CellConfig.LTE.RAN.Mobility.ConnMode.EUTRA.A1MeasureCtrl.1.ReportInterval</t>
  </si>
  <si>
    <t>Device.Services.FAPService.{i}.CellConfig.LTE.RAN.Mobility.ConnMode.EUTRA.A1MeasureCtrl.1.ReportInterval</t>
  </si>
  <si>
    <t>ReportInterval</t>
  </si>
  <si>
    <t>上报间隔</t>
  </si>
  <si>
    <t>unsignedInt[120, 240, 480, 640, 1024, 2048, 5120, 10240, 60000, 360000, 720000, 1800000, 3600000]</t>
  </si>
  <si>
    <t>连续测量报告之间的间隔，单位ms</t>
  </si>
  <si>
    <t>InternetGatewayDevice.Services.FAPService.{i}.CellConfig.LTE.RAN.Mobility.ConnMode.EUTRA.A1MeasureCtrl.1.ReportQuantity</t>
  </si>
  <si>
    <t>Device.Services.FAPService.{i}.CellConfig.LTE.RAN.Mobility.ConnMode.EUTRA.A1MeasureCtrl.1.ReportQuantity</t>
  </si>
  <si>
    <t>ReportQuantity</t>
  </si>
  <si>
    <t>上报量</t>
  </si>
  <si>
    <t>A1ReportQuantityInterFCov</t>
  </si>
  <si>
    <t>测量报告中的上报量(sameAsTriggerQuantity, both)</t>
  </si>
  <si>
    <t>InternetGatewayDevice.Services.FAPService.{i}.CellConfig.LTE.RAN.Mobility.ConnMode.EUTRA.A1MeasureCtrl.1.TimeToTrigger</t>
  </si>
  <si>
    <t>Device.Services.FAPService.{i}.CellConfig.LTE.RAN.Mobility.ConnMode.EUTRA.A1MeasureCtrl.1.TimeToTrigger</t>
  </si>
  <si>
    <t>TimeToTrigger</t>
  </si>
  <si>
    <t>触发时间</t>
  </si>
  <si>
    <t>unsignedInt[0,40, 64, 80,100,128, 160,256,320, 480, 512, 640, 1024,1280,2560,5120]</t>
  </si>
  <si>
    <t>为了满足触发RAT测量报告,触发条件持续的时间，单位ms</t>
  </si>
  <si>
    <t>InternetGatewayDevice.Services.FAPService.{i}.CellConfig.LTE.RAN.Mobility.ConnMode.EUTRA.A1MeasureCtrl.1.TriggerQuantity</t>
  </si>
  <si>
    <t>Device.Services.FAPService.{i}.CellConfig.LTE.RAN.Mobility.ConnMode.EUTRA.A1MeasureCtrl.1.TriggerQuantity</t>
  </si>
  <si>
    <t>TriggerQuantity</t>
  </si>
  <si>
    <t>触发量</t>
  </si>
  <si>
    <t>A1TriggerQuantityInterFCov</t>
  </si>
  <si>
    <t>用来评估触发条件的事件触发量(RSRP, RSRQ)</t>
  </si>
  <si>
    <t>InternetGatewayDevice.Services.FAPService.{i}.CellConfig.LTE.RAN.Mobility.ConnMode.EUTRA.A1MeasureCtrl.2.Enable</t>
  </si>
  <si>
    <t>Device.Services.FAPService.{i}.CellConfig.LTE.RAN.Mobility.ConnMode.EUTRA.A1MeasureCtrl.2.Enable</t>
  </si>
  <si>
    <t>InternetGatewayDevice.Services.FAPService.{i}.CellConfig.LTE.RAN.Mobility.ConnMode.EUTRA.A1MeasureCtrl.2.A1ThresholdRSRP</t>
  </si>
  <si>
    <t>Device.Services.FAPService.{i}.CellConfig.LTE.RAN.Mobility.ConnMode.EUTRA.A1MeasureCtrl.2.A1ThresholdRSRP</t>
  </si>
  <si>
    <t>A1ThresholdUtraCov</t>
  </si>
  <si>
    <t>InternetGatewayDevice.Services.FAPService.{i}.CellConfig.LTE.RAN.Mobility.ConnMode.EUTRA.A1MeasureCtrl.2.A1ThresholdRSRQ</t>
  </si>
  <si>
    <t>Device.Services.FAPService.{i}.CellConfig.LTE.RAN.Mobility.ConnMode.EUTRA.A1MeasureCtrl.2.A1ThresholdRSRQ</t>
  </si>
  <si>
    <t>InternetGatewayDevice.Services.FAPService.{i}.CellConfig.LTE.RAN.Mobility.ConnMode.EUTRA.A1MeasureCtrl.2.Hysteresis</t>
  </si>
  <si>
    <t>Device.Services.FAPService.{i}.CellConfig.LTE.RAN.Mobility.ConnMode.EUTRA.A1MeasureCtrl.2.Hysteresis</t>
  </si>
  <si>
    <t>A1HysteresisUtraCov</t>
  </si>
  <si>
    <t>InternetGatewayDevice.Services.FAPService.{i}.CellConfig.LTE.RAN.Mobility.ConnMode.EUTRA.A1MeasureCtrl.2.MaxReportCells</t>
  </si>
  <si>
    <t>Device.Services.FAPService.{i}.CellConfig.LTE.RAN.Mobility.ConnMode.EUTRA.A1MeasureCtrl.2.MaxReportCells</t>
  </si>
  <si>
    <t>InternetGatewayDevice.Services.FAPService.{i}.CellConfig.LTE.RAN.Mobility.ConnMode.EUTRA.A1MeasureCtrl.2.MeasurePurpose</t>
  </si>
  <si>
    <t>Device.Services.FAPService.{i}.CellConfig.LTE.RAN.Mobility.ConnMode.EUTRA.A1MeasureCtrl.2.MeasurePurpose</t>
  </si>
  <si>
    <t>用于表明当前配置事件的使用目的，本字段取值固定为：
(2=异系统UTRA测量)</t>
  </si>
  <si>
    <t>InternetGatewayDevice.Services.FAPService.{i}.CellConfig.LTE.RAN.Mobility.ConnMode.EUTRA.A1MeasureCtrl.2.ReportAmount</t>
  </si>
  <si>
    <t>Device.Services.FAPService.{i}.CellConfig.LTE.RAN.Mobility.ConnMode.EUTRA.A1MeasureCtrl.2.ReportAmount</t>
  </si>
  <si>
    <t>InternetGatewayDevice.Services.FAPService.{i}.CellConfig.LTE.RAN.Mobility.ConnMode.EUTRA.A1MeasureCtrl.2.ReportInterval</t>
  </si>
  <si>
    <t>Device.Services.FAPService.{i}.CellConfig.LTE.RAN.Mobility.ConnMode.EUTRA.A1MeasureCtrl.2.ReportInterval</t>
  </si>
  <si>
    <t>InternetGatewayDevice.Services.FAPService.{i}.CellConfig.LTE.RAN.Mobility.ConnMode.EUTRA.A1MeasureCtrl.2.ReportQuantity</t>
  </si>
  <si>
    <t>Device.Services.FAPService.{i}.CellConfig.LTE.RAN.Mobility.ConnMode.EUTRA.A1MeasureCtrl.2.ReportQuantity</t>
  </si>
  <si>
    <t>A1ReportQuantityUtraCov</t>
  </si>
  <si>
    <t>InternetGatewayDevice.Services.FAPService.{i}.CellConfig.LTE.RAN.Mobility.ConnMode.EUTRA.A1MeasureCtrl.2.TimeToTrigger</t>
  </si>
  <si>
    <t>Device.Services.FAPService.{i}.CellConfig.LTE.RAN.Mobility.ConnMode.EUTRA.A1MeasureCtrl.2.TimeToTrigger</t>
  </si>
  <si>
    <t>InternetGatewayDevice.Services.FAPService.{i}.CellConfig.LTE.RAN.Mobility.ConnMode.EUTRA.A1MeasureCtrl.2.TriggerQuantity</t>
  </si>
  <si>
    <t>Device.Services.FAPService.{i}.CellConfig.LTE.RAN.Mobility.ConnMode.EUTRA.A1MeasureCtrl.2.TriggerQuantity</t>
  </si>
  <si>
    <t>A1TriggerQuantityUtraCov</t>
  </si>
  <si>
    <t>用来评估触发条件的事件触发量(RSRP,RSRQ)</t>
  </si>
  <si>
    <t>InternetGatewayDevice.Services.FAPService.{i}.CellConfig.LTE.RAN.Mobility.ConnMode.EUTRA.A1MeasureCtrl.3.Enable</t>
  </si>
  <si>
    <t>Device.Services.FAPService.{i}.CellConfig.LTE.RAN.Mobility.ConnMode.EUTRA.A1MeasureCtrl.3.Enable</t>
  </si>
  <si>
    <t>InternetGatewayDevice.Services.FAPService.{i}.CellConfig.LTE.RAN.Mobility.ConnMode.EUTRA.A1MeasureCtrl.3.A1ThresholdRSRP</t>
  </si>
  <si>
    <t>Device.Services.FAPService.{i}.CellConfig.LTE.RAN.Mobility.ConnMode.EUTRA.A1MeasureCtrl.3.A1ThresholdRSRP</t>
  </si>
  <si>
    <t>A1ThresholdGeranCov</t>
  </si>
  <si>
    <t>InternetGatewayDevice.Services.FAPService.{i}.CellConfig.LTE.RAN.Mobility.ConnMode.EUTRA.A1MeasureCtrl.3.A1ThresholdRSRQ</t>
  </si>
  <si>
    <t>Device.Services.FAPService.{i}.CellConfig.LTE.RAN.Mobility.ConnMode.EUTRA.A1MeasureCtrl.3.A1ThresholdRSRQ</t>
  </si>
  <si>
    <t>InternetGatewayDevice.Services.FAPService.{i}.CellConfig.LTE.RAN.Mobility.ConnMode.EUTRA.A1MeasureCtrl.3.Hysteresis</t>
  </si>
  <si>
    <t>Device.Services.FAPService.{i}.CellConfig.LTE.RAN.Mobility.ConnMode.EUTRA.A1MeasureCtrl.3.Hysteresis</t>
  </si>
  <si>
    <t>A1HysteresisGeranCov</t>
  </si>
  <si>
    <t>InternetGatewayDevice.Services.FAPService.{i}.CellConfig.LTE.RAN.Mobility.ConnMode.EUTRA.A1MeasureCtrl.3.MaxReportCells</t>
  </si>
  <si>
    <t>Device.Services.FAPService.{i}.CellConfig.LTE.RAN.Mobility.ConnMode.EUTRA.A1MeasureCtrl.3.MaxReportCells</t>
  </si>
  <si>
    <t>InternetGatewayDevice.Services.FAPService.{i}.CellConfig.LTE.RAN.Mobility.ConnMode.EUTRA.A1MeasureCtrl.3.MeasurePurpose</t>
  </si>
  <si>
    <t>Device.Services.FAPService.{i}.CellConfig.LTE.RAN.Mobility.ConnMode.EUTRA.A1MeasureCtrl.3.MeasurePurpose</t>
  </si>
  <si>
    <t>用于表明当前配置事件的使用目的，本字段取值固定为：
(3=异系统GERAN)</t>
  </si>
  <si>
    <t>InternetGatewayDevice.Services.FAPService.{i}.CellConfig.LTE.RAN.Mobility.ConnMode.EUTRA.A1MeasureCtrl.3.ReportAmount</t>
  </si>
  <si>
    <t>Device.Services.FAPService.{i}.CellConfig.LTE.RAN.Mobility.ConnMode.EUTRA.A1MeasureCtrl.3.ReportAmount</t>
  </si>
  <si>
    <t>InternetGatewayDevice.Services.FAPService.{i}.CellConfig.LTE.RAN.Mobility.ConnMode.EUTRA.A1MeasureCtrl.3.ReportInterval</t>
  </si>
  <si>
    <t>Device.Services.FAPService.{i}.CellConfig.LTE.RAN.Mobility.ConnMode.EUTRA.A1MeasureCtrl.3.ReportInterval</t>
  </si>
  <si>
    <t>连续测量报告之间的间隔</t>
  </si>
  <si>
    <t>InternetGatewayDevice.Services.FAPService.{i}.CellConfig.LTE.RAN.Mobility.ConnMode.EUTRA.A1MeasureCtrl.3.ReportQuantity</t>
  </si>
  <si>
    <t>Device.Services.FAPService.{i}.CellConfig.LTE.RAN.Mobility.ConnMode.EUTRA.A1MeasureCtrl.3.ReportQuantity</t>
  </si>
  <si>
    <t>A1ReportQuantityGeranCov</t>
  </si>
  <si>
    <t>InternetGatewayDevice.Services.FAPService.{i}.CellConfig.LTE.RAN.Mobility.ConnMode.EUTRA.A1MeasureCtrl.3.TimeToTrigger</t>
  </si>
  <si>
    <t>Device.Services.FAPService.{i}.CellConfig.LTE.RAN.Mobility.ConnMode.EUTRA.A1MeasureCtrl.3.TimeToTrigger</t>
  </si>
  <si>
    <t>为了满足触发RAT测量报告,触发条件持续的时间</t>
  </si>
  <si>
    <t>InternetGatewayDevice.Services.FAPService.{i}.CellConfig.LTE.RAN.Mobility.ConnMode.EUTRA.A1MeasureCtrl.3.TriggerQuantity</t>
  </si>
  <si>
    <t>Device.Services.FAPService.{i}.CellConfig.LTE.RAN.Mobility.ConnMode.EUTRA.A1MeasureCtrl.3.TriggerQuantity</t>
  </si>
  <si>
    <t>A1TriggerQuantityGeranCov</t>
  </si>
  <si>
    <t>InternetGatewayDevice.Services.FAPService.{i}.CellConfig.LTE.RAN.Mobility.ConnMode.EUTRA.A1MeasureCtrl.{i}.Enable</t>
  </si>
  <si>
    <t>Device.Services.FAPService.{i}.CellConfig.LTE.RAN.Mobility.ConnMode.EUTRA.A1MeasureCtrl.{i}.Enable</t>
  </si>
  <si>
    <t>CB</t>
  </si>
  <si>
    <t>InternetGatewayDevice.Services.FAPService.{i}.CellConfig.LTE.RAN.Mobility.ConnMode.EUTRA.A1MeasureCtrl.{i}.A1ThresholdRSRP</t>
  </si>
  <si>
    <t>Device.Services.FAPService.{i}.CellConfig.LTE.RAN.Mobility.ConnMode.EUTRA.A1MeasureCtrl.{i}.A1ThresholdRSRP</t>
  </si>
  <si>
    <t>InternetGatewayDevice.Services.FAPService.{i}.CellConfig.LTE.RAN.Mobility.ConnMode.EUTRA.A1MeasureCtrl.{i}.A1ThresholdRSRQ</t>
  </si>
  <si>
    <t>Device.Services.FAPService.{i}.CellConfig.LTE.RAN.Mobility.ConnMode.EUTRA.A1MeasureCtrl.{i}.A1ThresholdRSRQ</t>
  </si>
  <si>
    <t>InternetGatewayDevice.Services.FAPService.{i}.CellConfig.LTE.RAN.Mobility.ConnMode.EUTRA.A1MeasureCtrl.{i}.Hysteresis</t>
  </si>
  <si>
    <t>Device.Services.FAPService.{i}.CellConfig.LTE.RAN.Mobility.ConnMode.EUTRA.A1MeasureCtrl.{i}.Hysteresis</t>
  </si>
  <si>
    <t>InternetGatewayDevice.Services.FAPService.{i}.CellConfig.LTE.RAN.Mobility.ConnMode.EUTRA.A1MeasureCtrl.{i}.MaxReportCells</t>
  </si>
  <si>
    <t>Device.Services.FAPService.{i}.CellConfig.LTE.RAN.Mobility.ConnMode.EUTRA.A1MeasureCtrl.{i}.MaxReportCells</t>
  </si>
  <si>
    <t>InternetGatewayDevice.Services.FAPService.{i}.CellConfig.LTE.RAN.Mobility.ConnMode.EUTRA.A1MeasureCtrl.{i}.MeasurePurpose</t>
  </si>
  <si>
    <t>Device.Services.FAPService.{i}.CellConfig.LTE.RAN.Mobility.ConnMode.EUTRA.A1MeasureCtrl.{i}.MeasurePurpose</t>
  </si>
  <si>
    <t>用于表明当前配置事件的使用目的，厂家自定义测量事件从10开始定义</t>
  </si>
  <si>
    <t>对测量目的增加描述，属性改为只读</t>
  </si>
  <si>
    <t>InternetGatewayDevice.Services.FAPService.{i}.CellConfig.LTE.RAN.Mobility.ConnMode.EUTRA.A1MeasureCtrl.{i}.ReportAmount</t>
  </si>
  <si>
    <t>Device.Services.FAPService.{i}.CellConfig.LTE.RAN.Mobility.ConnMode.EUTRA.A1MeasureCtrl.{i}.ReportAmount</t>
  </si>
  <si>
    <t>InternetGatewayDevice.Services.FAPService.{i}.CellConfig.LTE.RAN.Mobility.ConnMode.EUTRA.A1MeasureCtrl.{i}.ReportInterval</t>
  </si>
  <si>
    <t>Device.Services.FAPService.{i}.CellConfig.LTE.RAN.Mobility.ConnMode.EUTRA.A1MeasureCtrl.{i}.ReportInterval</t>
  </si>
  <si>
    <t>InternetGatewayDevice.Services.FAPService.{i}.CellConfig.LTE.RAN.Mobility.ConnMode.EUTRA.A1MeasureCtrl.{i}.ReportQuantity</t>
  </si>
  <si>
    <t>Device.Services.FAPService.{i}.CellConfig.LTE.RAN.Mobility.ConnMode.EUTRA.A1MeasureCtrl.{i}.ReportQuantity</t>
  </si>
  <si>
    <t>InternetGatewayDevice.Services.FAPService.{i}.CellConfig.LTE.RAN.Mobility.ConnMode.EUTRA.A1MeasureCtrl.{i}.TimeToTrigger</t>
  </si>
  <si>
    <t>Device.Services.FAPService.{i}.CellConfig.LTE.RAN.Mobility.ConnMode.EUTRA.A1MeasureCtrl.{i}.TimeToTrigger</t>
  </si>
  <si>
    <t>InternetGatewayDevice.Services.FAPService.{i}.CellConfig.LTE.RAN.Mobility.ConnMode.EUTRA.A1MeasureCtrl.{i}.TriggerQuantity</t>
  </si>
  <si>
    <t>Device.Services.FAPService.{i}.CellConfig.LTE.RAN.Mobility.ConnMode.EUTRA.A1MeasureCtrl.{i}.TriggerQuantity</t>
  </si>
  <si>
    <t>A2事件测量控制参数</t>
  </si>
  <si>
    <t>InternetGatewayDevice.Services.FAPService.{i}.CellConfig.LTE.RAN.Mobility.ConnMode.EUTRA.A2MeasureCtrl.1.Enable</t>
  </si>
  <si>
    <t>Device.Services.FAPService.{i}.CellConfig.LTE.RAN.Mobility.ConnMode.EUTRA.A2MeasureCtrl.1.Enable</t>
  </si>
  <si>
    <t>参数路径中最后一个多实例节点（{i}）序号1～10为系统保留段，若厂商对A2测量事件有其它用途，则从A2MeasureCtrl.11.开始定义</t>
  </si>
  <si>
    <t>InternetGatewayDevice.Services.FAPService.{i}.CellConfig.LTE.RAN.Mobility.ConnMode.EUTRA.A2MeasureCtrl.1.A2ThresholdRSRP</t>
  </si>
  <si>
    <t>Device.Services.FAPService.{i}.CellConfig.LTE.RAN.Mobility.ConnMode.EUTRA.A2MeasureCtrl.1.A2ThresholdRSRP</t>
  </si>
  <si>
    <t>A2ThresholdRSRP</t>
  </si>
  <si>
    <t>A2事件RSRP门限</t>
  </si>
  <si>
    <t>A2ThresholdInterFCov</t>
  </si>
  <si>
    <t>用于EUTRA测量中,触发量为RSRP时,A2事件触发条件的绝对门限</t>
  </si>
  <si>
    <t>InternetGatewayDevice.Services.FAPService.{i}.CellConfig.LTE.RAN.Mobility.ConnMode.EUTRA.A2MeasureCtrl.1.A2ThresholdRSRQ</t>
  </si>
  <si>
    <t>Device.Services.FAPService.{i}.CellConfig.LTE.RAN.Mobility.ConnMode.EUTRA.A2MeasureCtrl.1.A2ThresholdRSRQ</t>
  </si>
  <si>
    <t>A2ThresholdRSRQ</t>
  </si>
  <si>
    <t>A2事件RSRQ门限</t>
  </si>
  <si>
    <t xml:space="preserve">用于EUTRA测量中,触发量为RSRQ时,A2事件触发条件的绝对门限
</t>
  </si>
  <si>
    <t>InternetGatewayDevice.Services.FAPService.{i}.CellConfig.LTE.RAN.Mobility.ConnMode.EUTRA.A2MeasureCtrl.1.Hysteresis</t>
  </si>
  <si>
    <t>Device.Services.FAPService.{i}.CellConfig.LTE.RAN.Mobility.ConnMode.EUTRA.A2MeasureCtrl.1.Hysteresis</t>
  </si>
  <si>
    <t>A2HysteresisInterFCov</t>
  </si>
  <si>
    <t xml:space="preserve">进入和离开上报触发事件条件的滞后值
</t>
  </si>
  <si>
    <t>InternetGatewayDevice.Services.FAPService.{i}.CellConfig.LTE.RAN.Mobility.ConnMode.EUTRA.A2MeasureCtrl.1.MaxReportCells</t>
  </si>
  <si>
    <t>Device.Services.FAPService.{i}.CellConfig.LTE.RAN.Mobility.ConnMode.EUTRA.A2MeasureCtrl.1.MaxReportCells</t>
  </si>
  <si>
    <t xml:space="preserve">测量报告中包含小区的最大数目
</t>
  </si>
  <si>
    <t>InternetGatewayDevice.Services.FAPService.{i}.CellConfig.LTE.RAN.Mobility.ConnMode.EUTRA.A2MeasureCtrl.1.MeasurePurpose</t>
  </si>
  <si>
    <t>Device.Services.FAPService.{i}.CellConfig.LTE.RAN.Mobility.ConnMode.EUTRA.A2MeasureCtrl.1.MeasurePurpose</t>
  </si>
  <si>
    <r>
      <rPr>
        <sz val="9"/>
        <color rgb="FFFF0000"/>
        <rFont val="宋体"/>
        <family val="3"/>
        <charset val="134"/>
      </rPr>
      <t>用于表明当前配置事件的使用目的，本字段取值固定为：
(1=异频测量)</t>
    </r>
  </si>
  <si>
    <t>InternetGatewayDevice.Services.FAPService.{i}.CellConfig.LTE.RAN.Mobility.ConnMode.EUTRA.A2MeasureCtrl.1.ReportAmount</t>
  </si>
  <si>
    <t>Device.Services.FAPService.{i}.CellConfig.LTE.RAN.Mobility.ConnMode.EUTRA.A2MeasureCtrl.1.ReportAmount</t>
  </si>
  <si>
    <t>InternetGatewayDevice.Services.FAPService.{i}.CellConfig.LTE.RAN.Mobility.ConnMode.EUTRA.A2MeasureCtrl.1.ReportInterval</t>
  </si>
  <si>
    <t>Device.Services.FAPService.{i}.CellConfig.LTE.RAN.Mobility.ConnMode.EUTRA.A2MeasureCtrl.1.ReportInterval</t>
  </si>
  <si>
    <t>连续测量报告之间的上报间隔</t>
  </si>
  <si>
    <t>InternetGatewayDevice.Services.FAPService.{i}.CellConfig.LTE.RAN.Mobility.ConnMode.EUTRA.A2MeasureCtrl.1.ReportQuantity</t>
  </si>
  <si>
    <t>Device.Services.FAPService.{i}.CellConfig.LTE.RAN.Mobility.ConnMode.EUTRA.A2MeasureCtrl.1.ReportQuantity</t>
  </si>
  <si>
    <t>A2ReportQuantityInterFCov</t>
  </si>
  <si>
    <t>InternetGatewayDevice.Services.FAPService.{i}.CellConfig.LTE.RAN.Mobility.ConnMode.EUTRA.A2MeasureCtrl.1.TimeToTrigger</t>
  </si>
  <si>
    <t>Device.Services.FAPService.{i}.CellConfig.LTE.RAN.Mobility.ConnMode.EUTRA.A2MeasureCtrl.1.TimeToTrigger</t>
  </si>
  <si>
    <t>A2TimeToTriggerInterFCov</t>
  </si>
  <si>
    <t>为了满足触发RAT测量报告触发条件持续的时间，单位ms</t>
  </si>
  <si>
    <t>InternetGatewayDevice.Services.FAPService.{i}.CellConfig.LTE.RAN.Mobility.ConnMode.EUTRA.A2MeasureCtrl.1.TriggerQuantity</t>
  </si>
  <si>
    <t>Device.Services.FAPService.{i}.CellConfig.LTE.RAN.Mobility.ConnMode.EUTRA.A2MeasureCtrl.1.TriggerQuantity</t>
  </si>
  <si>
    <t>A2TriggerQuantityInterFCov</t>
  </si>
  <si>
    <t>用来评估触发条件测量报告的数量</t>
  </si>
  <si>
    <t>InternetGatewayDevice.Services.FAPService.{i}.CellConfig.LTE.RAN.Mobility.ConnMode.EUTRA.A2MeasureCtrl.2.Enable</t>
  </si>
  <si>
    <t>Device.Services.FAPService.{i}.CellConfig.LTE.RAN.Mobility.ConnMode.EUTRA.A2MeasureCtrl.2.Enable</t>
  </si>
  <si>
    <t>InternetGatewayDevice.Services.FAPService.{i}.CellConfig.LTE.RAN.Mobility.ConnMode.EUTRA.A2MeasureCtrl.2.A2ThresholdRSRP</t>
  </si>
  <si>
    <t>Device.Services.FAPService.{i}.CellConfig.LTE.RAN.Mobility.ConnMode.EUTRA.A2MeasureCtrl.2.A2ThresholdRSRP</t>
  </si>
  <si>
    <t>A2ThresholdUtraCov</t>
  </si>
  <si>
    <t>InternetGatewayDevice.Services.FAPService.{i}.CellConfig.LTE.RAN.Mobility.ConnMode.EUTRA.A2MeasureCtrl.2.A2ThresholdRSRQ</t>
  </si>
  <si>
    <t>Device.Services.FAPService.{i}.CellConfig.LTE.RAN.Mobility.ConnMode.EUTRA.A2MeasureCtrl.2.A2ThresholdRSRQ</t>
  </si>
  <si>
    <t>InternetGatewayDevice.Services.FAPService.{i}.CellConfig.LTE.RAN.Mobility.ConnMode.EUTRA.A2MeasureCtrl.2.Hysteresis</t>
  </si>
  <si>
    <t>Device.Services.FAPService.{i}.CellConfig.LTE.RAN.Mobility.ConnMode.EUTRA.A2MeasureCtrl.2.Hysteresis</t>
  </si>
  <si>
    <t>A2HysteresisUtraCov</t>
  </si>
  <si>
    <t>InternetGatewayDevice.Services.FAPService.{i}.CellConfig.LTE.RAN.Mobility.ConnMode.EUTRA.A2MeasureCtrl.2.MaxReportCells</t>
  </si>
  <si>
    <t>Device.Services.FAPService.{i}.CellConfig.LTE.RAN.Mobility.ConnMode.EUTRA.A2MeasureCtrl.2.MaxReportCells</t>
  </si>
  <si>
    <t>InternetGatewayDevice.Services.FAPService.{i}.CellConfig.LTE.RAN.Mobility.ConnMode.EUTRA.A2MeasureCtrl.2.MeasurePurpose</t>
  </si>
  <si>
    <t>Device.Services.FAPService.{i}.CellConfig.LTE.RAN.Mobility.ConnMode.EUTRA.A2MeasureCtrl.2.MeasurePurpose</t>
  </si>
  <si>
    <r>
      <rPr>
        <sz val="9"/>
        <color rgb="FFFF0000"/>
        <rFont val="宋体"/>
        <family val="3"/>
        <charset val="134"/>
      </rPr>
      <t>用于表明当前配置事件的使用目的，本字段取值固定为：
(2=异系统UTRA测量)</t>
    </r>
  </si>
  <si>
    <t>InternetGatewayDevice.Services.FAPService.{i}.CellConfig.LTE.RAN.Mobility.ConnMode.EUTRA.A2MeasureCtrl.2.ReportAmount</t>
  </si>
  <si>
    <t>Device.Services.FAPService.{i}.CellConfig.LTE.RAN.Mobility.ConnMode.EUTRA.A2MeasureCtrl.2.ReportAmount</t>
  </si>
  <si>
    <t>InternetGatewayDevice.Services.FAPService.{i}.CellConfig.LTE.RAN.Mobility.ConnMode.EUTRA.A2MeasureCtrl.2.ReportInterval</t>
  </si>
  <si>
    <t>Device.Services.FAPService.{i}.CellConfig.LTE.RAN.Mobility.ConnMode.EUTRA.A2MeasureCtrl.2.ReportInterval</t>
  </si>
  <si>
    <t>InternetGatewayDevice.Services.FAPService.{i}.CellConfig.LTE.RAN.Mobility.ConnMode.EUTRA.A2MeasureCtrl.2.ReportQuantity</t>
  </si>
  <si>
    <t>Device.Services.FAPService.{i}.CellConfig.LTE.RAN.Mobility.ConnMode.EUTRA.A2MeasureCtrl.2.ReportQuantity</t>
  </si>
  <si>
    <t>A2ReportQuantityUtraCov</t>
  </si>
  <si>
    <t>测量报告中的上报量（sameAsTriggerQuantity,both）</t>
  </si>
  <si>
    <t>InternetGatewayDevice.Services.FAPService.{i}.CellConfig.LTE.RAN.Mobility.ConnMode.EUTRA.A2MeasureCtrl.2.TimeToTrigger</t>
  </si>
  <si>
    <t>Device.Services.FAPService.{i}.CellConfig.LTE.RAN.Mobility.ConnMode.EUTRA.A2MeasureCtrl.2.TimeToTrigger</t>
  </si>
  <si>
    <t>A2TimeToTriggerUtraCov</t>
  </si>
  <si>
    <t>InternetGatewayDevice.Services.FAPService.{i}.CellConfig.LTE.RAN.Mobility.ConnMode.EUTRA.A2MeasureCtrl.2.TriggerQuantity</t>
  </si>
  <si>
    <t>Device.Services.FAPService.{i}.CellConfig.LTE.RAN.Mobility.ConnMode.EUTRA.A2MeasureCtrl.2.TriggerQuantity</t>
  </si>
  <si>
    <t>A2TriggerQuantityUtraCov</t>
  </si>
  <si>
    <t>用来评估触发条件测量报告的数量（RSRP, RSRQ）</t>
  </si>
  <si>
    <t>InternetGatewayDevice.Services.FAPService.{i}.CellConfig.LTE.RAN.Mobility.ConnMode.EUTRA.A2MeasureCtrl.3.Enable</t>
  </si>
  <si>
    <t>Device.Services.FAPService.{i}.CellConfig.LTE.RAN.Mobility.ConnMode.EUTRA.A2MeasureCtrl.3.Enable</t>
  </si>
  <si>
    <t>InternetGatewayDevice.Services.FAPService.{i}.CellConfig.LTE.RAN.Mobility.ConnMode.EUTRA.A2MeasureCtrl.3.A2ThresholdRSRP</t>
  </si>
  <si>
    <t>Device.Services.FAPService.{i}.CellConfig.LTE.RAN.Mobility.ConnMode.EUTRA.A2MeasureCtrl.3.A2ThresholdRSRP</t>
  </si>
  <si>
    <t>A2ThresholdGeranCov</t>
  </si>
  <si>
    <t>InternetGatewayDevice.Services.FAPService.{i}.CellConfig.LTE.RAN.Mobility.ConnMode.EUTRA.A2MeasureCtrl.3.A2ThresholdRSRQ</t>
  </si>
  <si>
    <t>Device.Services.FAPService.{i}.CellConfig.LTE.RAN.Mobility.ConnMode.EUTRA.A2MeasureCtrl.3.A2ThresholdRSRQ</t>
  </si>
  <si>
    <t>InternetGatewayDevice.Services.FAPService.{i}.CellConfig.LTE.RAN.Mobility.ConnMode.EUTRA.A2MeasureCtrl.3.Hysteresis</t>
  </si>
  <si>
    <t>Device.Services.FAPService.{i}.CellConfig.LTE.RAN.Mobility.ConnMode.EUTRA.A2MeasureCtrl.3.Hysteresis</t>
  </si>
  <si>
    <t>A2HysteresisGeranCov</t>
  </si>
  <si>
    <t>InternetGatewayDevice.Services.FAPService.{i}.CellConfig.LTE.RAN.Mobility.ConnMode.EUTRA.A2MeasureCtrl.3.MaxReportCells</t>
  </si>
  <si>
    <t>Device.Services.FAPService.{i}.CellConfig.LTE.RAN.Mobility.ConnMode.EUTRA.A2MeasureCtrl.3.MaxReportCells</t>
  </si>
  <si>
    <t>InternetGatewayDevice.Services.FAPService.{i}.CellConfig.LTE.RAN.Mobility.ConnMode.EUTRA.A2MeasureCtrl.3.MeasurePurpose</t>
  </si>
  <si>
    <t>Device.Services.FAPService.{i}.CellConfig.LTE.RAN.Mobility.ConnMode.EUTRA.A2MeasureCtrl.3.MeasurePurpose</t>
  </si>
  <si>
    <r>
      <rPr>
        <sz val="9"/>
        <color rgb="FFFF0000"/>
        <rFont val="宋体"/>
        <family val="3"/>
        <charset val="134"/>
      </rPr>
      <t>用于表明当前配置事件的使用目的，本字段取值固定为：
(3=异系统GERAN测量)</t>
    </r>
  </si>
  <si>
    <t>InternetGatewayDevice.Services.FAPService.{i}.CellConfig.LTE.RAN.Mobility.ConnMode.EUTRA.A2MeasureCtrl.3.ReportAmount</t>
  </si>
  <si>
    <t>Device.Services.FAPService.{i}.CellConfig.LTE.RAN.Mobility.ConnMode.EUTRA.A2MeasureCtrl.3.ReportAmount</t>
  </si>
  <si>
    <t>InternetGatewayDevice.Services.FAPService.{i}.CellConfig.LTE.RAN.Mobility.ConnMode.EUTRA.A2MeasureCtrl.3.ReportInterval</t>
  </si>
  <si>
    <t>Device.Services.FAPService.{i}.CellConfig.LTE.RAN.Mobility.ConnMode.EUTRA.A2MeasureCtrl.3.ReportInterval</t>
  </si>
  <si>
    <t>InternetGatewayDevice.Services.FAPService.{i}.CellConfig.LTE.RAN.Mobility.ConnMode.EUTRA.A2MeasureCtrl.3.ReportQuantity</t>
  </si>
  <si>
    <t>Device.Services.FAPService.{i}.CellConfig.LTE.RAN.Mobility.ConnMode.EUTRA.A2MeasureCtrl.3.ReportQuantity</t>
  </si>
  <si>
    <t>A2ReportQuantityGeranCov</t>
  </si>
  <si>
    <t>InternetGatewayDevice.Services.FAPService.{i}.CellConfig.LTE.RAN.Mobility.ConnMode.EUTRA.A2MeasureCtrl.3.TimeToTrigger</t>
  </si>
  <si>
    <t>Device.Services.FAPService.{i}.CellConfig.LTE.RAN.Mobility.ConnMode.EUTRA.A2MeasureCtrl.3.TimeToTrigger</t>
  </si>
  <si>
    <t>A2TimeToTriggerGeranCov</t>
  </si>
  <si>
    <t>InternetGatewayDevice.Services.FAPService.{i}.CellConfig.LTE.RAN.Mobility.ConnMode.EUTRA.A2MeasureCtrl.3.TriggerQuantity</t>
  </si>
  <si>
    <t>Device.Services.FAPService.{i}.CellConfig.LTE.RAN.Mobility.ConnMode.EUTRA.A2MeasureCtrl.3.TriggerQuantity</t>
  </si>
  <si>
    <t>A2TriggerQuantityGeranCov</t>
  </si>
  <si>
    <t>InternetGatewayDevice.Services.FAPService.{i}.CellConfig.LTE.RAN.Mobility.ConnMode.EUTRA.A2MeasureCtrl.4.Enable</t>
  </si>
  <si>
    <t>Device.Services.FAPService.{i}.CellConfig.LTE.RAN.Mobility.ConnMode.EUTRA.A2MeasureCtrl.4.Enable</t>
  </si>
  <si>
    <t>InternetGatewayDevice.Services.FAPService.{i}.CellConfig.LTE.RAN.Mobility.ConnMode.EUTRA.A2MeasureCtrl.4.A2ThresholdRSRP</t>
  </si>
  <si>
    <t>Device.Services.FAPService.{i}.CellConfig.LTE.RAN.Mobility.ConnMode.EUTRA.A2MeasureCtrl.4.A2ThresholdRSRP</t>
  </si>
  <si>
    <t>A2ThresholdBlindUtraCov</t>
  </si>
  <si>
    <t>InternetGatewayDevice.Services.FAPService.{i}.CellConfig.LTE.RAN.Mobility.ConnMode.EUTRA.A2MeasureCtrl.4.A2ThresholdRSRQ</t>
  </si>
  <si>
    <t>Device.Services.FAPService.{i}.CellConfig.LTE.RAN.Mobility.ConnMode.EUTRA.A2MeasureCtrl.4.A2ThresholdRSRQ</t>
  </si>
  <si>
    <t>InternetGatewayDevice.Services.FAPService.{i}.CellConfig.LTE.RAN.Mobility.ConnMode.EUTRA.A2MeasureCtrl.4.Hysteresis</t>
  </si>
  <si>
    <t>Device.Services.FAPService.{i}.CellConfig.LTE.RAN.Mobility.ConnMode.EUTRA.A2MeasureCtrl.4.Hysteresis</t>
  </si>
  <si>
    <t>A2HysteresisBlindUtraCov</t>
  </si>
  <si>
    <t>InternetGatewayDevice.Services.FAPService.{i}.CellConfig.LTE.RAN.Mobility.ConnMode.EUTRA.A2MeasureCtrl.4.MaxReportCells</t>
  </si>
  <si>
    <t>Device.Services.FAPService.{i}.CellConfig.LTE.RAN.Mobility.ConnMode.EUTRA.A2MeasureCtrl.4.MaxReportCells</t>
  </si>
  <si>
    <t>InternetGatewayDevice.Services.FAPService.{i}.CellConfig.LTE.RAN.Mobility.ConnMode.EUTRA.A2MeasureCtrl.4.MeasurePurpose</t>
  </si>
  <si>
    <t>Device.Services.FAPService.{i}.CellConfig.LTE.RAN.Mobility.ConnMode.EUTRA.A2MeasureCtrl.4.MeasurePurpose</t>
  </si>
  <si>
    <r>
      <rPr>
        <sz val="9"/>
        <color rgb="FFFF0000"/>
        <rFont val="宋体"/>
        <family val="3"/>
        <charset val="134"/>
      </rPr>
      <t>用于表明当前配置事件的使用目的，本字段取值固定为：
(4=异系统UTRA盲重定向)</t>
    </r>
  </si>
  <si>
    <t>InternetGatewayDevice.Services.FAPService.{i}.CellConfig.LTE.RAN.Mobility.ConnMode.EUTRA.A2MeasureCtrl.4.ReportAmount</t>
  </si>
  <si>
    <t>Device.Services.FAPService.{i}.CellConfig.LTE.RAN.Mobility.ConnMode.EUTRA.A2MeasureCtrl.4.ReportAmount</t>
  </si>
  <si>
    <t>InternetGatewayDevice.Services.FAPService.{i}.CellConfig.LTE.RAN.Mobility.ConnMode.EUTRA.A2MeasureCtrl.4.ReportInterval</t>
  </si>
  <si>
    <t>Device.Services.FAPService.{i}.CellConfig.LTE.RAN.Mobility.ConnMode.EUTRA.A2MeasureCtrl.4.ReportInterval</t>
  </si>
  <si>
    <t>InternetGatewayDevice.Services.FAPService.{i}.CellConfig.LTE.RAN.Mobility.ConnMode.EUTRA.A2MeasureCtrl.4.ReportQuantity</t>
  </si>
  <si>
    <t>Device.Services.FAPService.{i}.CellConfig.LTE.RAN.Mobility.ConnMode.EUTRA.A2MeasureCtrl.4.ReportQuantity</t>
  </si>
  <si>
    <t>A2ReportQuantityBlindUtraCov</t>
  </si>
  <si>
    <t>InternetGatewayDevice.Services.FAPService.{i}.CellConfig.LTE.RAN.Mobility.ConnMode.EUTRA.A2MeasureCtrl.4.TimeToTrigger</t>
  </si>
  <si>
    <t>Device.Services.FAPService.{i}.CellConfig.LTE.RAN.Mobility.ConnMode.EUTRA.A2MeasureCtrl.4.TimeToTrigger</t>
  </si>
  <si>
    <t>A2TimeToTriggerBlindUtraCov</t>
  </si>
  <si>
    <t>InternetGatewayDevice.Services.FAPService.{i}.CellConfig.LTE.RAN.Mobility.ConnMode.EUTRA.A2MeasureCtrl.4.TriggerQuantity</t>
  </si>
  <si>
    <t>Device.Services.FAPService.{i}.CellConfig.LTE.RAN.Mobility.ConnMode.EUTRA.A2MeasureCtrl.4.TriggerQuantity</t>
  </si>
  <si>
    <t>A2TriggerQuantityBlindUtraCov</t>
  </si>
  <si>
    <t>InternetGatewayDevice.Services.FAPService.{i}.CellConfig.LTE.RAN.Mobility.ConnMode.EUTRA.A2MeasureCtrl.5.Enable</t>
  </si>
  <si>
    <t>Device.Services.FAPService.{i}.CellConfig.LTE.RAN.Mobility.ConnMode.EUTRA.A2MeasureCtrl.5.Enable</t>
  </si>
  <si>
    <t>InternetGatewayDevice.Services.FAPService.{i}.CellConfig.LTE.RAN.Mobility.ConnMode.EUTRA.A2MeasureCtrl.5.A2ThresholdRSRP</t>
  </si>
  <si>
    <t>Device.Services.FAPService.{i}.CellConfig.LTE.RAN.Mobility.ConnMode.EUTRA.A2MeasureCtrl.5.A2ThresholdRSRP</t>
  </si>
  <si>
    <t>A2ThresholdBlindGeranCov</t>
  </si>
  <si>
    <t>InternetGatewayDevice.Services.FAPService.{i}.CellConfig.LTE.RAN.Mobility.ConnMode.EUTRA.A2MeasureCtrl.5.A2ThresholdRSRQ</t>
  </si>
  <si>
    <t>Device.Services.FAPService.{i}.CellConfig.LTE.RAN.Mobility.ConnMode.EUTRA.A2MeasureCtrl.5.A2ThresholdRSRQ</t>
  </si>
  <si>
    <t>InternetGatewayDevice.Services.FAPService.{i}.CellConfig.LTE.RAN.Mobility.ConnMode.EUTRA.A2MeasureCtrl.5.Hysteresis</t>
  </si>
  <si>
    <t>Device.Services.FAPService.{i}.CellConfig.LTE.RAN.Mobility.ConnMode.EUTRA.A2MeasureCtrl.5.Hysteresis</t>
  </si>
  <si>
    <t>A2HysteresisBlindGeranCov</t>
  </si>
  <si>
    <t>InternetGatewayDevice.Services.FAPService.{i}.CellConfig.LTE.RAN.Mobility.ConnMode.EUTRA.A2MeasureCtrl.5.MaxReportCells</t>
  </si>
  <si>
    <t>Device.Services.FAPService.{i}.CellConfig.LTE.RAN.Mobility.ConnMode.EUTRA.A2MeasureCtrl.5.MaxReportCells</t>
  </si>
  <si>
    <t>InternetGatewayDevice.Services.FAPService.{i}.CellConfig.LTE.RAN.Mobility.ConnMode.EUTRA.A2MeasureCtrl.5.MeasurePurpose</t>
  </si>
  <si>
    <t>Device.Services.FAPService.{i}.CellConfig.LTE.RAN.Mobility.ConnMode.EUTRA.A2MeasureCtrl.5.MeasurePurpose</t>
  </si>
  <si>
    <r>
      <rPr>
        <sz val="9"/>
        <color rgb="FFFF0000"/>
        <rFont val="宋体"/>
        <family val="3"/>
        <charset val="134"/>
      </rPr>
      <t>用于表明当前配置事件的使用目的，本字段取值固定为：
(5=异系统GERAN盲重定向)</t>
    </r>
  </si>
  <si>
    <t>InternetGatewayDevice.Services.FAPService.{i}.CellConfig.LTE.RAN.Mobility.ConnMode.EUTRA.A2MeasureCtrl.5.ReportAmount</t>
  </si>
  <si>
    <t>Device.Services.FAPService.{i}.CellConfig.LTE.RAN.Mobility.ConnMode.EUTRA.A2MeasureCtrl.5.ReportAmount</t>
  </si>
  <si>
    <t>InternetGatewayDevice.Services.FAPService.{i}.CellConfig.LTE.RAN.Mobility.ConnMode.EUTRA.A2MeasureCtrl.5.ReportInterval</t>
  </si>
  <si>
    <t>Device.Services.FAPService.{i}.CellConfig.LTE.RAN.Mobility.ConnMode.EUTRA.A2MeasureCtrl.5.ReportInterval</t>
  </si>
  <si>
    <t>InternetGatewayDevice.Services.FAPService.{i}.CellConfig.LTE.RAN.Mobility.ConnMode.EUTRA.A2MeasureCtrl.5.ReportQuantity</t>
  </si>
  <si>
    <t>Device.Services.FAPService.{i}.CellConfig.LTE.RAN.Mobility.ConnMode.EUTRA.A2MeasureCtrl.5.ReportQuantity</t>
  </si>
  <si>
    <t>A2ReportQuantityBlindGeranCov</t>
  </si>
  <si>
    <t>InternetGatewayDevice.Services.FAPService.{i}.CellConfig.LTE.RAN.Mobility.ConnMode.EUTRA.A2MeasureCtrl.5.TimeToTrigger</t>
  </si>
  <si>
    <t>Device.Services.FAPService.{i}.CellConfig.LTE.RAN.Mobility.ConnMode.EUTRA.A2MeasureCtrl.5.TimeToTrigger</t>
  </si>
  <si>
    <t>A2TimeToTriggerBlindGeranCov</t>
  </si>
  <si>
    <t>InternetGatewayDevice.Services.FAPService.{i}.CellConfig.LTE.RAN.Mobility.ConnMode.EUTRA.A2MeasureCtrl.5.TriggerQuantity</t>
  </si>
  <si>
    <t>Device.Services.FAPService.{i}.CellConfig.LTE.RAN.Mobility.ConnMode.EUTRA.A2MeasureCtrl.5.TriggerQuantity</t>
  </si>
  <si>
    <t>A2TriggerQuantityBlindGeranCov</t>
  </si>
  <si>
    <t>InternetGatewayDevice.Services.FAPService.{i}.CellConfig.LTE.RAN.Mobility.ConnMode.EUTRA.A2MeasureCtrl.{i}.Enable</t>
  </si>
  <si>
    <t>Device.Services.FAPService.{i}.CellConfig.LTE.RAN.Mobility.ConnMode.EUTRA.A2MeasureCtrl.{i}.Enable</t>
  </si>
  <si>
    <t>InternetGatewayDevice.Services.FAPService.{i}.CellConfig.LTE.RAN.Mobility.ConnMode.EUTRA.A2MeasureCtrl.{i}.A2ThresholdRSRP</t>
  </si>
  <si>
    <t>Device.Services.FAPService.{i}.CellConfig.LTE.RAN.Mobility.ConnMode.EUTRA.A2MeasureCtrl.{i}.A2ThresholdRSRP</t>
  </si>
  <si>
    <t>InternetGatewayDevice.Services.FAPService.{i}.CellConfig.LTE.RAN.Mobility.ConnMode.EUTRA.A2MeasureCtrl.{i}.A2ThresholdRSRQ</t>
  </si>
  <si>
    <t>Device.Services.FAPService.{i}.CellConfig.LTE.RAN.Mobility.ConnMode.EUTRA.A2MeasureCtrl.{i}.A2ThresholdRSRQ</t>
  </si>
  <si>
    <t>InternetGatewayDevice.Services.FAPService.{i}.CellConfig.LTE.RAN.Mobility.ConnMode.EUTRA.A2MeasureCtrl.{i}.Hysteresis</t>
  </si>
  <si>
    <t>Device.Services.FAPService.{i}.CellConfig.LTE.RAN.Mobility.ConnMode.EUTRA.A2MeasureCtrl.{i}.Hysteresis</t>
  </si>
  <si>
    <t>InternetGatewayDevice.Services.FAPService.{i}.CellConfig.LTE.RAN.Mobility.ConnMode.EUTRA.A2MeasureCtrl.{i}.MaxReportCells</t>
  </si>
  <si>
    <t>Device.Services.FAPService.{i}.CellConfig.LTE.RAN.Mobility.ConnMode.EUTRA.A2MeasureCtrl.{i}.MaxReportCells</t>
  </si>
  <si>
    <t>InternetGatewayDevice.Services.FAPService.{i}.CellConfig.LTE.RAN.Mobility.ConnMode.EUTRA.A2MeasureCtrl.{i}.MeasurePurpose</t>
  </si>
  <si>
    <t>Device.Services.FAPService.{i}.CellConfig.LTE.RAN.Mobility.ConnMode.EUTRA.A2MeasureCtrl.{i}.MeasurePurpose</t>
  </si>
  <si>
    <t>InternetGatewayDevice.Services.FAPService.{i}.CellConfig.LTE.RAN.Mobility.ConnMode.EUTRA.A2MeasureCtrl.{i}.ReportAmount</t>
  </si>
  <si>
    <t>Device.Services.FAPService.{i}.CellConfig.LTE.RAN.Mobility.ConnMode.EUTRA.A2MeasureCtrl.{i}.ReportAmount</t>
  </si>
  <si>
    <t>InternetGatewayDevice.Services.FAPService.{i}.CellConfig.LTE.RAN.Mobility.ConnMode.EUTRA.A2MeasureCtrl.{i}.ReportInterval</t>
  </si>
  <si>
    <t>Device.Services.FAPService.{i}.CellConfig.LTE.RAN.Mobility.ConnMode.EUTRA.A2MeasureCtrl.{i}.ReportInterval</t>
  </si>
  <si>
    <t>InternetGatewayDevice.Services.FAPService.{i}.CellConfig.LTE.RAN.Mobility.ConnMode.EUTRA.A2MeasureCtrl.{i}.ReportQuantity</t>
  </si>
  <si>
    <t>Device.Services.FAPService.{i}.CellConfig.LTE.RAN.Mobility.ConnMode.EUTRA.A2MeasureCtrl.{i}.ReportQuantity</t>
  </si>
  <si>
    <t>InternetGatewayDevice.Services.FAPService.{i}.CellConfig.LTE.RAN.Mobility.ConnMode.EUTRA.A2MeasureCtrl.{i}.TimeToTrigger</t>
  </si>
  <si>
    <t>Device.Services.FAPService.{i}.CellConfig.LTE.RAN.Mobility.ConnMode.EUTRA.A2MeasureCtrl.{i}.TimeToTrigger</t>
  </si>
  <si>
    <t>InternetGatewayDevice.Services.FAPService.{i}.CellConfig.LTE.RAN.Mobility.ConnMode.EUTRA.A2MeasureCtrl.{i}.TriggerQuantity</t>
  </si>
  <si>
    <t>Device.Services.FAPService.{i}.CellConfig.LTE.RAN.Mobility.ConnMode.EUTRA.A2MeasureCtrl.{i}.TriggerQuantity</t>
  </si>
  <si>
    <t>A3事件测量控制参数</t>
  </si>
  <si>
    <t>InternetGatewayDevice.Services.FAPService.{i}.CellConfig.LTE.RAN.Mobility.ConnMode.EUTRA.A3MeasureCtrl.1.Enable</t>
  </si>
  <si>
    <t>Device.Services.FAPService.{i}.CellConfig.LTE.RAN.Mobility.ConnMode.EUTRA.A3MeasureCtrl.1.Enable</t>
  </si>
  <si>
    <t>参数路径中最后一个多实例节点（{i}）序号1～10为系统保留段，若厂商对A3测量事件有其它用途，则从A3MeasureCtrl.11.开始定义</t>
  </si>
  <si>
    <t>InternetGatewayDevice.Services.FAPService.{i}.CellConfig.LTE.RAN.Mobility.ConnMode.EUTRA.A3MeasureCtrl.1.A3Offset</t>
  </si>
  <si>
    <t>Device.Services.FAPService.{i}.CellConfig.LTE.RAN.Mobility.ConnMode.EUTRA.A3MeasureCtrl.1.A3Offset</t>
  </si>
  <si>
    <t>A3Offset</t>
  </si>
  <si>
    <t>A3事件门限</t>
  </si>
  <si>
    <t>A3OffsetIntraFCov</t>
  </si>
  <si>
    <t>int[-30:30]</t>
  </si>
  <si>
    <t>用于EUTRA测量中,A3事件触发条件的相对门限值</t>
  </si>
  <si>
    <t>InternetGatewayDevice.Services.FAPService.{i}.CellConfig.LTE.RAN.Mobility.ConnMode.EUTRA.A3MeasureCtrl.1.Hysteresis</t>
  </si>
  <si>
    <t>Device.Services.FAPService.{i}.CellConfig.LTE.RAN.Mobility.ConnMode.EUTRA.A3MeasureCtrl.1.Hysteresis</t>
  </si>
  <si>
    <t>A3HysteresisIntraFCov</t>
  </si>
  <si>
    <t>InternetGatewayDevice.Services.FAPService.{i}.CellConfig.LTE.RAN.Mobility.ConnMode.EUTRA.A3MeasureCtrl.1.MaxReportCells</t>
  </si>
  <si>
    <t>Device.Services.FAPService.{i}.CellConfig.LTE.RAN.Mobility.ConnMode.EUTRA.A3MeasureCtrl.1.MaxReportCells</t>
  </si>
  <si>
    <t>InternetGatewayDevice.Services.FAPService.{i}.CellConfig.LTE.RAN.Mobility.ConnMode.EUTRA.A3MeasureCtrl.1.MeasurePurpose</t>
  </si>
  <si>
    <t>Device.Services.FAPService.{i}.CellConfig.LTE.RAN.Mobility.ConnMode.EUTRA.A3MeasureCtrl.1.MeasurePurpose</t>
  </si>
  <si>
    <t>用于表明当前配置事件的使用目的，本字段取值固定为：
(1=同频测量)</t>
  </si>
  <si>
    <t>InternetGatewayDevice.Services.FAPService.{i}.CellConfig.LTE.RAN.Mobility.ConnMode.EUTRA.A3MeasureCtrl.1.ReportAmount</t>
  </si>
  <si>
    <t>Device.Services.FAPService.{i}.CellConfig.LTE.RAN.Mobility.ConnMode.EUTRA.A3MeasureCtrl.1.ReportAmount</t>
  </si>
  <si>
    <t>InternetGatewayDevice.Services.FAPService.{i}.CellConfig.LTE.RAN.Mobility.ConnMode.EUTRA.A3MeasureCtrl.1.ReportOnLeave</t>
  </si>
  <si>
    <t>Device.Services.FAPService.{i}.CellConfig.LTE.RAN.Mobility.ConnMode.EUTRA.A3MeasureCtrl.1.ReportOnLeave</t>
  </si>
  <si>
    <t>ReportOnLeave</t>
  </si>
  <si>
    <t>A3事件离开上报指示</t>
  </si>
  <si>
    <t>某小区的离开状态满足时,UE是否触发测量上报过程；
0:代表不满足条件的小区离开测量列表时不进行上报；
1:代表都会触发测量结果的填写以及上报消息的发送</t>
  </si>
  <si>
    <t>InternetGatewayDevice.Services.FAPService.{i}.CellConfig.LTE.RAN.Mobility.ConnMode.EUTRA.A3MeasureCtrl.1.ReportInterval</t>
  </si>
  <si>
    <t>Device.Services.FAPService.{i}.CellConfig.LTE.RAN.Mobility.ConnMode.EUTRA.A3MeasureCtrl.1.ReportInterval</t>
  </si>
  <si>
    <t>为了满足触发RAT测量报告触发条件持续的时间</t>
  </si>
  <si>
    <t>InternetGatewayDevice.Services.FAPService.{i}.CellConfig.LTE.RAN.Mobility.ConnMode.EUTRA.A3MeasureCtrl.1.ReportQuantity</t>
  </si>
  <si>
    <t>Device.Services.FAPService.{i}.CellConfig.LTE.RAN.Mobility.ConnMode.EUTRA.A3MeasureCtrl.1.ReportQuantity</t>
  </si>
  <si>
    <t>A3ReportQuantityIntraFCov</t>
  </si>
  <si>
    <t>测量报告中的上报量</t>
  </si>
  <si>
    <t>InternetGatewayDevice.Services.FAPService.{i}.CellConfig.LTE.RAN.Mobility.ConnMode.EUTRA.A3MeasureCtrl.1.TimeToTrigger</t>
  </si>
  <si>
    <t>Device.Services.FAPService.{i}.CellConfig.LTE.RAN.Mobility.ConnMode.EUTRA.A3MeasureCtrl.1.TimeToTrigger</t>
  </si>
  <si>
    <t>A3TimeToTriggerIntraFCov</t>
  </si>
  <si>
    <t>InternetGatewayDevice.Services.FAPService.{i}.CellConfig.LTE.RAN.Mobility.ConnMode.EUTRA.A3MeasureCtrl.1.TriggerQuantity</t>
  </si>
  <si>
    <t>Device.Services.FAPService.{i}.CellConfig.LTE.RAN.Mobility.ConnMode.EUTRA.A3MeasureCtrl.1.TriggerQuantity</t>
  </si>
  <si>
    <t>A3TriggerQuantityIntraFCov</t>
  </si>
  <si>
    <t>InternetGatewayDevice.Services.FAPService.{i}.CellConfig.LTE.RAN.Mobility.ConnMode.EUTRA.A3MeasureCtrl.2.Enable</t>
  </si>
  <si>
    <t>Device.Services.FAPService.{i}.CellConfig.LTE.RAN.Mobility.ConnMode.EUTRA.A3MeasureCtrl.2.Enable</t>
  </si>
  <si>
    <t>InternetGatewayDevice.Services.FAPService.{i}.CellConfig.LTE.RAN.Mobility.ConnMode.EUTRA.A3MeasureCtrl.2.A3Offset</t>
  </si>
  <si>
    <t>Device.Services.FAPService.{i}.CellConfig.LTE.RAN.Mobility.ConnMode.EUTRA.A3MeasureCtrl.2.A3Offset</t>
  </si>
  <si>
    <t>A3OffsetInterFCov</t>
  </si>
  <si>
    <t>InternetGatewayDevice.Services.FAPService.{i}.CellConfig.LTE.RAN.Mobility.ConnMode.EUTRA.A3MeasureCtrl.2.Hysteresis</t>
  </si>
  <si>
    <t>Device.Services.FAPService.{i}.CellConfig.LTE.RAN.Mobility.ConnMode.EUTRA.A3MeasureCtrl.2.Hysteresis</t>
  </si>
  <si>
    <t>A3HysteresisInterFCov</t>
  </si>
  <si>
    <t>InternetGatewayDevice.Services.FAPService.{i}.CellConfig.LTE.RAN.Mobility.ConnMode.EUTRA.A3MeasureCtrl.2.MaxReportCells</t>
  </si>
  <si>
    <t>Device.Services.FAPService.{i}.CellConfig.LTE.RAN.Mobility.ConnMode.EUTRA.A3MeasureCtrl.2.MaxReportCells</t>
  </si>
  <si>
    <t>InternetGatewayDevice.Services.FAPService.{i}.CellConfig.LTE.RAN.Mobility.ConnMode.EUTRA.A3MeasureCtrl.2.MeasurePurpose</t>
  </si>
  <si>
    <t>Device.Services.FAPService.{i}.CellConfig.LTE.RAN.Mobility.ConnMode.EUTRA.A3MeasureCtrl.2.MeasurePurpose</t>
  </si>
  <si>
    <t>用于表明当前配置事件的使用目的，本字段取值固定为：
(2=异频测量)</t>
  </si>
  <si>
    <t>InternetGatewayDevice.Services.FAPService.{i}.CellConfig.LTE.RAN.Mobility.ConnMode.EUTRA.A3MeasureCtrl.2.ReportAmount</t>
  </si>
  <si>
    <t>Device.Services.FAPService.{i}.CellConfig.LTE.RAN.Mobility.ConnMode.EUTRA.A3MeasureCtrl.2.ReportAmount</t>
  </si>
  <si>
    <t>InternetGatewayDevice.Services.FAPService.{i}.CellConfig.LTE.RAN.Mobility.ConnMode.EUTRA.A3MeasureCtrl.2.ReportOnLeave</t>
  </si>
  <si>
    <t>Device.Services.FAPService.{i}.CellConfig.LTE.RAN.Mobility.ConnMode.EUTRA.A3MeasureCtrl.2.ReportOnLeave</t>
  </si>
  <si>
    <t>InternetGatewayDevice.Services.FAPService.{i}.CellConfig.LTE.RAN.Mobility.ConnMode.EUTRA.A3MeasureCtrl.2.ReportInterval</t>
  </si>
  <si>
    <t>Device.Services.FAPService.{i}.CellConfig.LTE.RAN.Mobility.ConnMode.EUTRA.A3MeasureCtrl.2.ReportInterval</t>
  </si>
  <si>
    <t>InternetGatewayDevice.Services.FAPService.{i}.CellConfig.LTE.RAN.Mobility.ConnMode.EUTRA.A3MeasureCtrl.2.ReportQuantity</t>
  </si>
  <si>
    <t>Device.Services.FAPService.{i}.CellConfig.LTE.RAN.Mobility.ConnMode.EUTRA.A3MeasureCtrl.2.ReportQuantity</t>
  </si>
  <si>
    <t>A3ReportQuantityInterFCov</t>
  </si>
  <si>
    <t>测量报告中的上报量{sameAsTriggerQuantity, both}</t>
  </si>
  <si>
    <t>InternetGatewayDevice.Services.FAPService.{i}.CellConfig.LTE.RAN.Mobility.ConnMode.EUTRA.A3MeasureCtrl.2.TimeToTrigger</t>
  </si>
  <si>
    <t>Device.Services.FAPService.{i}.CellConfig.LTE.RAN.Mobility.ConnMode.EUTRA.A3MeasureCtrl.2.TimeToTrigger</t>
  </si>
  <si>
    <t>A3TimeToTriggerInterFCov</t>
  </si>
  <si>
    <t>InternetGatewayDevice.Services.FAPService.{i}.CellConfig.LTE.RAN.Mobility.ConnMode.EUTRA.A3MeasureCtrl.2.TriggerQuantity</t>
  </si>
  <si>
    <t>Device.Services.FAPService.{i}.CellConfig.LTE.RAN.Mobility.ConnMode.EUTRA.A3MeasureCtrl.2.TriggerQuantity</t>
  </si>
  <si>
    <t>A3TriggerQuantityInterFCov</t>
  </si>
  <si>
    <t>用来评估触发条件的事件触发量{RSRP, RSRQ}</t>
  </si>
  <si>
    <t>InternetGatewayDevice.Services.FAPService.{i}.CellConfig.LTE.RAN.Mobility.ConnMode.EUTRA.A3MeasureCtrl.{i}.Enable</t>
  </si>
  <si>
    <t>Device.Services.FAPService.{i}.CellConfig.LTE.RAN.Mobility.ConnMode.EUTRA.A3MeasureCtrl.{i}.Enable</t>
  </si>
  <si>
    <t>InternetGatewayDevice.Services.FAPService.{i}.CellConfig.LTE.RAN.Mobility.ConnMode.EUTRA.A3MeasureCtrl.{i}.A3Offset</t>
  </si>
  <si>
    <t>Device.Services.FAPService.{i}.CellConfig.LTE.RAN.Mobility.ConnMode.EUTRA.A3MeasureCtrl.{i}.A3Offset</t>
  </si>
  <si>
    <t>InternetGatewayDevice.Services.FAPService.{i}.CellConfig.LTE.RAN.Mobility.ConnMode.EUTRA.A3MeasureCtrl.{i}.Hysteresis</t>
  </si>
  <si>
    <t>Device.Services.FAPService.{i}.CellConfig.LTE.RAN.Mobility.ConnMode.EUTRA.A3MeasureCtrl.{i}.Hysteresis</t>
  </si>
  <si>
    <t>InternetGatewayDevice.Services.FAPService.{i}.CellConfig.LTE.RAN.Mobility.ConnMode.EUTRA.A3MeasureCtrl.{i}.MaxReportCells</t>
  </si>
  <si>
    <t>Device.Services.FAPService.{i}.CellConfig.LTE.RAN.Mobility.ConnMode.EUTRA.A3MeasureCtrl.{i}.MaxReportCells</t>
  </si>
  <si>
    <t>InternetGatewayDevice.Services.FAPService.{i}.CellConfig.LTE.RAN.Mobility.ConnMode.EUTRA.A3MeasureCtrl.{i}.MeasurePurpose</t>
  </si>
  <si>
    <t>Device.Services.FAPService.{i}.CellConfig.LTE.RAN.Mobility.ConnMode.EUTRA.A3MeasureCtrl.{i}.MeasurePurpose</t>
  </si>
  <si>
    <t>InternetGatewayDevice.Services.FAPService.{i}.CellConfig.LTE.RAN.Mobility.ConnMode.EUTRA.A3MeasureCtrl.{i}.ReportAmount</t>
  </si>
  <si>
    <t>Device.Services.FAPService.{i}.CellConfig.LTE.RAN.Mobility.ConnMode.EUTRA.A3MeasureCtrl.{i}.ReportAmount</t>
  </si>
  <si>
    <t>InternetGatewayDevice.Services.FAPService.{i}.CellConfig.LTE.RAN.Mobility.ConnMode.EUTRA.A3MeasureCtrl.{i}.ReportOnLeave</t>
  </si>
  <si>
    <t>Device.Services.FAPService.{i}.CellConfig.LTE.RAN.Mobility.ConnMode.EUTRA.A3MeasureCtrl.{i}.ReportOnLeave</t>
  </si>
  <si>
    <t>InternetGatewayDevice.Services.FAPService.{i}.CellConfig.LTE.RAN.Mobility.ConnMode.EUTRA.A3MeasureCtrl.{i}.ReportInterval</t>
  </si>
  <si>
    <t>Device.Services.FAPService.{i}.CellConfig.LTE.RAN.Mobility.ConnMode.EUTRA.A3MeasureCtrl.{i}.ReportInterval</t>
  </si>
  <si>
    <t>InternetGatewayDevice.Services.FAPService.{i}.CellConfig.LTE.RAN.Mobility.ConnMode.EUTRA.A3MeasureCtrl.{i}.ReportQuantity</t>
  </si>
  <si>
    <t>Device.Services.FAPService.{i}.CellConfig.LTE.RAN.Mobility.ConnMode.EUTRA.A3MeasureCtrl.{i}.ReportQuantity</t>
  </si>
  <si>
    <t>InternetGatewayDevice.Services.FAPService.{i}.CellConfig.LTE.RAN.Mobility.ConnMode.EUTRA.A3MeasureCtrl.{i}.TimeToTrigger</t>
  </si>
  <si>
    <t>Device.Services.FAPService.{i}.CellConfig.LTE.RAN.Mobility.ConnMode.EUTRA.A3MeasureCtrl.{i}.TimeToTrigger</t>
  </si>
  <si>
    <t>InternetGatewayDevice.Services.FAPService.{i}.CellConfig.LTE.RAN.Mobility.ConnMode.EUTRA.A3MeasureCtrl.{i}.TriggerQuantity</t>
  </si>
  <si>
    <t>Device.Services.FAPService.{i}.CellConfig.LTE.RAN.Mobility.ConnMode.EUTRA.A3MeasureCtrl.{i}.TriggerQuantity</t>
  </si>
  <si>
    <t>A4事件测量控制参数</t>
  </si>
  <si>
    <t>InternetGatewayDevice.Services.FAPService.{i}.CellConfig.LTE.RAN.Mobility.ConnMode.EUTRA.A4MeasureCtrl.1.Enable</t>
  </si>
  <si>
    <t>Device.Services.FAPService.{i}.CellConfig.LTE.RAN.Mobility.ConnMode.EUTRA.A4MeasureCtrl.1.Enable</t>
  </si>
  <si>
    <t>参数路径中最后一个多实例节点（{i}）序号1～10为系统保留段，若厂商对A4测量事件有其它用途，则从A4MeasureCtrl.11.开始定义</t>
  </si>
  <si>
    <t>InternetGatewayDevice.Services.FAPService.{i}.CellConfig.LTE.RAN.Mobility.ConnMode.EUTRA.A4MeasureCtrl.1.A4ThresholdRSRP</t>
  </si>
  <si>
    <t>Device.Services.FAPService.{i}.CellConfig.LTE.RAN.Mobility.ConnMode.EUTRA.A4MeasureCtrl.1.A4ThresholdRSRP</t>
  </si>
  <si>
    <t>A4ThresholdRSRP</t>
  </si>
  <si>
    <t>A4事件RSRP门限</t>
  </si>
  <si>
    <t>A4ThresholdInterFCov</t>
  </si>
  <si>
    <t>用于EUTRA测量中,触发量为RSRP时,A4事件触发条件的绝对门</t>
  </si>
  <si>
    <t>InternetGatewayDevice.Services.FAPService.{i}.CellConfig.LTE.RAN.Mobility.ConnMode.EUTRA.A4MeasureCtrl.1.A4ThresholdRSRQ</t>
  </si>
  <si>
    <t>Device.Services.FAPService.{i}.CellConfig.LTE.RAN.Mobility.ConnMode.EUTRA.A4MeasureCtrl.1.A4ThresholdRSRQ</t>
  </si>
  <si>
    <t>A4ThresholdRSRQ</t>
  </si>
  <si>
    <t>A4事件RSRQ门限</t>
  </si>
  <si>
    <t>用于EUTRA测量中,触发量为RSRQ时,A4事件触发条件的绝对门限</t>
  </si>
  <si>
    <t>InternetGatewayDevice.Services.FAPService.{i}.CellConfig.LTE.RAN.Mobility.ConnMode.EUTRA.A4MeasureCtrl.1.Hysteresis</t>
  </si>
  <si>
    <t>Device.Services.FAPService.{i}.CellConfig.LTE.RAN.Mobility.ConnMode.EUTRA.A4MeasureCtrl.1.Hysteresis</t>
  </si>
  <si>
    <t>A4HysteresisInterFCov</t>
  </si>
  <si>
    <t>进入和离开上报触发事件条件的滞后值；</t>
  </si>
  <si>
    <t>InternetGatewayDevice.Services.FAPService.{i}.CellConfig.LTE.RAN.Mobility.ConnMode.EUTRA.A4MeasureCtrl.1.MaxReportCells</t>
  </si>
  <si>
    <t>Device.Services.FAPService.{i}.CellConfig.LTE.RAN.Mobility.ConnMode.EUTRA.A4MeasureCtrl.1.MaxReportCells</t>
  </si>
  <si>
    <t>InternetGatewayDevice.Services.FAPService.{i}.CellConfig.LTE.RAN.Mobility.ConnMode.EUTRA.A4MeasureCtrl.1.MeasurePurpose</t>
  </si>
  <si>
    <t>Device.Services.FAPService.{i}.CellConfig.LTE.RAN.Mobility.ConnMode.EUTRA.A4MeasureCtrl.1.MeasurePurpose</t>
  </si>
  <si>
    <t>InternetGatewayDevice.Services.FAPService.{i}.CellConfig.LTE.RAN.Mobility.ConnMode.EUTRA.A4MeasureCtrl.1.ReportAmount</t>
  </si>
  <si>
    <t>Device.Services.FAPService.{i}.CellConfig.LTE.RAN.Mobility.ConnMode.EUTRA.A4MeasureCtrl.1.ReportAmount</t>
  </si>
  <si>
    <t>InternetGatewayDevice.Services.FAPService.{i}.CellConfig.LTE.RAN.Mobility.ConnMode.EUTRA.A4MeasureCtrl.1.ReportInterval</t>
  </si>
  <si>
    <t>Device.Services.FAPService.{i}.CellConfig.LTE.RAN.Mobility.ConnMode.EUTRA.A4MeasureCtrl.1.ReportInterval</t>
  </si>
  <si>
    <t>InternetGatewayDevice.Services.FAPService.{i}.CellConfig.LTE.RAN.Mobility.ConnMode.EUTRA.A4MeasureCtrl.1.ReportQuantity</t>
  </si>
  <si>
    <t>Device.Services.FAPService.{i}.CellConfig.LTE.RAN.Mobility.ConnMode.EUTRA.A4MeasureCtrl.1.ReportQuantity</t>
  </si>
  <si>
    <t>A4ReportQuantityInterFCov</t>
  </si>
  <si>
    <t>InternetGatewayDevice.Services.FAPService.{i}.CellConfig.LTE.RAN.Mobility.ConnMode.EUTRA.A4MeasureCtrl.1.TimeToTrigger</t>
  </si>
  <si>
    <t>Device.Services.FAPService.{i}.CellConfig.LTE.RAN.Mobility.ConnMode.EUTRA.A4MeasureCtrl.1.TimeToTrigger</t>
  </si>
  <si>
    <t>A4TimeToTriggerInterFCov</t>
  </si>
  <si>
    <t>InternetGatewayDevice.Services.FAPService.{i}.CellConfig.LTE.RAN.Mobility.ConnMode.EUTRA.A4MeasureCtrl.1.TriggerQuantity</t>
  </si>
  <si>
    <t>Device.Services.FAPService.{i}.CellConfig.LTE.RAN.Mobility.ConnMode.EUTRA.A4MeasureCtrl.1.TriggerQuantity</t>
  </si>
  <si>
    <t>A4TriggerQuantityInterFCov</t>
  </si>
  <si>
    <t>用来评估触发条件测量报告的数量{RSRP, RSRQ}</t>
  </si>
  <si>
    <t>InternetGatewayDevice.Services.FAPService.{i}.CellConfig.LTE.RAN.Mobility.ConnMode.EUTRA.A4MeasureCtrl.{i}.Enable</t>
  </si>
  <si>
    <t>Device.Services.FAPService.{i}.CellConfig.LTE.RAN.Mobility.ConnMode.EUTRA.A4MeasureCtrl.{i}.Enable</t>
  </si>
  <si>
    <t>InternetGatewayDevice.Services.FAPService.{i}.CellConfig.LTE.RAN.Mobility.ConnMode.EUTRA.A4MeasureCtrl.{i}.A4ThresholdRSRP</t>
  </si>
  <si>
    <t>Device.Services.FAPService.{i}.CellConfig.LTE.RAN.Mobility.ConnMode.EUTRA.A4MeasureCtrl.{i}.A4ThresholdRSRP</t>
  </si>
  <si>
    <t>InternetGatewayDevice.Services.FAPService.{i}.CellConfig.LTE.RAN.Mobility.ConnMode.EUTRA.A4MeasureCtrl.{i}.A4ThresholdRSRQ</t>
  </si>
  <si>
    <t>Device.Services.FAPService.{i}.CellConfig.LTE.RAN.Mobility.ConnMode.EUTRA.A4MeasureCtrl.{i}.A4ThresholdRSRQ</t>
  </si>
  <si>
    <t>InternetGatewayDevice.Services.FAPService.{i}.CellConfig.LTE.RAN.Mobility.ConnMode.EUTRA.A4MeasureCtrl.{i}.Hysteresis</t>
  </si>
  <si>
    <t>Device.Services.FAPService.{i}.CellConfig.LTE.RAN.Mobility.ConnMode.EUTRA.A4MeasureCtrl.{i}.Hysteresis</t>
  </si>
  <si>
    <t>InternetGatewayDevice.Services.FAPService.{i}.CellConfig.LTE.RAN.Mobility.ConnMode.EUTRA.A4MeasureCtrl.{i}.MaxReportCells</t>
  </si>
  <si>
    <t>Device.Services.FAPService.{i}.CellConfig.LTE.RAN.Mobility.ConnMode.EUTRA.A4MeasureCtrl.{i}.MaxReportCells</t>
  </si>
  <si>
    <t>InternetGatewayDevice.Services.FAPService.{i}.CellConfig.LTE.RAN.Mobility.ConnMode.EUTRA.A4MeasureCtrl.{i}.MeasurePurpose</t>
  </si>
  <si>
    <t>Device.Services.FAPService.{i}.CellConfig.LTE.RAN.Mobility.ConnMode.EUTRA.A4MeasureCtrl.{i}.MeasurePurpose</t>
  </si>
  <si>
    <t>InternetGatewayDevice.Services.FAPService.{i}.CellConfig.LTE.RAN.Mobility.ConnMode.EUTRA.A4MeasureCtrl.{i}.ReportAmount</t>
  </si>
  <si>
    <t>Device.Services.FAPService.{i}.CellConfig.LTE.RAN.Mobility.ConnMode.EUTRA.A4MeasureCtrl.{i}.ReportAmount</t>
  </si>
  <si>
    <t>InternetGatewayDevice.Services.FAPService.{i}.CellConfig.LTE.RAN.Mobility.ConnMode.EUTRA.A4MeasureCtrl.{i}.ReportInterval</t>
  </si>
  <si>
    <t>Device.Services.FAPService.{i}.CellConfig.LTE.RAN.Mobility.ConnMode.EUTRA.A4MeasureCtrl.{i}.ReportInterval</t>
  </si>
  <si>
    <t>InternetGatewayDevice.Services.FAPService.{i}.CellConfig.LTE.RAN.Mobility.ConnMode.EUTRA.A4MeasureCtrl.{i}.ReportQuantity</t>
  </si>
  <si>
    <t>Device.Services.FAPService.{i}.CellConfig.LTE.RAN.Mobility.ConnMode.EUTRA.A4MeasureCtrl.{i}.ReportQuantity</t>
  </si>
  <si>
    <t>InternetGatewayDevice.Services.FAPService.{i}.CellConfig.LTE.RAN.Mobility.ConnMode.EUTRA.A4MeasureCtrl.{i}.TimeToTrigger</t>
  </si>
  <si>
    <t>Device.Services.FAPService.{i}.CellConfig.LTE.RAN.Mobility.ConnMode.EUTRA.A4MeasureCtrl.{i}.TimeToTrigger</t>
  </si>
  <si>
    <t>InternetGatewayDevice.Services.FAPService.{i}.CellConfig.LTE.RAN.Mobility.ConnMode.EUTRA.A4MeasureCtrl.{i}.TriggerQuantity</t>
  </si>
  <si>
    <t>Device.Services.FAPService.{i}.CellConfig.LTE.RAN.Mobility.ConnMode.EUTRA.A4MeasureCtrl.{i}.TriggerQuantity</t>
  </si>
  <si>
    <t>A5事件测量控制参数</t>
  </si>
  <si>
    <t>InternetGatewayDevice.Services.FAPService.{i}.CellConfig.LTE.RAN.Mobility.ConnMode.EUTRA.A5MeasureCtrl.1.Enable</t>
  </si>
  <si>
    <t>Device.Services.FAPService.{i}.CellConfig.LTE.RAN.Mobility.ConnMode.EUTRA.A5MeasureCtrl.1.Enable</t>
  </si>
  <si>
    <t>参数路径中最后一个多实例节点（{i}）序号1～10为系统保留段，若厂商对A5测量事件有其它用途，则从A5MeasureCtrl.11.开始定义</t>
  </si>
  <si>
    <t>InternetGatewayDevice.Services.FAPService.{i}.CellConfig.LTE.RAN.Mobility.ConnMode.EUTRA.A5MeasureCtrl.1.A5Threshold1RSRP</t>
  </si>
  <si>
    <t>Device.Services.FAPService.{i}.CellConfig.LTE.RAN.Mobility.ConnMode.EUTRA.A5MeasureCtrl.1.A5Threshold1RSRP</t>
  </si>
  <si>
    <t>A5Threshold1RSRP</t>
  </si>
  <si>
    <t>A5事件RSRP门限1</t>
  </si>
  <si>
    <t>A5Threshold1InterFCov</t>
  </si>
  <si>
    <t>用于EUTRA测量中,触发量为RSRP时,A5事件触发条件的绝对门限1;</t>
  </si>
  <si>
    <t>InternetGatewayDevice.Services.FAPService.{i}.CellConfig.LTE.RAN.Mobility.ConnMode.EUTRA.A5MeasureCtrl.1.A5Threshold1RSRQ</t>
  </si>
  <si>
    <t>Device.Services.FAPService.{i}.CellConfig.LTE.RAN.Mobility.ConnMode.EUTRA.A5MeasureCtrl.1.A5Threshold1RSRQ</t>
  </si>
  <si>
    <t>A5Threshold1RSRQ</t>
  </si>
  <si>
    <t>A5事件RSRQ门限1</t>
  </si>
  <si>
    <t>用于EUTRA测量中,触发量为RSRQ时,A5事件触发条件的绝对门限1;</t>
  </si>
  <si>
    <t>InternetGatewayDevice.Services.FAPService.{i}.CellConfig.LTE.RAN.Mobility.ConnMode.EUTRA.A5MeasureCtrl.1.A5Threshold2RSRP</t>
  </si>
  <si>
    <t>Device.Services.FAPService.{i}.CellConfig.LTE.RAN.Mobility.ConnMode.EUTRA.A5MeasureCtrl.1.A5Threshold2RSRP</t>
  </si>
  <si>
    <t>A5Threshold2RSRP</t>
  </si>
  <si>
    <t>A5事件RSRP门限2</t>
  </si>
  <si>
    <t>A5Threshold2InterFCov</t>
  </si>
  <si>
    <t xml:space="preserve">用于EUTRA测量中,触发量为RSRP时,A5事件触发条件的绝对门限2; </t>
  </si>
  <si>
    <t>InternetGatewayDevice.Services.FAPService.{i}.CellConfig.LTE.RAN.Mobility.ConnMode.EUTRA.A5MeasureCtrl.1.A5Threshold2RSRQ</t>
  </si>
  <si>
    <t>Device.Services.FAPService.{i}.CellConfig.LTE.RAN.Mobility.ConnMode.EUTRA.A5MeasureCtrl.1.A5Threshold2RSRQ</t>
  </si>
  <si>
    <t>A5Threshold2RSRQ</t>
  </si>
  <si>
    <t>A5事件RSRQ门限2</t>
  </si>
  <si>
    <t>用于EUTRA测量中,触发量为RSRQ时,A5事件触发条件的绝对门限2</t>
  </si>
  <si>
    <t>InternetGatewayDevice.Services.FAPService.{i}.CellConfig.LTE.RAN.Mobility.ConnMode.EUTRA.A5MeasureCtrl.1.Hysteresis</t>
  </si>
  <si>
    <t>Device.Services.FAPService.{i}.CellConfig.LTE.RAN.Mobility.ConnMode.EUTRA.A5MeasureCtrl.1.Hysteresis</t>
  </si>
  <si>
    <t>A5HysteresisInterFCov</t>
  </si>
  <si>
    <t>InternetGatewayDevice.Services.FAPService.{i}.CellConfig.LTE.RAN.Mobility.ConnMode.EUTRA.A5MeasureCtrl.1.MaxReportCells</t>
  </si>
  <si>
    <t>Device.Services.FAPService.{i}.CellConfig.LTE.RAN.Mobility.ConnMode.EUTRA.A5MeasureCtrl.1.MaxReportCells</t>
  </si>
  <si>
    <t>InternetGatewayDevice.Services.FAPService.{i}.CellConfig.LTE.RAN.Mobility.ConnMode.EUTRA.A5MeasureCtrl.1.MeasurePurpose</t>
  </si>
  <si>
    <t>Device.Services.FAPService.{i}.CellConfig.LTE.RAN.Mobility.ConnMode.EUTRA.A5MeasureCtrl.1.MeasurePurpose</t>
  </si>
  <si>
    <t>InternetGatewayDevice.Services.FAPService.{i}.CellConfig.LTE.RAN.Mobility.ConnMode.EUTRA.A5MeasureCtrl.1.ReportAmount</t>
  </si>
  <si>
    <t>Device.Services.FAPService.{i}.CellConfig.LTE.RAN.Mobility.ConnMode.EUTRA.A5MeasureCtrl.1.ReportAmount</t>
  </si>
  <si>
    <t>InternetGatewayDevice.Services.FAPService.{i}.CellConfig.LTE.RAN.Mobility.ConnMode.EUTRA.A5MeasureCtrl.1.ReportInterval</t>
  </si>
  <si>
    <t>Device.Services.FAPService.{i}.CellConfig.LTE.RAN.Mobility.ConnMode.EUTRA.A5MeasureCtrl.1.ReportInterval</t>
  </si>
  <si>
    <t>InternetGatewayDevice.Services.FAPService.{i}.CellConfig.LTE.RAN.Mobility.ConnMode.EUTRA.A5MeasureCtrl.1.ReportQuantity</t>
  </si>
  <si>
    <t>Device.Services.FAPService.{i}.CellConfig.LTE.RAN.Mobility.ConnMode.EUTRA.A5MeasureCtrl.1.ReportQuantity</t>
  </si>
  <si>
    <t>A5ReportQuantityInterFCov</t>
  </si>
  <si>
    <t>InternetGatewayDevice.Services.FAPService.{i}.CellConfig.LTE.RAN.Mobility.ConnMode.EUTRA.A5MeasureCtrl.1.TimeToTrigger</t>
  </si>
  <si>
    <t>Device.Services.FAPService.{i}.CellConfig.LTE.RAN.Mobility.ConnMode.EUTRA.A5MeasureCtrl.1.TimeToTrigger</t>
  </si>
  <si>
    <t>A5TimeToTriggerInterFCov</t>
  </si>
  <si>
    <t>InternetGatewayDevice.Services.FAPService.{i}.CellConfig.LTE.RAN.Mobility.ConnMode.EUTRA.A5MeasureCtrl.1.TriggerQuantity</t>
  </si>
  <si>
    <t>Device.Services.FAPService.{i}.CellConfig.LTE.RAN.Mobility.ConnMode.EUTRA.A5MeasureCtrl.1.TriggerQuantity</t>
  </si>
  <si>
    <t>A5TriggerQuantityInterFCov</t>
  </si>
  <si>
    <t>InternetGatewayDevice.Services.FAPService.{i}.CellConfig.LTE.RAN.Mobility.ConnMode.EUTRA.A5MeasureCtrl.{i}.Enable</t>
  </si>
  <si>
    <t>Device.Services.FAPService.{i}.CellConfig.LTE.RAN.Mobility.ConnMode.EUTRA.A5MeasureCtrl.{i}.Enable</t>
  </si>
  <si>
    <t>InternetGatewayDevice.Services.FAPService.{i}.CellConfig.LTE.RAN.Mobility.ConnMode.EUTRA.A5MeasureCtrl.{i}.A5Threshold1RSRP</t>
  </si>
  <si>
    <t>Device.Services.FAPService.{i}.CellConfig.LTE.RAN.Mobility.ConnMode.EUTRA.A5MeasureCtrl.{i}.A5Threshold1RSRP</t>
  </si>
  <si>
    <t>InternetGatewayDevice.Services.FAPService.{i}.CellConfig.LTE.RAN.Mobility.ConnMode.EUTRA.A5MeasureCtrl.{i}.A5Threshold1RSRQ</t>
  </si>
  <si>
    <t>Device.Services.FAPService.{i}.CellConfig.LTE.RAN.Mobility.ConnMode.EUTRA.A5MeasureCtrl.{i}.A5Threshold1RSRQ</t>
  </si>
  <si>
    <t>InternetGatewayDevice.Services.FAPService.{i}.CellConfig.LTE.RAN.Mobility.ConnMode.EUTRA.A5MeasureCtrl.{i}.A5Threshold2RSRP</t>
  </si>
  <si>
    <t>Device.Services.FAPService.{i}.CellConfig.LTE.RAN.Mobility.ConnMode.EUTRA.A5MeasureCtrl.{i}.A5Threshold2RSRP</t>
  </si>
  <si>
    <t>InternetGatewayDevice.Services.FAPService.{i}.CellConfig.LTE.RAN.Mobility.ConnMode.EUTRA.A5MeasureCtrl.{i}.A5Threshold2RSRQ</t>
  </si>
  <si>
    <t>Device.Services.FAPService.{i}.CellConfig.LTE.RAN.Mobility.ConnMode.EUTRA.A5MeasureCtrl.{i}.A5Threshold2RSRQ</t>
  </si>
  <si>
    <t>InternetGatewayDevice.Services.FAPService.{i}.CellConfig.LTE.RAN.Mobility.ConnMode.EUTRA.A5MeasureCtrl.{i}.Hysteresis</t>
  </si>
  <si>
    <t>Device.Services.FAPService.{i}.CellConfig.LTE.RAN.Mobility.ConnMode.EUTRA.A5MeasureCtrl.{i}.Hysteresis</t>
  </si>
  <si>
    <t>InternetGatewayDevice.Services.FAPService.{i}.CellConfig.LTE.RAN.Mobility.ConnMode.EUTRA.A5MeasureCtrl.{i}.MaxReportCells</t>
  </si>
  <si>
    <t>Device.Services.FAPService.{i}.CellConfig.LTE.RAN.Mobility.ConnMode.EUTRA.A5MeasureCtrl.{i}.MaxReportCells</t>
  </si>
  <si>
    <t>InternetGatewayDevice.Services.FAPService.{i}.CellConfig.LTE.RAN.Mobility.ConnMode.EUTRA.A5MeasureCtrl.{i}.MeasurePurpose</t>
  </si>
  <si>
    <t>Device.Services.FAPService.{i}.CellConfig.LTE.RAN.Mobility.ConnMode.EUTRA.A5MeasureCtrl.{i}.MeasurePurpose</t>
  </si>
  <si>
    <t>InternetGatewayDevice.Services.FAPService.{i}.CellConfig.LTE.RAN.Mobility.ConnMode.EUTRA.A5MeasureCtrl.{i}.ReportAmount</t>
  </si>
  <si>
    <t>Device.Services.FAPService.{i}.CellConfig.LTE.RAN.Mobility.ConnMode.EUTRA.A5MeasureCtrl.{i}.ReportAmount</t>
  </si>
  <si>
    <t>InternetGatewayDevice.Services.FAPService.{i}.CellConfig.LTE.RAN.Mobility.ConnMode.EUTRA.A5MeasureCtrl.{i}.ReportInterval</t>
  </si>
  <si>
    <t>Device.Services.FAPService.{i}.CellConfig.LTE.RAN.Mobility.ConnMode.EUTRA.A5MeasureCtrl.{i}.ReportInterval</t>
  </si>
  <si>
    <t>InternetGatewayDevice.Services.FAPService.{i}.CellConfig.LTE.RAN.Mobility.ConnMode.EUTRA.A5MeasureCtrl.{i}.ReportQuantity</t>
  </si>
  <si>
    <t>Device.Services.FAPService.{i}.CellConfig.LTE.RAN.Mobility.ConnMode.EUTRA.A5MeasureCtrl.{i}.ReportQuantity</t>
  </si>
  <si>
    <t>InternetGatewayDevice.Services.FAPService.{i}.CellConfig.LTE.RAN.Mobility.ConnMode.EUTRA.A5MeasureCtrl.{i}.TimeToTrigger</t>
  </si>
  <si>
    <t>Device.Services.FAPService.{i}.CellConfig.LTE.RAN.Mobility.ConnMode.EUTRA.A5MeasureCtrl.{i}.TimeToTrigger</t>
  </si>
  <si>
    <t>InternetGatewayDevice.Services.FAPService.{i}.CellConfig.LTE.RAN.Mobility.ConnMode.EUTRA.A5MeasureCtrl.{i}.TriggerQuantity</t>
  </si>
  <si>
    <t>Device.Services.FAPService.{i}.CellConfig.LTE.RAN.Mobility.ConnMode.EUTRA.A5MeasureCtrl.{i}.TriggerQuantity</t>
  </si>
  <si>
    <t>B1事件测量控制参数</t>
  </si>
  <si>
    <t>InternetGatewayDevice.Services.FAPService.{i}.CellConfig.LTE.RAN.Mobility.ConnMode.IRAT.B1MeasureCtrl.1.Enable</t>
  </si>
  <si>
    <t>Device.Services.FAPService.{i}.CellConfig.LTE.RAN.Mobility.ConnMode.IRAT.B1MeasureCtrl.1.Enable</t>
  </si>
  <si>
    <t>参数路径中最后一个多实例节点（{i}）序号1～10为系统保留段，若厂商对B1测量事件有其它用途，则从B1MeasureCtrl.11.开始定义</t>
  </si>
  <si>
    <t>InternetGatewayDevice.Services.FAPService.{i}.CellConfig.LTE.RAN.Mobility.ConnMode.IRAT.B1MeasureCtrl.1.B1ThresholdCDMA2000</t>
  </si>
  <si>
    <t>Device.Services.FAPService.{i}.CellConfig.LTE.RAN.Mobility.ConnMode.IRAT.B1MeasureCtrl.1.B1ThresholdCDMA2000</t>
  </si>
  <si>
    <t>B1ThresholdCDMA2000</t>
  </si>
  <si>
    <t xml:space="preserve">B1事件门限(CDMA2000)
</t>
  </si>
  <si>
    <t>int[-5:91]</t>
  </si>
  <si>
    <t>CDMA2000测量中,B1事件触发条
件的绝对门限</t>
  </si>
  <si>
    <t>InternetGatewayDevice.Services.FAPService.{i}.CellConfig.LTE.RAN.Mobility.ConnMode.IRAT.B1MeasureCtrl.1.B1ThresholdGERAN</t>
  </si>
  <si>
    <t>Device.Services.FAPService.{i}.CellConfig.LTE.RAN.Mobility.ConnMode.IRAT.B1MeasureCtrl.1.B1ThresholdGERAN</t>
  </si>
  <si>
    <t>B1ThresholdGERAN</t>
  </si>
  <si>
    <t>B1事件门限(GERAN)</t>
  </si>
  <si>
    <t>unsignedInt[0:63]</t>
  </si>
  <si>
    <t>GERAN测量中,B1事件触发条件的绝对门限</t>
  </si>
  <si>
    <t>InternetGatewayDevice.Services.FAPService.{i}.CellConfig.LTE.RAN.Mobility.ConnMode.IRAT.B1MeasureCtrl.1.B1ThresholdUTRAEcN0</t>
  </si>
  <si>
    <t>Device.Services.FAPService.{i}.CellConfig.LTE.RAN.Mobility.ConnMode.IRAT.B1MeasureCtrl.1.B1ThresholdUTRAEcN0</t>
  </si>
  <si>
    <t>B1ThresholdUTRAEcN0</t>
  </si>
  <si>
    <t>B1事件EcN0门限(UTRA)</t>
  </si>
  <si>
    <t>unsignedInt[0:49]</t>
  </si>
  <si>
    <t>UTRA测量中)B1事件触发条件的EcN0绝对门限</t>
  </si>
  <si>
    <t>InternetGatewayDevice.Services.FAPService.{i}.CellConfig.LTE.RAN.Mobility.ConnMode.IRAT.B1MeasureCtrl.1.B1ThresholdUTRARSCP</t>
  </si>
  <si>
    <t>Device.Services.FAPService.{i}.CellConfig.LTE.RAN.Mobility.ConnMode.IRAT.B1MeasureCtrl.1.B1ThresholdUTRARSCP</t>
  </si>
  <si>
    <t>B1ThresholdUTRARSCP</t>
  </si>
  <si>
    <t>B1事件RSCP门限(UTRA)</t>
  </si>
  <si>
    <t>B1ThresholdUtraCov</t>
  </si>
  <si>
    <t>UTRA测量中(FDD和TDD均适用),B1事件触发条件的RSCP绝对门限;</t>
  </si>
  <si>
    <t>InternetGatewayDevice.Services.FAPService.{i}.CellConfig.LTE.RAN.Mobility.ConnMode.IRAT.B1MeasureCtrl.1.Hysteresis</t>
  </si>
  <si>
    <t>Device.Services.FAPService.{i}.CellConfig.LTE.RAN.Mobility.ConnMode.IRAT.B1MeasureCtrl.1.Hysteresis</t>
  </si>
  <si>
    <t>B1HysteresisUtraCov</t>
  </si>
  <si>
    <t>进入和离开IRAT上报触发事件条件的滞后值;</t>
  </si>
  <si>
    <t>InternetGatewayDevice.Services.FAPService.{i}.CellConfig.LTE.RAN.Mobility.ConnMode.IRAT.B1MeasureCtrl.1.MaxReportCells</t>
  </si>
  <si>
    <t>Device.Services.FAPService.{i}.CellConfig.LTE.RAN.Mobility.ConnMode.IRAT.B1MeasureCtrl.1.MaxReportCells</t>
  </si>
  <si>
    <t>测量报告中包含IRAT小区的最大数目</t>
  </si>
  <si>
    <t>InternetGatewayDevice.Services.FAPService.{i}.CellConfig.LTE.RAN.Mobility.ConnMode.IRAT.B1MeasureCtrl.1.MeasurePurpose</t>
  </si>
  <si>
    <t>Device.Services.FAPService.{i}.CellConfig.LTE.RAN.Mobility.ConnMode.IRAT.B1MeasureCtrl.1.MeasurePurpose</t>
  </si>
  <si>
    <t>用于表明当前配置事件的使用目的，本字段取值固定为：
(1=异系统UTRA测量)</t>
  </si>
  <si>
    <t>InternetGatewayDevice.Services.FAPService.{i}.CellConfig.LTE.RAN.Mobility.ConnMode.IRAT.B1MeasureCtrl.1.ReportAmount</t>
  </si>
  <si>
    <t>Device.Services.FAPService.{i}.CellConfig.LTE.RAN.Mobility.ConnMode.IRAT.B1MeasureCtrl.1.ReportAmount</t>
  </si>
  <si>
    <t>InternetGatewayDevice.Services.FAPService.{i}.CellConfig.LTE.RAN.Mobility.ConnMode.IRAT.B1MeasureCtrl.1.ReportInterval</t>
  </si>
  <si>
    <t>Device.Services.FAPService.{i}.CellConfig.LTE.RAN.Mobility.ConnMode.IRAT.B1MeasureCtrl.1.ReportInterval</t>
  </si>
  <si>
    <t>连续IRAT测量报告之间的间隔，单位ms</t>
  </si>
  <si>
    <t>InternetGatewayDevice.Services.FAPService.{i}.CellConfig.LTE.RAN.Mobility.ConnMode.IRAT.B1MeasureCtrl.1.TimeToTrigger</t>
  </si>
  <si>
    <t>Device.Services.FAPService.{i}.CellConfig.LTE.RAN.Mobility.ConnMode.IRAT.B1MeasureCtrl.1.TimeToTrigger</t>
  </si>
  <si>
    <t>B1TimeToTriggerUtraCov</t>
  </si>
  <si>
    <t>满足触发IRAT测量报告触发条件持续的时间，单位ms</t>
  </si>
  <si>
    <t>InternetGatewayDevice.Services.FAPService.{i}.CellConfig.LTE.RAN.Mobility.ConnMode.IRAT.B1MeasureCtrl.2.Enable</t>
  </si>
  <si>
    <t>Device.Services.FAPService.{i}.CellConfig.LTE.RAN.Mobility.ConnMode.IRAT.B1MeasureCtrl.2.Enable</t>
  </si>
  <si>
    <t>InternetGatewayDevice.Services.FAPService.{i}.CellConfig.LTE.RAN.Mobility.ConnMode.IRAT.B1MeasureCtrl.2.B1ThresholdCDMA2000</t>
  </si>
  <si>
    <t>Device.Services.FAPService.{i}.CellConfig.LTE.RAN.Mobility.ConnMode.IRAT.B1MeasureCtrl.2.B1ThresholdCDMA2000</t>
  </si>
  <si>
    <t>InternetGatewayDevice.Services.FAPService.{i}.CellConfig.LTE.RAN.Mobility.ConnMode.IRAT.B1MeasureCtrl.2.B1ThresholdGERAN</t>
  </si>
  <si>
    <t>Device.Services.FAPService.{i}.CellConfig.LTE.RAN.Mobility.ConnMode.IRAT.B1MeasureCtrl.2.B1ThresholdGERAN</t>
  </si>
  <si>
    <t>B1ThresholdGeranCov</t>
  </si>
  <si>
    <t>InternetGatewayDevice.Services.FAPService.{i}.CellConfig.LTE.RAN.Mobility.ConnMode.IRAT.B1MeasureCtrl.2.B1ThresholdUTRAEcN0</t>
  </si>
  <si>
    <t>Device.Services.FAPService.{i}.CellConfig.LTE.RAN.Mobility.ConnMode.IRAT.B1MeasureCtrl.2.B1ThresholdUTRAEcN0</t>
  </si>
  <si>
    <t>InternetGatewayDevice.Services.FAPService.{i}.CellConfig.LTE.RAN.Mobility.ConnMode.IRAT.B1MeasureCtrl.2.B1ThresholdUTRARSCP</t>
  </si>
  <si>
    <t>Device.Services.FAPService.{i}.CellConfig.LTE.RAN.Mobility.ConnMode.IRAT.B1MeasureCtrl.2.B1ThresholdUTRARSCP</t>
  </si>
  <si>
    <t>InternetGatewayDevice.Services.FAPService.{i}.CellConfig.LTE.RAN.Mobility.ConnMode.IRAT.B1MeasureCtrl.2.Hysteresis</t>
  </si>
  <si>
    <t>Device.Services.FAPService.{i}.CellConfig.LTE.RAN.Mobility.ConnMode.IRAT.B1MeasureCtrl.2.Hysteresis</t>
  </si>
  <si>
    <t>B1HysteresisGeranCov</t>
  </si>
  <si>
    <t>InternetGatewayDevice.Services.FAPService.{i}.CellConfig.LTE.RAN.Mobility.ConnMode.IRAT.B1MeasureCtrl.2.MaxReportCells</t>
  </si>
  <si>
    <t>Device.Services.FAPService.{i}.CellConfig.LTE.RAN.Mobility.ConnMode.IRAT.B1MeasureCtrl.2.MaxReportCells</t>
  </si>
  <si>
    <t>InternetGatewayDevice.Services.FAPService.{i}.CellConfig.LTE.RAN.Mobility.ConnMode.IRAT.B1MeasureCtrl.2.MeasurePurpose</t>
  </si>
  <si>
    <t>Device.Services.FAPService.{i}.CellConfig.LTE.RAN.Mobility.ConnMode.IRAT.B1MeasureCtrl.2.MeasurePurpose</t>
  </si>
  <si>
    <t>用于表明当前配置事件的使用目的，本字段取值固定为：
(2=异系统GERAN测量)</t>
  </si>
  <si>
    <t>InternetGatewayDevice.Services.FAPService.{i}.CellConfig.LTE.RAN.Mobility.ConnMode.IRAT.B1MeasureCtrl.2.ReportAmount</t>
  </si>
  <si>
    <t>Device.Services.FAPService.{i}.CellConfig.LTE.RAN.Mobility.ConnMode.IRAT.B1MeasureCtrl.2.ReportAmount</t>
  </si>
  <si>
    <t>InternetGatewayDevice.Services.FAPService.{i}.CellConfig.LTE.RAN.Mobility.ConnMode.IRAT.B1MeasureCtrl.2.ReportInterval</t>
  </si>
  <si>
    <t>Device.Services.FAPService.{i}.CellConfig.LTE.RAN.Mobility.ConnMode.IRAT.B1MeasureCtrl.2.ReportInterval</t>
  </si>
  <si>
    <t>连续IRAT测量报告之间的间隔</t>
  </si>
  <si>
    <t>InternetGatewayDevice.Services.FAPService.{i}.CellConfig.LTE.RAN.Mobility.ConnMode.IRAT.B1MeasureCtrl.2.TimeToTrigger</t>
  </si>
  <si>
    <t>Device.Services.FAPService.{i}.CellConfig.LTE.RAN.Mobility.ConnMode.IRAT.B1MeasureCtrl.2.TimeToTrigger</t>
  </si>
  <si>
    <t>B1TimeToTriggerGeranCov</t>
  </si>
  <si>
    <t>InternetGatewayDevice.Services.FAPService.{i}.CellConfig.LTE.RAN.Mobility.ConnMode.IRAT.B1MeasureCtrl.{i}.Enable</t>
  </si>
  <si>
    <t>Device.Services.FAPService.{i}.CellConfig.LTE.RAN.Mobility.ConnMode.IRAT.B1MeasureCtrl.{i}.Enable</t>
  </si>
  <si>
    <t>InternetGatewayDevice.Services.FAPService.{i}.CellConfig.LTE.RAN.Mobility.ConnMode.IRAT.B1MeasureCtrl.{i}.B1ThresholdCDMA2000</t>
  </si>
  <si>
    <t>Device.Services.FAPService.{i}.CellConfig.LTE.RAN.Mobility.ConnMode.IRAT.B1MeasureCtrl.{i}.B1ThresholdCDMA2000</t>
  </si>
  <si>
    <t>InternetGatewayDevice.Services.FAPService.{i}.CellConfig.LTE.RAN.Mobility.ConnMode.IRAT.B1MeasureCtrl.{i}.B1ThresholdGERAN</t>
  </si>
  <si>
    <t>Device.Services.FAPService.{i}.CellConfig.LTE.RAN.Mobility.ConnMode.IRAT.B1MeasureCtrl.{i}.B1ThresholdGERAN</t>
  </si>
  <si>
    <t>InternetGatewayDevice.Services.FAPService.{i}.CellConfig.LTE.RAN.Mobility.ConnMode.IRAT.B1MeasureCtrl.{i}.B1ThresholdUTRAEcN0</t>
  </si>
  <si>
    <t>Device.Services.FAPService.{i}.CellConfig.LTE.RAN.Mobility.ConnMode.IRAT.B1MeasureCtrl.{i}.B1ThresholdUTRAEcN0</t>
  </si>
  <si>
    <t>InternetGatewayDevice.Services.FAPService.{i}.CellConfig.LTE.RAN.Mobility.ConnMode.IRAT.B1MeasureCtrl.{i}.B1ThresholdUTRARSCP</t>
  </si>
  <si>
    <t>Device.Services.FAPService.{i}.CellConfig.LTE.RAN.Mobility.ConnMode.IRAT.B1MeasureCtrl.{i}.B1ThresholdUTRARSCP</t>
  </si>
  <si>
    <t>InternetGatewayDevice.Services.FAPService.{i}.CellConfig.LTE.RAN.Mobility.ConnMode.IRAT.B1MeasureCtrl.{i}.Hysteresis</t>
  </si>
  <si>
    <t>Device.Services.FAPService.{i}.CellConfig.LTE.RAN.Mobility.ConnMode.IRAT.B1MeasureCtrl.{i}.Hysteresis</t>
  </si>
  <si>
    <t>InternetGatewayDevice.Services.FAPService.{i}.CellConfig.LTE.RAN.Mobility.ConnMode.IRAT.B1MeasureCtrl.{i}.MaxReportCells</t>
  </si>
  <si>
    <t>Device.Services.FAPService.{i}.CellConfig.LTE.RAN.Mobility.ConnMode.IRAT.B1MeasureCtrl.{i}.MaxReportCells</t>
  </si>
  <si>
    <t>InternetGatewayDevice.Services.FAPService.{i}.CellConfig.LTE.RAN.Mobility.ConnMode.IRAT.B1MeasureCtrl.{i}.MeasurePurpose</t>
  </si>
  <si>
    <t>Device.Services.FAPService.{i}.CellConfig.LTE.RAN.Mobility.ConnMode.IRAT.B1MeasureCtrl.{i}.MeasurePurpose</t>
  </si>
  <si>
    <t>InternetGatewayDevice.Services.FAPService.{i}.CellConfig.LTE.RAN.Mobility.ConnMode.IRAT.B1MeasureCtrl.{i}.ReportAmount</t>
  </si>
  <si>
    <t>Device.Services.FAPService.{i}.CellConfig.LTE.RAN.Mobility.ConnMode.IRAT.B1MeasureCtrl.{i}.ReportAmount</t>
  </si>
  <si>
    <t>InternetGatewayDevice.Services.FAPService.{i}.CellConfig.LTE.RAN.Mobility.ConnMode.IRAT.B1MeasureCtrl.{i}.ReportInterval</t>
  </si>
  <si>
    <t>Device.Services.FAPService.{i}.CellConfig.LTE.RAN.Mobility.ConnMode.IRAT.B1MeasureCtrl.{i}.ReportInterval</t>
  </si>
  <si>
    <t>InternetGatewayDevice.Services.FAPService.{i}.CellConfig.LTE.RAN.Mobility.ConnMode.IRAT.B1MeasureCtrl.{i}.TimeToTrigger</t>
  </si>
  <si>
    <t>Device.Services.FAPService.{i}.CellConfig.LTE.RAN.Mobility.ConnMode.IRAT.B1MeasureCtrl.{i}.TimeToTrigger</t>
  </si>
  <si>
    <t>B2事件测量控制参数</t>
  </si>
  <si>
    <t>InternetGatewayDevice.Services.FAPService.{i}.CellConfig.LTE.RAN.Mobility.ConnMode.IRAT.B2MeasureCtrl.1.Enable</t>
  </si>
  <si>
    <t>Device.Services.FAPService.{i}.CellConfig.LTE.RAN.Mobility.ConnMode.IRAT.B2MeasureCtrl.1.Enable</t>
  </si>
  <si>
    <t>参数路径中最后一个多实例节点（{i}）序号1～10为系统保留段，若厂商对B2测量事件有其它用途，则从B2MeasureCtrl.11.开始定义</t>
  </si>
  <si>
    <t>InternetGatewayDevice.Services.FAPService.{i}.CellConfig.LTE.RAN.Mobility.ConnMode.IRAT.B2MeasureCtrl.1.B2Threshold1EutraRSRP</t>
  </si>
  <si>
    <t>Device.Services.FAPService.{i}.CellConfig.LTE.RAN.Mobility.ConnMode.IRAT.B2MeasureCtrl.1.B2Threshold1EutraRSRP</t>
  </si>
  <si>
    <t>B2Threshold1EutraRSRP</t>
  </si>
  <si>
    <t>B2事件RSRP门限(EUTRA)</t>
  </si>
  <si>
    <t>B2Threshold1UtraCov</t>
  </si>
  <si>
    <t>LTE触发量为RSRP时,B2事件触发条件的绝对门限</t>
  </si>
  <si>
    <t>InternetGatewayDevice.Services.FAPService.{i}.CellConfig.LTE.RAN.Mobility.ConnMode.IRAT.B2MeasureCtrl.1.B2Threshold1EutraRSRQ</t>
  </si>
  <si>
    <t>Device.Services.FAPService.{i}.CellConfig.LTE.RAN.Mobility.ConnMode.IRAT.B2MeasureCtrl.1.B2Threshold1EutraRSRQ</t>
  </si>
  <si>
    <t>B2Threshold1EutraRSRQ</t>
  </si>
  <si>
    <t>B2事件RSRQ门限(EUTRA)</t>
  </si>
  <si>
    <t>LTE触发量为RSRQ时,B2事件触发条件的绝对门限;</t>
  </si>
  <si>
    <t>InternetGatewayDevice.Services.FAPService.{i}.CellConfig.LTE.RAN.Mobility.ConnMode.IRAT.B2MeasureCtrl.1.B2Threshold2CDMA2000</t>
  </si>
  <si>
    <t>Device.Services.FAPService.{i}.CellConfig.LTE.RAN.Mobility.ConnMode.IRAT.B2MeasureCtrl.1.B2Threshold2CDMA2000</t>
  </si>
  <si>
    <t>B2Threshold2CDMA2000</t>
  </si>
  <si>
    <t>B2事件门限(CDMA2000)</t>
  </si>
  <si>
    <t>测量对象为CDMA2000时,B2事件触发条件的绝对门限2</t>
  </si>
  <si>
    <t>InternetGatewayDevice.Services.FAPService.{i}.CellConfig.LTE.RAN.Mobility.ConnMode.IRAT.B2MeasureCtrl.1.B2Threshold2GERAN</t>
  </si>
  <si>
    <t>Device.Services.FAPService.{i}.CellConfig.LTE.RAN.Mobility.ConnMode.IRAT.B2MeasureCtrl.1.B2Threshold2GERAN</t>
  </si>
  <si>
    <t>B2Threshold2GERAN</t>
  </si>
  <si>
    <t>B2事件门限(GERAN)</t>
  </si>
  <si>
    <t>测量对象为GERAN时,B2事件触发条件的绝对门限2;
实际值=IE值-110</t>
  </si>
  <si>
    <t>北向映射关系调整</t>
  </si>
  <si>
    <t>InternetGatewayDevice.Services.FAPService.{i}.CellConfig.LTE.RAN.Mobility.ConnMode.IRAT.B2MeasureCtrl.1.B2Threshold2UTRAEcN0</t>
  </si>
  <si>
    <t>Device.Services.FAPService.{i}.CellConfig.LTE.RAN.Mobility.ConnMode.IRAT.B2MeasureCtrl.1.B2Threshold2UTRAEcN0</t>
  </si>
  <si>
    <t>B2Threshold2UTRAEcN0</t>
  </si>
  <si>
    <t xml:space="preserve">B2事件EcN0门限(UTRA)
</t>
  </si>
  <si>
    <t>B2Threshold2UtraCov</t>
  </si>
  <si>
    <t>测量对象为UTRA(FDD制式适用)时,B2事件触发条件的EcN0绝对门限2;</t>
  </si>
  <si>
    <t>InternetGatewayDevice.Services.FAPService.{i}.CellConfig.LTE.RAN.Mobility.ConnMode.IRAT.B2MeasureCtrl.1.B2Threshold2UTRARSCP</t>
  </si>
  <si>
    <t>Device.Services.FAPService.{i}.CellConfig.LTE.RAN.Mobility.ConnMode.IRAT.B2MeasureCtrl.1.B2Threshold2UTRARSCP</t>
  </si>
  <si>
    <t>B2Threshold2UTRARSCP</t>
  </si>
  <si>
    <t>B2触发RSCP门限(UTRA)</t>
  </si>
  <si>
    <t>测量对象为UTRA(FDD和TDD均适用)时,B2事件触发条件的RSCP绝对门限2;</t>
  </si>
  <si>
    <t>InternetGatewayDevice.Services.FAPService.{i}.CellConfig.LTE.RAN.Mobility.ConnMode.IRAT.B2MeasureCtrl.1.Hysteresis</t>
  </si>
  <si>
    <t>Device.Services.FAPService.{i}.CellConfig.LTE.RAN.Mobility.ConnMode.IRAT.B2MeasureCtrl.1.Hysteresis</t>
  </si>
  <si>
    <t>B2HysteresisUtraCov</t>
  </si>
  <si>
    <t>进入和离开IRAT上报触发事件条件的;</t>
  </si>
  <si>
    <t>InternetGatewayDevice.Services.FAPService.{i}.CellConfig.LTE.RAN.Mobility.ConnMode.IRAT.B2MeasureCtrl.1.MaxReportCells</t>
  </si>
  <si>
    <t>Device.Services.FAPService.{i}.CellConfig.LTE.RAN.Mobility.ConnMode.IRAT.B2MeasureCtrl.1.MaxReportCells</t>
  </si>
  <si>
    <t>InternetGatewayDevice.Services.FAPService.{i}.CellConfig.LTE.RAN.Mobility.ConnMode.IRAT.B2MeasureCtrl.1.MeasurePurpose</t>
  </si>
  <si>
    <t>Device.Services.FAPService.{i}.CellConfig.LTE.RAN.Mobility.ConnMode.IRAT.B2MeasureCtrl.1.MeasurePurpose</t>
  </si>
  <si>
    <t>InternetGatewayDevice.Services.FAPService.{i}.CellConfig.LTE.RAN.Mobility.ConnMode.IRAT.B2MeasureCtrl.1.ReportAmount</t>
  </si>
  <si>
    <t>Device.Services.FAPService.{i}.CellConfig.LTE.RAN.Mobility.ConnMode.IRAT.B2MeasureCtrl.1.ReportAmount</t>
  </si>
  <si>
    <t>InternetGatewayDevice.Services.FAPService.{i}.CellConfig.LTE.RAN.Mobility.ConnMode.IRAT.B2MeasureCtrl.1.ReportInterval</t>
  </si>
  <si>
    <t>Device.Services.FAPService.{i}.CellConfig.LTE.RAN.Mobility.ConnMode.IRAT.B2MeasureCtrl.1.ReportInterval</t>
  </si>
  <si>
    <t>InternetGatewayDevice.Services.FAPService.{i}.CellConfig.LTE.RAN.Mobility.ConnMode.IRAT.B2MeasureCtrl.1.TimeToTrigger</t>
  </si>
  <si>
    <t>Device.Services.FAPService.{i}.CellConfig.LTE.RAN.Mobility.ConnMode.IRAT.B2MeasureCtrl.1.TimeToTrigger</t>
  </si>
  <si>
    <t>B2TimeToTriggerUtraCov</t>
  </si>
  <si>
    <t>InternetGatewayDevice.Services.FAPService.{i}.CellConfig.LTE.RAN.Mobility.ConnMode.IRAT.B2MeasureCtrl.2.Enable</t>
  </si>
  <si>
    <t>Device.Services.FAPService.{i}.CellConfig.LTE.RAN.Mobility.ConnMode.IRAT.B2MeasureCtrl.2.Enable</t>
  </si>
  <si>
    <t>InternetGatewayDevice.Services.FAPService.{i}.CellConfig.LTE.RAN.Mobility.ConnMode.IRAT.B2MeasureCtrl.2.B2Threshold1EutraRSRP</t>
  </si>
  <si>
    <t>Device.Services.FAPService.{i}.CellConfig.LTE.RAN.Mobility.ConnMode.IRAT.B2MeasureCtrl.2.B2Threshold1EutraRSRP</t>
  </si>
  <si>
    <t>B2Threshold1GeranCov</t>
  </si>
  <si>
    <t>更正参数类型和取值范围</t>
  </si>
  <si>
    <t>InternetGatewayDevice.Services.FAPService.{i}.CellConfig.LTE.RAN.Mobility.ConnMode.IRAT.B2MeasureCtrl.2.B2Threshold1EutraRSRQ</t>
  </si>
  <si>
    <t>Device.Services.FAPService.{i}.CellConfig.LTE.RAN.Mobility.ConnMode.IRAT.B2MeasureCtrl.2.B2Threshold1EutraRSRQ</t>
  </si>
  <si>
    <t>B2Threshold2GeranCov</t>
  </si>
  <si>
    <t>InternetGatewayDevice.Services.FAPService.{i}.CellConfig.LTE.RAN.Mobility.ConnMode.IRAT.B2MeasureCtrl.2.B2Threshold2CDMA2000</t>
  </si>
  <si>
    <t>Device.Services.FAPService.{i}.CellConfig.LTE.RAN.Mobility.ConnMode.IRAT.B2MeasureCtrl.2.B2Threshold2CDMA2000</t>
  </si>
  <si>
    <t>InternetGatewayDevice.Services.FAPService.{i}.CellConfig.LTE.RAN.Mobility.ConnMode.IRAT.B2MeasureCtrl.2.B2Threshold2GERAN</t>
  </si>
  <si>
    <t>Device.Services.FAPService.{i}.CellConfig.LTE.RAN.Mobility.ConnMode.IRAT.B2MeasureCtrl.2.B2Threshold2GERAN</t>
  </si>
  <si>
    <t>InternetGatewayDevice.Services.FAPService.{i}.CellConfig.LTE.RAN.Mobility.ConnMode.IRAT.B2MeasureCtrl.2.B2Threshold2UTRAEcN0</t>
  </si>
  <si>
    <t>Device.Services.FAPService.{i}.CellConfig.LTE.RAN.Mobility.ConnMode.IRAT.B2MeasureCtrl.2.B2Threshold2UTRAEcN0</t>
  </si>
  <si>
    <t>InternetGatewayDevice.Services.FAPService.{i}.CellConfig.LTE.RAN.Mobility.ConnMode.IRAT.B2MeasureCtrl.2.B2Threshold2UTRARSCP</t>
  </si>
  <si>
    <t>Device.Services.FAPService.{i}.CellConfig.LTE.RAN.Mobility.ConnMode.IRAT.B2MeasureCtrl.2.B2Threshold2UTRARSCP</t>
  </si>
  <si>
    <t>InternetGatewayDevice.Services.FAPService.{i}.CellConfig.LTE.RAN.Mobility.ConnMode.IRAT.B2MeasureCtrl.2.Hysteresis</t>
  </si>
  <si>
    <t>Device.Services.FAPService.{i}.CellConfig.LTE.RAN.Mobility.ConnMode.IRAT.B2MeasureCtrl.2.Hysteresis</t>
  </si>
  <si>
    <t>B2HysteresisGeranCov</t>
  </si>
  <si>
    <t>InternetGatewayDevice.Services.FAPService.{i}.CellConfig.LTE.RAN.Mobility.ConnMode.IRAT.B2MeasureCtrl.2.MaxReportCells</t>
  </si>
  <si>
    <t>Device.Services.FAPService.{i}.CellConfig.LTE.RAN.Mobility.ConnMode.IRAT.B2MeasureCtrl.2.MaxReportCells</t>
  </si>
  <si>
    <t>InternetGatewayDevice.Services.FAPService.{i}.CellConfig.LTE.RAN.Mobility.ConnMode.IRAT.B2MeasureCtrl.2.MeasurePurpose</t>
  </si>
  <si>
    <t>Device.Services.FAPService.{i}.CellConfig.LTE.RAN.Mobility.ConnMode.IRAT.B2MeasureCtrl.2.MeasurePurpose</t>
  </si>
  <si>
    <t>InternetGatewayDevice.Services.FAPService.{i}.CellConfig.LTE.RAN.Mobility.ConnMode.IRAT.B2MeasureCtrl.2.ReportAmount</t>
  </si>
  <si>
    <t>Device.Services.FAPService.{i}.CellConfig.LTE.RAN.Mobility.ConnMode.IRAT.B2MeasureCtrl.2.ReportAmount</t>
  </si>
  <si>
    <t>InternetGatewayDevice.Services.FAPService.{i}.CellConfig.LTE.RAN.Mobility.ConnMode.IRAT.B2MeasureCtrl.2.ReportInterval</t>
  </si>
  <si>
    <t>Device.Services.FAPService.{i}.CellConfig.LTE.RAN.Mobility.ConnMode.IRAT.B2MeasureCtrl.2.ReportInterval</t>
  </si>
  <si>
    <t>InternetGatewayDevice.Services.FAPService.{i}.CellConfig.LTE.RAN.Mobility.ConnMode.IRAT.B2MeasureCtrl.2.TimeToTrigger</t>
  </si>
  <si>
    <t>Device.Services.FAPService.{i}.CellConfig.LTE.RAN.Mobility.ConnMode.IRAT.B2MeasureCtrl.2.TimeToTrigger</t>
  </si>
  <si>
    <t>B2TimeToTriggerGeranCov</t>
  </si>
  <si>
    <t>InternetGatewayDevice.Services.FAPService.{i}.CellConfig.LTE.RAN.Mobility.ConnMode.IRAT.B2MeasureCtrl.{i}.Enable</t>
  </si>
  <si>
    <t>Device.Services.FAPService.{i}.CellConfig.LTE.RAN.Mobility.ConnMode.IRAT.B2MeasureCtrl.{i}.Enable</t>
  </si>
  <si>
    <t>InternetGatewayDevice.Services.FAPService.{i}.CellConfig.LTE.RAN.Mobility.ConnMode.IRAT.B2MeasureCtrl.{i}.B2Threshold1EutraRSRP</t>
  </si>
  <si>
    <t>Device.Services.FAPService.{i}.CellConfig.LTE.RAN.Mobility.ConnMode.IRAT.B2MeasureCtrl.{i}.B2Threshold1EutraRSRP</t>
  </si>
  <si>
    <t>InternetGatewayDevice.Services.FAPService.{i}.CellConfig.LTE.RAN.Mobility.ConnMode.IRAT.B2MeasureCtrl.{i}.B2Threshold1EutraRSRQ</t>
  </si>
  <si>
    <t>Device.Services.FAPService.{i}.CellConfig.LTE.RAN.Mobility.ConnMode.IRAT.B2MeasureCtrl.{i}.B2Threshold1EutraRSRQ</t>
  </si>
  <si>
    <t>InternetGatewayDevice.Services.FAPService.{i}.CellConfig.LTE.RAN.Mobility.ConnMode.IRAT.B2MeasureCtrl.{i}.B2Threshold2CDMA2000</t>
  </si>
  <si>
    <t>Device.Services.FAPService.{i}.CellConfig.LTE.RAN.Mobility.ConnMode.IRAT.B2MeasureCtrl.{i}.B2Threshold2CDMA2000</t>
  </si>
  <si>
    <t>InternetGatewayDevice.Services.FAPService.{i}.CellConfig.LTE.RAN.Mobility.ConnMode.IRAT.B2MeasureCtrl.{i}.B2Threshold2GERAN</t>
  </si>
  <si>
    <t>Device.Services.FAPService.{i}.CellConfig.LTE.RAN.Mobility.ConnMode.IRAT.B2MeasureCtrl.{i}.B2Threshold2GERAN</t>
  </si>
  <si>
    <t>InternetGatewayDevice.Services.FAPService.{i}.CellConfig.LTE.RAN.Mobility.ConnMode.IRAT.B2MeasureCtrl.{i}.B2Threshold2UTRAEcN0</t>
  </si>
  <si>
    <t>Device.Services.FAPService.{i}.CellConfig.LTE.RAN.Mobility.ConnMode.IRAT.B2MeasureCtrl.{i}.B2Threshold2UTRAEcN0</t>
  </si>
  <si>
    <t>InternetGatewayDevice.Services.FAPService.{i}.CellConfig.LTE.RAN.Mobility.ConnMode.IRAT.B2MeasureCtrl.{i}.B2Threshold2UTRARSCP</t>
  </si>
  <si>
    <t>Device.Services.FAPService.{i}.CellConfig.LTE.RAN.Mobility.ConnMode.IRAT.B2MeasureCtrl.{i}.B2Threshold2UTRARSCP</t>
  </si>
  <si>
    <t>InternetGatewayDevice.Services.FAPService.{i}.CellConfig.LTE.RAN.Mobility.ConnMode.IRAT.B2MeasureCtrl.{i}.Hysteresis</t>
  </si>
  <si>
    <t>Device.Services.FAPService.{i}.CellConfig.LTE.RAN.Mobility.ConnMode.IRAT.B2MeasureCtrl.{i}.Hysteresis</t>
  </si>
  <si>
    <t>InternetGatewayDevice.Services.FAPService.{i}.CellConfig.LTE.RAN.Mobility.ConnMode.IRAT.B2MeasureCtrl.{i}.MaxReportCells</t>
  </si>
  <si>
    <t>Device.Services.FAPService.{i}.CellConfig.LTE.RAN.Mobility.ConnMode.IRAT.B2MeasureCtrl.{i}.MaxReportCells</t>
  </si>
  <si>
    <t>InternetGatewayDevice.Services.FAPService.{i}.CellConfig.LTE.RAN.Mobility.ConnMode.IRAT.B2MeasureCtrl.{i}.MeasurePurpose</t>
  </si>
  <si>
    <t>Device.Services.FAPService.{i}.CellConfig.LTE.RAN.Mobility.ConnMode.IRAT.B2MeasureCtrl.{i}.MeasurePurpose</t>
  </si>
  <si>
    <t>InternetGatewayDevice.Services.FAPService.{i}.CellConfig.LTE.RAN.Mobility.ConnMode.IRAT.B2MeasureCtrl.{i}.ReportAmount</t>
  </si>
  <si>
    <t>Device.Services.FAPService.{i}.CellConfig.LTE.RAN.Mobility.ConnMode.IRAT.B2MeasureCtrl.{i}.ReportAmount</t>
  </si>
  <si>
    <t>InternetGatewayDevice.Services.FAPService.{i}.CellConfig.LTE.RAN.Mobility.ConnMode.IRAT.B2MeasureCtrl.{i}.ReportInterval</t>
  </si>
  <si>
    <t>Device.Services.FAPService.{i}.CellConfig.LTE.RAN.Mobility.ConnMode.IRAT.B2MeasureCtrl.{i}.ReportInterval</t>
  </si>
  <si>
    <t>InternetGatewayDevice.Services.FAPService.{i}.CellConfig.LTE.RAN.Mobility.ConnMode.IRAT.B2MeasureCtrl.{i}.TimeToTrigger</t>
  </si>
  <si>
    <t>Device.Services.FAPService.{i}.CellConfig.LTE.RAN.Mobility.ConnMode.IRAT.B2MeasureCtrl.{i}.TimeToTrigger</t>
  </si>
  <si>
    <t>重选公共参数</t>
  </si>
  <si>
    <t>InternetGatewayDevice.Services.FAPService.{i}.CellConfig.LTE.RAN.Mobility.IdleMode.Common.Qhyst</t>
  </si>
  <si>
    <t>Device.Services.FAPService.{i}.CellConfig.LTE.RAN.Mobility.IdleMode.Common.Qhyst</t>
  </si>
  <si>
    <t>Qhyst</t>
  </si>
  <si>
    <t>服务小区重选迟滞值</t>
  </si>
  <si>
    <t>AU</t>
  </si>
  <si>
    <t>QHyst</t>
  </si>
  <si>
    <t>服务小区的滞后值,单位dB</t>
  </si>
  <si>
    <t>参数类型调整</t>
  </si>
  <si>
    <t>InternetGatewayDevice.Services.FAPService.{i}.CellConfig.LTE.RAN.Mobility.IdleMode.Common.IntraFreqReselection</t>
  </si>
  <si>
    <t>Device.Services.FAPService.{i}.CellConfig.LTE.RAN.Mobility.IdleMode.Common.IntraFreqReselection</t>
  </si>
  <si>
    <t>IntraFreqReselection</t>
  </si>
  <si>
    <t>同频重选指示</t>
  </si>
  <si>
    <t>同频重选指示，(0=允许,1=不允许)</t>
  </si>
  <si>
    <t>InternetGatewayDevice.Services.FAPService.{i}.CellConfig.LTE.RAN.Mobility.IdleMode.Common.QHystSFMedium</t>
  </si>
  <si>
    <t>Device.Services.FAPService.{i}.CellConfig.LTE.RAN.Mobility.IdleMode.Common.QHystSFMedium</t>
  </si>
  <si>
    <t>QHystSFMedium</t>
  </si>
  <si>
    <t>Qhyst比例因子(中速)</t>
  </si>
  <si>
    <t xml:space="preserve">/  </t>
  </si>
  <si>
    <t>int[-6, -4, -2, 0]</t>
  </si>
  <si>
    <t>检测到中速移动性状态，将QHystSFMedium加到Qhyst上</t>
  </si>
  <si>
    <t xml:space="preserve">InternetGatewayDevice.Services.FAPService.{i}.CellConfig.LTE.RAN.Mobility.IdleMode.Common.QHystSFHigh
</t>
  </si>
  <si>
    <t xml:space="preserve">Device.Services.FAPService.{i}.CellConfig.LTE.RAN.Mobility.IdleMode.Common.QHystSFHigh
</t>
  </si>
  <si>
    <t>QHystSFHigh</t>
  </si>
  <si>
    <t>Qhyst比例因子(高速)</t>
  </si>
  <si>
    <t>检测到高速移动性状态，将QHystSFHigh加到Qhyst上,</t>
  </si>
  <si>
    <r>
      <rPr>
        <sz val="9"/>
        <rFont val="宋体"/>
        <family val="3"/>
        <charset val="134"/>
      </rPr>
      <t>InternetGatewayDevice.Services.FAPService.{i}.CellConfig.LTE.RAN.Mobility.IdleMode.Common.</t>
    </r>
    <r>
      <rPr>
        <sz val="9"/>
        <color rgb="FFFF0000"/>
        <rFont val="宋体"/>
        <family val="3"/>
        <charset val="134"/>
      </rPr>
      <t>TEvaluation</t>
    </r>
  </si>
  <si>
    <r>
      <rPr>
        <sz val="9"/>
        <rFont val="宋体"/>
        <family val="3"/>
        <charset val="134"/>
      </rPr>
      <t>Device.Services.FAPService.{i}.CellConfig.LTE.RAN.Mobility.IdleMode.Common.</t>
    </r>
    <r>
      <rPr>
        <sz val="9"/>
        <color rgb="FFFF0000"/>
        <rFont val="宋体"/>
        <family val="3"/>
        <charset val="134"/>
      </rPr>
      <t>TEvaluation</t>
    </r>
  </si>
  <si>
    <t>TEvaluation</t>
  </si>
  <si>
    <t xml:space="preserve">允许小区重选数目的间隔时间
</t>
  </si>
  <si>
    <t>unsignedInt[30, 60, 120, 180, 240]</t>
  </si>
  <si>
    <t>InternetGatewayDevice.Services.FAPService.{i}.CellConfig.LTE.RAN.Mobility.IdleMode.Common.THystNormal</t>
  </si>
  <si>
    <t>Device.Services.FAPService.{i}.CellConfig.LTE.RAN.Mobility.IdleMode.Common.THystNormal</t>
  </si>
  <si>
    <t>THystNormal</t>
  </si>
  <si>
    <t>正常状态附加判决时长</t>
  </si>
  <si>
    <t xml:space="preserve">进行正常移动性状态之前额外的时间周期，
</t>
  </si>
  <si>
    <t>参数类型错误修正</t>
  </si>
  <si>
    <t>InternetGatewayDevice.Services.FAPService.{i}.CellConfig.LTE.RAN.Mobility.IdleMode.Common.NCellChangeMedium</t>
  </si>
  <si>
    <t>Device.Services.FAPService.{i}.CellConfig.LTE.RAN.Mobility.IdleMode.Common.NCellChangeMedium</t>
  </si>
  <si>
    <t>NCellChangeMedium</t>
  </si>
  <si>
    <t>进入中速重选次数门限</t>
  </si>
  <si>
    <t>InternetGatewayDevice.Services.FAPService.{i}.CellConfig.LTE.RAN.Mobility.IdleMode.Common.NCellChangeHigh</t>
  </si>
  <si>
    <t>Device.Services.FAPService.{i}.CellConfig.LTE.RAN.Mobility.IdleMode.Common.NCellChangeHigh</t>
  </si>
  <si>
    <t>NCellChangeHigh</t>
  </si>
  <si>
    <t>进入高速重选次数门限</t>
  </si>
  <si>
    <t>同频重选参数</t>
  </si>
  <si>
    <t xml:space="preserve">InternetGatewayDevice.Services.FAPService.{i}.CellConfig.LTE.RAN.Mobility.IdleMode.IntraFreq.QRxLevMinSIB1
</t>
  </si>
  <si>
    <t xml:space="preserve">Device.Services.FAPService.{i}.CellConfig.LTE.RAN.Mobility.IdleMode.IntraFreq.QRxLevMinSIB1
</t>
  </si>
  <si>
    <t>QRxLevMinSIB1</t>
  </si>
  <si>
    <t>服务小区最小接收电平</t>
  </si>
  <si>
    <t>QRxLevMin</t>
  </si>
  <si>
    <t>int[-70:-22]</t>
  </si>
  <si>
    <t>小区选择时，EUTRA小区的最小RSRP接收电平，用来控制E-UTRA小区选择的难易程度,单位：dBm</t>
  </si>
  <si>
    <t>类型修改为int</t>
  </si>
  <si>
    <t>InternetGatewayDevice.Services.FAPService.{i}.CellConfig.LTE.RAN.Mobility.IdleMode.IntraFreq.QRxLevMinSIB3</t>
  </si>
  <si>
    <t>Device.Services.FAPService.{i}.CellConfig.LTE.RAN.Mobility.IdleMode.IntraFreq.QRxLevMinSIB3</t>
  </si>
  <si>
    <t>QRxLevMinSIB3</t>
  </si>
  <si>
    <t>同频邻区最小接收电平</t>
  </si>
  <si>
    <t>同频内E-UTRA小区重选时，邻区的最小RSRP接收电平,单位：dBm</t>
  </si>
  <si>
    <t>InternetGatewayDevice.Services.FAPService.{i}.CellConfig.LTE.RAN.Mobility.IdleMode.IntraFreq.QRxLevMinOffset</t>
  </si>
  <si>
    <t>Device.Services.FAPService.{i}.CellConfig.LTE.RAN.Mobility.IdleMode.IntraFreq.QRxLevMinOffset</t>
  </si>
  <si>
    <t>QRxLevMinOffset</t>
  </si>
  <si>
    <t>最小接收电平偏移量</t>
  </si>
  <si>
    <t>InternetGatewayDevice.Services.FAPService.{i}.CellConfig.LTE.RAN.Mobility.IdleMode.IntraFreq.SIntraSearch</t>
  </si>
  <si>
    <t>Device.Services.FAPService.{i}.CellConfig.LTE.RAN.Mobility.IdleMode.IntraFreq.SIntraSearch</t>
  </si>
  <si>
    <t>SIntraSearch</t>
  </si>
  <si>
    <t>同频测量启动门限</t>
  </si>
  <si>
    <t>小区重选时，频率内测量启动门限，实际值=IE值*2</t>
  </si>
  <si>
    <t>InternetGatewayDevice.Services.FAPService.{i}.CellConfig.LTE.RAN.Mobility.IdleMode.IntraFreq.TReselectionEUTRA</t>
  </si>
  <si>
    <t>Device.Services.FAPService.{i}.CellConfig.LTE.RAN.Mobility.IdleMode.IntraFreq.TReselectionEUTRA</t>
  </si>
  <si>
    <t>TReselectionEUTRA</t>
  </si>
  <si>
    <t>同频小区重选时间</t>
  </si>
  <si>
    <t>TReselectionEutra</t>
  </si>
  <si>
    <t>同频EUTRA小区重选时间</t>
  </si>
  <si>
    <t>北向映射关系调整/参数类型调整</t>
  </si>
  <si>
    <t>InternetGatewayDevice.Services.FAPService.{i}.CellConfig.LTE.RAN.Mobility.IdleMode.IntraFreq.SNonIntraSearch</t>
  </si>
  <si>
    <t>Device.Services.FAPService.{i}.CellConfig.LTE.RAN.Mobility.IdleMode.IntraFreq.SNonIntraSearch</t>
  </si>
  <si>
    <t>SNonIntraSearch</t>
  </si>
  <si>
    <t>非同频测量启动门限</t>
  </si>
  <si>
    <t>频率间切换、低优先级或相等优先级RAT间切换的测量启动门限,单位：dB</t>
  </si>
  <si>
    <t>北向对应关系调整</t>
  </si>
  <si>
    <t>InternetGatewayDevice.Services.FAPService.{i}.CellConfig.LTE.RAN.Mobility.IdleMode.IntraFreq.SNonIntraSearchPR9</t>
  </si>
  <si>
    <t>Device.Services.FAPService.{i}.CellConfig.LTE.RAN.Mobility.IdleMode.IntraFreq.SNonIntraSearchPR9</t>
  </si>
  <si>
    <t>SNonIntraSearchPR9</t>
  </si>
  <si>
    <t>异频/异系统RSRP测量启动门限</t>
  </si>
  <si>
    <t>unsignedInt[0:31]</t>
  </si>
  <si>
    <t>新增参数映射北向</t>
  </si>
  <si>
    <t>InternetGatewayDevice.Services.FAPService.{i}.CellConfig.LTE.RAN.Mobility.IdleMode.IntraFreq.SNonIntraSearchQR9</t>
  </si>
  <si>
    <t>Device.Services.FAPService.{i}.CellConfig.LTE.RAN.Mobility.IdleMode.IntraFreq.SNonIntraSearchQR9</t>
  </si>
  <si>
    <t>SNonIntraSearchQR9</t>
  </si>
  <si>
    <t>异频/异系统RSRQ测量启动门限</t>
  </si>
  <si>
    <t>InternetGatewayDevice.Services.FAPService.{i}.CellConfig.LTE.RAN.Mobility.IdleMode.IntraFreq.CellReselectionPriority</t>
  </si>
  <si>
    <t>Device.Services.FAPService.{i}.CellConfig.LTE.RAN.Mobility.IdleMode.IntraFreq.CellReselectionPriority</t>
  </si>
  <si>
    <t>CellReselectionPriority</t>
  </si>
  <si>
    <t>同频小区重选优先级</t>
  </si>
  <si>
    <t>频率间和RAT间小区重选过程中，E-UTRAN服务载频的决定优先级，该值越低，优先级越低</t>
  </si>
  <si>
    <r>
      <rPr>
        <sz val="9"/>
        <rFont val="宋体"/>
        <family val="3"/>
        <charset val="134"/>
      </rPr>
      <t>InternetGatewayDevice.Services.FAPService.{i}.CellConfig.LTE.RAN.Mobility.IdleMode.IntraFreq.</t>
    </r>
    <r>
      <rPr>
        <sz val="9"/>
        <color rgb="FFFF0000"/>
        <rFont val="宋体"/>
        <family val="3"/>
        <charset val="134"/>
      </rPr>
      <t>PMax</t>
    </r>
  </si>
  <si>
    <r>
      <rPr>
        <sz val="9"/>
        <rFont val="宋体"/>
        <family val="3"/>
        <charset val="134"/>
      </rPr>
      <t>Device.Services.FAPService.{i}.CellConfig.LTE.RAN.Mobility.IdleMode.IntraFreq.</t>
    </r>
    <r>
      <rPr>
        <sz val="9"/>
        <color rgb="FFFF0000"/>
        <rFont val="宋体"/>
        <family val="3"/>
        <charset val="134"/>
      </rPr>
      <t>PMax</t>
    </r>
  </si>
  <si>
    <t>PMax</t>
  </si>
  <si>
    <t>UE允许最大发射功率</t>
  </si>
  <si>
    <t>int[-30:33]</t>
  </si>
  <si>
    <t>修改参数名大小写，与TR196及北向NRM保持一致</t>
  </si>
  <si>
    <t>InternetGatewayDevice.Services.FAPService.{i}.CellConfig.LTE.RAN.Mobility.IdleMode.IntraFreq.ThreshServingLow</t>
  </si>
  <si>
    <t>Device.Services.FAPService.{i}.CellConfig.LTE.RAN.Mobility.IdleMode.IntraFreq.ThreshServingLow</t>
  </si>
  <si>
    <t>ThreshServingLow</t>
  </si>
  <si>
    <t>低优先级重选门限</t>
  </si>
  <si>
    <t>低优先级的E-UTRAN频率或RA重选时，服务频率的门限,实际值=IE值*2</t>
  </si>
  <si>
    <t>InternetGatewayDevice.Services.FAPService.{i}.CellConfig.LTE.RAN.Mobility.IdleMode.IntraFreq.ThreshServingLowQR9</t>
  </si>
  <si>
    <t>Device.Services.FAPService.{i}.CellConfig.LTE.RAN.Mobility.IdleMode.IntraFreq.ThreshServingLowQR9</t>
  </si>
  <si>
    <t>ThreshServingLowQR9</t>
  </si>
  <si>
    <t>服务频点低优先级RSRQ重选门限</t>
  </si>
  <si>
    <t>InternetGatewayDevice.Services.FAPService.{i}.CellConfig.LTE.RAN.Mobility.IdleMode.IntraFreq.TReselectionEUTRASFMedium</t>
  </si>
  <si>
    <t>Device.Services.FAPService.{i}.CellConfig.LTE.RAN.Mobility.IdleMode.IntraFreq.TReselectionEUTRASFMedium</t>
  </si>
  <si>
    <t>TReselectionEUTRASFMedium</t>
  </si>
  <si>
    <t>TReselectionUTRA比例因子(中速)</t>
  </si>
  <si>
    <t>unsignedInt[25, 50, 75, 100]</t>
  </si>
  <si>
    <t>中速移动状态时，将TReselectionEUTRASFMedium加到TReselectionEUTRA上</t>
  </si>
  <si>
    <t>InternetGatewayDevice.Services.FAPService.{i}.CellConfig.LTE.RAN.Mobility.IdleMode.IntraFreq.TReselectionEUTRASFHigh</t>
  </si>
  <si>
    <t>Device.Services.FAPService.{i}.CellConfig.LTE.RAN.Mobility.IdleMode.IntraFreq.TReselectionEUTRASFHigh</t>
  </si>
  <si>
    <t>TReselectionEUTRASFHigh</t>
  </si>
  <si>
    <t>TReselectionUTRA比例因子(高速)</t>
  </si>
  <si>
    <t>高速移动状态时，将TReselectionEUTRASFHigh加到TReselectionEUTRA上</t>
  </si>
  <si>
    <t>InternetGatewayDevice.Services.FAPService.{i}.CellConfig.LTE.RAN.Mobility.IdleMode.IntraFreq.SIntraSearchPR9</t>
  </si>
  <si>
    <t>Device.Services.FAPService.{i}.CellConfig.LTE.RAN.Mobility.IdleMode.IntraFreq.SIntraSearchPR9</t>
  </si>
  <si>
    <t>SIntraSearchPR9</t>
  </si>
  <si>
    <t>同频RSRP测量启动门限</t>
  </si>
  <si>
    <t>InternetGatewayDevice.Services.FAPService.{i}.CellConfig.LTE.RAN.Mobility.IdleMode.IntraFreq.SIntraSearchQR9</t>
  </si>
  <si>
    <t>Device.Services.FAPService.{i}.CellConfig.LTE.RAN.Mobility.IdleMode.IntraFreq.SIntraSearchQR9</t>
  </si>
  <si>
    <t>SIntraSearchQR9</t>
  </si>
  <si>
    <t>同频RSRQ测量启动门限</t>
  </si>
  <si>
    <t>InternetGatewayDevice.Services.FAPService.{i}.CellConfig.LTE.RAN.Mobility.IdleMode.IntraFreq.QQualMinR9Reselection</t>
  </si>
  <si>
    <t>Device.Services.FAPService.{i}.CellConfig.LTE.RAN.Mobility.IdleMode.IntraFreq.QQualMinR9Reselection</t>
  </si>
  <si>
    <t>QQualMinR9Reselection</t>
  </si>
  <si>
    <t>小区重选最低接入信号质量</t>
  </si>
  <si>
    <t xml:space="preserve"> int[-34:-3]</t>
  </si>
  <si>
    <r>
      <rPr>
        <sz val="9"/>
        <color rgb="FFFF0000"/>
        <rFont val="宋体"/>
        <family val="3"/>
        <charset val="134"/>
      </rPr>
      <t xml:space="preserve">北向映射关系调整
</t>
    </r>
    <r>
      <rPr>
        <sz val="9"/>
        <color rgb="FF0070C0"/>
        <rFont val="宋体"/>
        <family val="3"/>
        <charset val="134"/>
      </rPr>
      <t>修改TR098模型节点笔误InterFreq</t>
    </r>
  </si>
  <si>
    <t>InternetGatewayDevice.Services.FAPService.{i}.CellConfig.LTE.RAN.Mobility.IdleMode.IntraFreq.QQualMinR9Selection</t>
  </si>
  <si>
    <t>Device.Services.FAPService.{i}.CellConfig.LTE.RAN.Mobility.IdleMode.IntraFreq.QQualMinR9Selection</t>
  </si>
  <si>
    <t>QQualMinR9Selection</t>
  </si>
  <si>
    <t>小区选择最低接入信号质量</t>
  </si>
  <si>
    <t>InternetGatewayDevice.Services.FAPService.{i}.CellConfig.LTE.RAN.Mobility.IdleMode.IntraFreq.QQualMinOffsetR9</t>
  </si>
  <si>
    <t>Device.Services.FAPService.{i}.CellConfig.LTE.RAN.Mobility.IdleMode.IntraFreq.QQualMinOffsetR9</t>
  </si>
  <si>
    <t>QQualMinOffsetR9</t>
  </si>
  <si>
    <t>小区选择最低接入信号质量偏置</t>
  </si>
  <si>
    <t xml:space="preserve"> int[1:8]</t>
  </si>
  <si>
    <t>InternetGatewayDevice.Services.FAPService.{i}.CellConfig.LTE.RAN.Mobility.IdleMode.IntraFreq.AllowedMeasBandwidth</t>
  </si>
  <si>
    <t>Device.Services.FAPService.{i}.CellConfig.LTE.RAN.Mobility.IdleMode.IntraFreq.AllowedMeasBandwidth</t>
  </si>
  <si>
    <t>AllowedMeasBandwidth</t>
  </si>
  <si>
    <t>测量带宽</t>
  </si>
  <si>
    <t>unsignedInt(6,15,25,50,75,100)</t>
  </si>
  <si>
    <t>异频重选参数</t>
  </si>
  <si>
    <t>InternetGatewayDevice.Services.FAPService.{i}.CellConfig.LTE.RAN.Mobility.IdleMode.InterFreq.Carrier.{i}.EUTRACarrierARFCN</t>
  </si>
  <si>
    <t>Device.Services.FAPService.{i}.CellConfig.LTE.RAN.Mobility.IdleMode.InterFreq.Carrier.{i}.EUTRACarrierARFCN</t>
  </si>
  <si>
    <t>EARFCN</t>
  </si>
  <si>
    <t>载频的EARFCN</t>
  </si>
  <si>
    <t xml:space="preserve">InternetGatewayDevice.Services.FAPService.{i}.CellConfig.LTE.RAN.Mobility.IdleMode.InterFreq.Carrier.{i}.QRxLevMinSIB5
</t>
  </si>
  <si>
    <t xml:space="preserve">Device.Services.FAPService.{i}.CellConfig.LTE.RAN.Mobility.IdleMode.InterFreq.Carrier.{i}.QRxLevMinSIB5
</t>
  </si>
  <si>
    <t>QRxLevMinSIB5</t>
  </si>
  <si>
    <t>异频邻区最小接收电平</t>
  </si>
  <si>
    <t>QRxLevMinReselection</t>
  </si>
  <si>
    <t>该EUTRA载频需求的最小RSRP接收电平,单位：dBm</t>
  </si>
  <si>
    <t>InternetGatewayDevice.Services.FAPService.{i}.CellConfig.LTE.RAN.Mobility.IdleMode.InterFreq.Carrier.{i}.QOffsetFreq</t>
  </si>
  <si>
    <t>Device.Services.FAPService.{i}.CellConfig.LTE.RAN.Mobility.IdleMode.InterFreq.Carrier.{i}.QOffsetFreq</t>
  </si>
  <si>
    <t>QOffsetFreq</t>
  </si>
  <si>
    <t>小区间频率偏移量</t>
  </si>
  <si>
    <t>频率相关的偏置值，是邻区测量值的偏置值的一部分，该值越大越难发生重选,单位dB</t>
  </si>
  <si>
    <t>参数类型修正</t>
  </si>
  <si>
    <t>InternetGatewayDevice.Services.FAPService.{i}.CellConfig.LTE.RAN.Mobility.IdleMode.InterFreq.Carrier.{i}.TReselectionEUTRA</t>
  </si>
  <si>
    <t>Device.Services.FAPService.{i}.CellConfig.LTE.RAN.Mobility.IdleMode.InterFreq.Carrier.{i}.TReselectionEUTRA</t>
  </si>
  <si>
    <t>异频小区重选时间</t>
  </si>
  <si>
    <t>频间切换时，小区重选到该EUTRA载频的小区重选定时器</t>
  </si>
  <si>
    <t>InternetGatewayDevice.Services.FAPService.{i}.CellConfig.LTE.RAN.Mobility.IdleMode.InterFreq.Carrier.{i}.QQualMinR9Reselection</t>
  </si>
  <si>
    <t>Device.Services.FAPService.{i}.CellConfig.LTE.RAN.Mobility.IdleMode.InterFreq.Carrier.{i}.QQualMinR9Reselection</t>
  </si>
  <si>
    <t>InternetGatewayDevice.Services.FAPService.{i}.CellConfig.LTE.RAN.Mobility.IdleMode.InterFreq.Carrier.{i}.CellReselectionPriority</t>
  </si>
  <si>
    <t>Device.Services.FAPService.{i}.CellConfig.LTE.RAN.Mobility.IdleMode.InterFreq.Carrier.{i}.CellReselectionPriority</t>
  </si>
  <si>
    <t>异频小区重选优先级</t>
  </si>
  <si>
    <t>CellReselectionPriorityReselection</t>
  </si>
  <si>
    <t>该E-UTRA载频的绝对优先级，用于频间小区重选过程，该值越低，优先级越低</t>
  </si>
  <si>
    <t>InternetGatewayDevice.Services.FAPService.{i}.CellConfig.LTE.RAN.Mobility.IdleMode.InterFreq.Carrier.{i}.ThreshXHigh</t>
  </si>
  <si>
    <t>Device.Services.FAPService.{i}.CellConfig.LTE.RAN.Mobility.IdleMode.InterFreq.Carrier.{i}.ThreshXHigh</t>
  </si>
  <si>
    <t>ThreshXHigh</t>
  </si>
  <si>
    <t>异频高优先级重选门限</t>
  </si>
  <si>
    <t>InternetGatewayDevice.Services.FAPService.{i}.CellConfig.LTE.RAN.Mobility.IdleMode.InterFreq.Carrier.{i}.ThreshXLow</t>
  </si>
  <si>
    <t>Device.Services.FAPService.{i}.CellConfig.LTE.RAN.Mobility.IdleMode.InterFreq.Carrier.{i}.ThreshXLow</t>
  </si>
  <si>
    <t>ThreshXLow</t>
  </si>
  <si>
    <t>异频低优先级重选门限</t>
  </si>
  <si>
    <r>
      <rPr>
        <sz val="9"/>
        <rFont val="宋体"/>
        <family val="3"/>
        <charset val="134"/>
      </rPr>
      <t>InternetGatewayDevice.Services.FAPService.{i}.CellConfig.LTE.RAN.Mobility.IdleMode.InterFreq.Carrier.{i}.</t>
    </r>
    <r>
      <rPr>
        <sz val="9"/>
        <color rgb="FFFF0000"/>
        <rFont val="宋体"/>
        <family val="3"/>
        <charset val="134"/>
      </rPr>
      <t>PMax</t>
    </r>
  </si>
  <si>
    <r>
      <rPr>
        <sz val="9"/>
        <rFont val="宋体"/>
        <family val="3"/>
        <charset val="134"/>
      </rPr>
      <t>Device.Services.FAPService.{i}.CellConfig.LTE.RAN.Mobility.IdleMode.InterFreq.Carrier.{i}.</t>
    </r>
    <r>
      <rPr>
        <sz val="9"/>
        <color rgb="FFFF0000"/>
        <rFont val="宋体"/>
        <family val="3"/>
        <charset val="134"/>
      </rPr>
      <t>PMax</t>
    </r>
  </si>
  <si>
    <t>UE最大允许发射功率</t>
  </si>
  <si>
    <t>PMaxReselection</t>
  </si>
  <si>
    <t>用来在服务频率上限制允许的UE上行链路传输功率,实际值=IE值/100</t>
  </si>
  <si>
    <t>InternetGatewayDevice.Services.FAPService.{i}.CellConfig.LTE.RAN.Mobility.IdleMode.InterFreq.Carrier.{i}.TReselectionEUTRASFMedium</t>
  </si>
  <si>
    <t>Device.Services.FAPService.{i}.CellConfig.LTE.RAN.Mobility.IdleMode.InterFreq.Carrier.{i}.TReselectionEUTRASFMedium</t>
  </si>
  <si>
    <t>TReselectionEUTRA比例因子(中速)</t>
  </si>
  <si>
    <t>指定中等移动状态时，频间重选到该载频的
TreselectionEUTRA的比例因子</t>
  </si>
  <si>
    <t>InternetGatewayDevice.Services.FAPService.{i}.CellConfig.LTE.RAN.Mobility.IdleMode.InterFreq.Carrier.{i}.TReselectionEUTRASFHigh</t>
  </si>
  <si>
    <t>Device.Services.FAPService.{i}.CellConfig.LTE.RAN.Mobility.IdleMode.InterFreq.Carrier.{i}.TReselectionEUTRASFHigh</t>
  </si>
  <si>
    <t>TReselectionEUTRA比例因子(高速)</t>
  </si>
  <si>
    <t>InternetGatewayDevice.Services.FAPService.{i}.CellConfig.LTE.RAN.Mobility.IdleMode.InterFreq.Carrier.{i}.ThreshXHighQR9</t>
  </si>
  <si>
    <t>Device.Services.FAPService.{i}.CellConfig.LTE.RAN.Mobility.IdleMode.InterFreq.Carrier.{i}.ThreshXHighQR9</t>
  </si>
  <si>
    <t>ThreshXHighQR9</t>
  </si>
  <si>
    <t>异频频点RSRQ高优先级重选门限</t>
  </si>
  <si>
    <t>InternetGatewayDevice.Services.FAPService.{i}.CellConfig.LTE.RAN.Mobility.IdleMode.InterFreq.Carrier.{i}.ThreshXLowQR9</t>
  </si>
  <si>
    <t>Device.Services.FAPService.{i}.CellConfig.LTE.RAN.Mobility.IdleMode.InterFreq.Carrier.{i}.ThreshXLowQR9</t>
  </si>
  <si>
    <t>ThreshXLowQR9</t>
  </si>
  <si>
    <t>异频频点RSRQ低优先级重选门限</t>
  </si>
  <si>
    <t>异系统重选参数</t>
  </si>
  <si>
    <t>InternetGatewayDevice.Services.FAPService.{i}.CellConfig.LTE.RAN.Mobility.IdleMode.IRAT.UTRA.TReselectionUTRA</t>
  </si>
  <si>
    <t>Device.Services.FAPService.{i}.CellConfig.LTE.RAN.Mobility.IdleMode.IRAT.UTRA.TReselectionUTRA</t>
  </si>
  <si>
    <t>TReselectionUTRA</t>
  </si>
  <si>
    <t>UTRAN小区重选时间</t>
  </si>
  <si>
    <t>TReselectionUtra</t>
  </si>
  <si>
    <t>NRM数据配置要求TR系列规范(TR098/TR181/TR196)</t>
  </si>
  <si>
    <t>InternetGatewayDevice.Services.FAPService.{i}.CellConfig.LTE.RAN.Mobility.IdleMode.IRAT.UTRA.UTRANFDDFreq.{i}.UTRACarrierARFCN</t>
  </si>
  <si>
    <t>Device.Services.FAPService.{i}.CellConfig.LTE.RAN.Mobility.IdleMode.IRAT.UTRA.UTRANFDDFreq.{i}.UTRACarrierARFCN</t>
  </si>
  <si>
    <t>UTRACarrierARFCN</t>
  </si>
  <si>
    <t>UTRAN小区频点</t>
  </si>
  <si>
    <t>InternetGatewayDevice.Services.FAPService.{i}.CellConfig.LTE.RAN.Mobility.IdleMode.IRAT.UTRA.UTRANFDDFreq.{i}.CellReselectionPriority</t>
  </si>
  <si>
    <t>Device.Services.FAPService.{i}.CellConfig.LTE.RAN.Mobility.IdleMode.IRAT.UTRA.UTRANFDDFreq.{i}.CellReselectionPriority</t>
  </si>
  <si>
    <t>UTRAN频点重选优先级</t>
  </si>
  <si>
    <t>CellReselectionPriorityUtra</t>
  </si>
  <si>
    <t>InternetGatewayDevice.Services.FAPService.{i}.CellConfig.LTE.RAN.Mobility.IdleMode.IRAT.UTRA.UTRANFDDFreq.{i}.ThreshXHigh</t>
  </si>
  <si>
    <t>Device.Services.FAPService.{i}.CellConfig.LTE.RAN.Mobility.IdleMode.IRAT.UTRA.UTRANFDDFreq.{i}.ThreshXHigh</t>
  </si>
  <si>
    <t>UTRAN频点高优先级重选门限</t>
  </si>
  <si>
    <t>ThreshXHighUtra</t>
  </si>
  <si>
    <t>InternetGatewayDevice.Services.FAPService.{i}.CellConfig.LTE.RAN.Mobility.IdleMode.IRAT.UTRA.UTRANFDDFreq.{i}.ThreshXLow</t>
  </si>
  <si>
    <t>Device.Services.FAPService.{i}.CellConfig.LTE.RAN.Mobility.IdleMode.IRAT.UTRA.UTRANFDDFreq.{i}.ThreshXLow</t>
  </si>
  <si>
    <t>UTRAN频点低优先级重选门限</t>
  </si>
  <si>
    <t>ThreshXLowUtra</t>
  </si>
  <si>
    <t>InternetGatewayDevice.Services.FAPService.{i}.CellConfig.LTE.RAN.Mobility.IdleMode.IRAT.UTRA.UTRANFDDFreq.{i}.QRxLevMin</t>
  </si>
  <si>
    <t>Device.Services.FAPService.{i}.CellConfig.LTE.RAN.Mobility.IdleMode.IRAT.UTRA.UTRANFDDFreq.{i}.QRxLevMin</t>
  </si>
  <si>
    <t>UTRAN最低接收电平</t>
  </si>
  <si>
    <t>QRxLevMinUtra</t>
  </si>
  <si>
    <t>int[-60:-13]</t>
  </si>
  <si>
    <t>InternetGatewayDevice.Services.FAPService.{i}.CellConfig.LTE.RAN.Mobility.IdleMode.IRAT.UTRA.UTRANFDDFreq.{i}.PMaxUTRA</t>
  </si>
  <si>
    <t>Device.Services.FAPService.{i}.CellConfig.LTE.RAN.Mobility.IdleMode.IRAT.UTRA.UTRANFDDFreq.{i}.PMaxUTRA</t>
  </si>
  <si>
    <t>PMaxUTRA</t>
  </si>
  <si>
    <t>UTRAN最大允许发射功率</t>
  </si>
  <si>
    <t>PMaxUtra</t>
  </si>
  <si>
    <t>int[-50:33]</t>
  </si>
  <si>
    <t>InternetGatewayDevice.Services.FAPService.{i}.CellConfig.LTE.RAN.Mobility.IdleMode.IRAT.GERAN.TReselectionGERAN</t>
  </si>
  <si>
    <t>Device.Services.FAPService.{i}.CellConfig.LTE.RAN.Mobility.IdleMode.IRAT.GERAN.TReselectionGERAN</t>
  </si>
  <si>
    <t>TReselectionGERAN</t>
  </si>
  <si>
    <t>GERAN小区重选时间</t>
  </si>
  <si>
    <t>TReselectionGeran</t>
  </si>
  <si>
    <t>InternetGatewayDevice.Services.FAPService.{i}.CellConfig.LTE.RAN.Mobility.IdleMode.IRAT.GERAN.GERANFreqGroup.{i}.BCCHARFCN</t>
  </si>
  <si>
    <t>Device.Services.FAPService.{i}.CellConfig.LTE.RAN.Mobility.IdleMode.IRAT.GERAN.GERANFreqGroup.{i}.BCCHARFCN</t>
  </si>
  <si>
    <t>GERAN小区频点</t>
  </si>
  <si>
    <t>InternetGatewayDevice.Services.FAPService.{i}.CellConfig.LTE.RAN.Mobility.IdleMode.IRAT.GERAN.GERANFreqGroup.{i}.CellReselectionPriority</t>
  </si>
  <si>
    <t>Device.Services.FAPService.{i}.CellConfig.LTE.RAN.Mobility.IdleMode.IRAT.GERAN.GERANFreqGroup.{i}.CellReselectionPriority</t>
  </si>
  <si>
    <t>异系统GERAN重选优先级配置</t>
  </si>
  <si>
    <t>CellReselectionPriorityGeran</t>
  </si>
  <si>
    <t>InternetGatewayDevice.Services.FAPService.{i}.CellConfig.LTE.RAN.Mobility.IdleMode.IRAT.GERAN.GERANFreqGroup.{i}.QRxLevMin</t>
  </si>
  <si>
    <t>Device.Services.FAPService.{i}.CellConfig.LTE.RAN.Mobility.IdleMode.IRAT.GERAN.GERANFreqGroup.{i}.QRxLevMin</t>
  </si>
  <si>
    <t>GERAN最低接收电平</t>
  </si>
  <si>
    <t>QRxLevMinGeran</t>
  </si>
  <si>
    <t>unsignedInt[0:45]</t>
  </si>
  <si>
    <t>InternetGatewayDevice.Services.FAPService.{i}.CellConfig.LTE.RAN.Mobility.IdleMode.IRAT.GERAN.GERANFreqGroup.{i}.ThreshXHigh</t>
  </si>
  <si>
    <t>Device.Services.FAPService.{i}.CellConfig.LTE.RAN.Mobility.IdleMode.IRAT.GERAN.GERANFreqGroup.{i}.ThreshXHigh</t>
  </si>
  <si>
    <t>GERAN高优先级重选门限值</t>
  </si>
  <si>
    <t>ThreshXHighGeran</t>
  </si>
  <si>
    <t>InternetGatewayDevice.Services.FAPService.{i}.CellConfig.LTE.RAN.Mobility.IdleMode.IRAT.GERAN.GERANFreqGroup.{i}.ThreshXLow</t>
  </si>
  <si>
    <t>Device.Services.FAPService.{i}.CellConfig.LTE.RAN.Mobility.IdleMode.IRAT.GERAN.GERANFreqGroup.{i}.ThreshXLow</t>
  </si>
  <si>
    <t>GERAN低优先级重选门限值</t>
  </si>
  <si>
    <t>ThreshXLowGeran</t>
  </si>
  <si>
    <t>InternetGatewayDevice.Services.FAPService.{i}.CellConfig.LTE.RAN.Mobility.IdleMode.IRAT.GERAN.GERANFreqGroup.{i}.PMaxGERAN</t>
  </si>
  <si>
    <t>Device.Services.FAPService.{i}.CellConfig.LTE.RAN.Mobility.IdleMode.IRAT.GERAN.GERANFreqGroup.{i}.PMaxGERAN</t>
  </si>
  <si>
    <t>PMaxGERAN</t>
  </si>
  <si>
    <t>UE最大许可传输功率</t>
  </si>
  <si>
    <t>unsignedInt[0:39]</t>
  </si>
  <si>
    <t>上行载频GEREN的最大许可传输功率</t>
  </si>
  <si>
    <t>NRM规范</t>
  </si>
  <si>
    <t>根据北向参数新增</t>
  </si>
  <si>
    <t>周期性测量的配置</t>
  </si>
  <si>
    <t>InternetGatewayDevice.Services.FAPService.{i}.CellConfig.LTE.RAN.Mobility.ConnMode.EUTRA.PeriodMeasCtrl.{i}.MeasurePurpose</t>
  </si>
  <si>
    <t>Device.Services.FAPService.{i}.CellConfig.LTE.RAN.Mobility.ConnMode.EUTRA.PeriodMeasCtrl.{i}.MeasurePurpose</t>
  </si>
  <si>
    <t>unsignedInt[1:7]</t>
  </si>
  <si>
    <t xml:space="preserve">1=ReportStrongestCells
2=ReportStrongestCellsForSon
3=ReportCGI
</t>
  </si>
  <si>
    <t>中国移动</t>
  </si>
  <si>
    <t>属性改为只读</t>
  </si>
  <si>
    <t>InternetGatewayDevice.Services.FAPService.{i}.CellConfig.LTE.RAN.Mobility.ConnMode.EUTRA.PeriodMeasCtrl.{i}.MaxReportCells</t>
  </si>
  <si>
    <t>Device.Services.FAPService.{i}.CellConfig.LTE.RAN.Mobility.ConnMode.EUTRA.PeriodMeasCtrl.{i}.MaxReportCells</t>
  </si>
  <si>
    <t>小区的最大数目</t>
  </si>
  <si>
    <t>unsignedInt[1:65535]</t>
  </si>
  <si>
    <t>InternetGatewayDevice.Services.FAPService.{i}.CellConfig.LTE.RAN.Mobility.ConnMode.EUTRA.PeriodMeasCtrl.{i}.ReportInterval</t>
  </si>
  <si>
    <t>Device.Services.FAPService.{i}.CellConfig.LTE.RAN.Mobility.ConnMode.EUTRA.PeriodMeasCtrl.{i}.ReportInterval</t>
  </si>
  <si>
    <t>周期性测量报告</t>
  </si>
  <si>
    <t>unsignedInt[120, 240, 480, 640, 1024, 2048, 5120, 10240,60000,360000, 720000,1800000,3600000]</t>
  </si>
  <si>
    <t>InternetGatewayDevice.Services.FAPService.{i}.CellConfig.LTE.RAN.Mobility.ConnMode.EUTRA.PeriodMeasCtrl.{i}.ReportAmount</t>
  </si>
  <si>
    <t>Device.Services.FAPService.{i}.CellConfig.LTE.RAN.Mobility.ConnMode.EUTRA.PeriodMeasCtrl.{i}.ReportAmount</t>
  </si>
  <si>
    <t>测量报告次数</t>
  </si>
  <si>
    <t>测量报告发送的次数，0表示无限次
参见36.331协议中测量章节描述，在reportCGI时，此参数ReportAmount=1</t>
  </si>
  <si>
    <t>取值范围增加了64</t>
  </si>
  <si>
    <r>
      <rPr>
        <b/>
        <sz val="9"/>
        <color indexed="8"/>
        <rFont val="宋体"/>
        <family val="3"/>
        <charset val="134"/>
      </rPr>
      <t>北向I</t>
    </r>
    <r>
      <rPr>
        <b/>
        <sz val="9"/>
        <color indexed="8"/>
        <rFont val="宋体"/>
        <family val="3"/>
        <charset val="134"/>
      </rPr>
      <t>ndex</t>
    </r>
  </si>
  <si>
    <t>InternetGatewayDevice.Services.FAPService.{i}.FAPControl.LTE.SelfConfig.SONConfigParam.SONSysMode</t>
  </si>
  <si>
    <t>Device.Services.FAPService.{i}.FAPControl.LTE.SelfConfig.SONConfigParam.SONSysMode</t>
  </si>
  <si>
    <t>SONSysMode</t>
  </si>
  <si>
    <t>SON系统模式</t>
  </si>
  <si>
    <t>SON系统模式（分布式，集中式）,{Distributed，Centralized}</t>
  </si>
  <si>
    <t>InternetGatewayDevice.Services.FAPService.{i}.FAPControl.LTE.SelfConfig.SONConfigParam.SONWorkMode</t>
  </si>
  <si>
    <t>Device.Services.FAPService.{i}.FAPControl.LTE.SelfConfig.SONConfigParam.SONWorkMode</t>
  </si>
  <si>
    <t>SONWorkMode</t>
  </si>
  <si>
    <t>SON模式设置</t>
  </si>
  <si>
    <t>自优化模式（自由模式，受控模式）,{Free，Control}，自由模式下系统给出的参数优化建议无需人工确认，可直接执行；受控模式下系统给出的参数优化建议需要人工确认同意才可执行，否则（不同意或超时）不执行优化，保持原参数配置不变。</t>
  </si>
  <si>
    <t>InternetGatewayDevice.Services.FAPService.{i}.FAPControl.LTE.SelfConfig.SONConfigParam.PCIOptEnable</t>
  </si>
  <si>
    <t>Device.Services.FAPService.{i}.FAPControl.LTE.SelfConfig.SONConfigParam.PCIOptEnable</t>
  </si>
  <si>
    <t>PCIOptEnable</t>
  </si>
  <si>
    <t>PCI自优化算法开关</t>
  </si>
  <si>
    <t>PCIOptSwitch</t>
  </si>
  <si>
    <t>PCI自优化算法开关,(0=false,1=true)</t>
  </si>
  <si>
    <t>InternetGatewayDevice.Services.FAPService.{i}.FAPControl.LTE.SelfConfig.SONConfigParam.PCIReconfigWaitTime</t>
  </si>
  <si>
    <t>Device.Services.FAPService.{i}.FAPControl.LTE.SelfConfig.SONConfigParam.PCIReconfigWaitTime</t>
  </si>
  <si>
    <t>PCIReconfigWaitTime</t>
  </si>
  <si>
    <t>PCI重配等待定时器</t>
  </si>
  <si>
    <t>PCIOptControlTimeout</t>
  </si>
  <si>
    <t>表征PCI重配置等待时间，在PCI自优化阶段，该计时器超时后使用新的PCI</t>
  </si>
  <si>
    <t>InternetGatewayDevice.Services.FAPService.{i}.FAPControl.LTE.SelfConfig.SONConfigParam.CandidateARFCNList</t>
  </si>
  <si>
    <t>Device.Services.FAPService.{i}.FAPControl.LTE.SelfConfig.SONConfigParam.CandidateARFCNList</t>
  </si>
  <si>
    <t>CandidateARFCNList</t>
  </si>
  <si>
    <t>候选频点列表</t>
  </si>
  <si>
    <t>InternetGatewayDevice.Services.FAPService.{i}.FAPControl.LTE.SelfConfig.SONConfigParam.CandidatePCIList</t>
  </si>
  <si>
    <t>Device.Services.FAPService.{i}.FAPControl.LTE.SelfConfig.SONConfigParam.CandidatePCIList</t>
  </si>
  <si>
    <t>CandidatePCIList</t>
  </si>
  <si>
    <t>候选PCI列表</t>
  </si>
  <si>
    <t>PCICfgRange</t>
  </si>
  <si>
    <t>InternetGatewayDevice.Services.FAPService.{i}.FAPControl.LTE.SelfConfig.SONConfigParam.ANREnable</t>
  </si>
  <si>
    <t>Device.Services.FAPService.{i}.FAPControl.LTE.SelfConfig.SONConfigParam.ANREnable</t>
  </si>
  <si>
    <t>ANREnable</t>
  </si>
  <si>
    <t>ANR算法总开关</t>
  </si>
  <si>
    <t>ANROptSwitch</t>
  </si>
  <si>
    <t>(0=false,1=true)，ANR算法总开关</t>
  </si>
  <si>
    <t>InternetGatewayDevice.Services.FAPService.{i}.FAPControl.LTE.SelfConfig.SONConfigParam.ANRInterFeqEnable</t>
  </si>
  <si>
    <t>Device.Services.FAPService.{i}.FAPControl.LTE.SelfConfig.SONConfigParam.ANRInterFeqEnable</t>
  </si>
  <si>
    <t>ANRInterFeqEnable</t>
  </si>
  <si>
    <t>E-UTRAN异频ANR算法开关</t>
  </si>
  <si>
    <t>ANRInterFeqSwitch</t>
  </si>
  <si>
    <t>(0=false,1=true)，E-UTRAN异频ANR算法开关</t>
  </si>
  <si>
    <t>InternetGatewayDevice.Services.FAPService.{i}.FAPControl.LTE.SelfConfig.SONConfigParam.ANRGERANEnable</t>
  </si>
  <si>
    <t>Device.Services.FAPService.{i}.FAPControl.LTE.SelfConfig.SONConfigParam.ANRGERANEnable</t>
  </si>
  <si>
    <t>ANRGERANEnable</t>
  </si>
  <si>
    <t>GERAN异系统ANR算法开关</t>
  </si>
  <si>
    <t>ANRGERANSwitch</t>
  </si>
  <si>
    <t>(0=false,1=true)，GERAN异系统ANR算法开关</t>
  </si>
  <si>
    <t>InternetGatewayDevice.Services.FAPService.{i}.FAPControl.LTE.SelfConfig.SONConfigParam.ANRUTRANEnable</t>
  </si>
  <si>
    <t>Device.Services.FAPService.{i}.FAPControl.LTE.SelfConfig.SONConfigParam.ANRUTRANEnable</t>
  </si>
  <si>
    <t>ANRUTRANEnable</t>
  </si>
  <si>
    <t>UTRAN异系统ANR算法开关</t>
  </si>
  <si>
    <t>ANRUTRANSwitch</t>
  </si>
  <si>
    <t>(0=false,1=true)，UTRAN异系统ANR算法开关</t>
  </si>
  <si>
    <t>InternetGatewayDevice.Services.FAPService.{i}.FAPControl.LTE.SelfConfig.SONConfigParam.ARFCNEnable</t>
  </si>
  <si>
    <t>Device.Services.FAPService.{i}.FAPControl.LTE.SelfConfig.SONConfigParam.ARFCNEnable</t>
  </si>
  <si>
    <t>ARFCNEnable</t>
  </si>
  <si>
    <t>频点自配置算法开关</t>
  </si>
  <si>
    <t>(0=false,1=true)，频点自配置算法开关</t>
  </si>
  <si>
    <t>扩展型一体化皮基站重要性为CB</t>
  </si>
  <si>
    <t>InternetGatewayDevice.Services.FAPService.{i}.FAPControl.LTE.SelfConfig.SONConfigParam.MaxLTENeighbourCellNum</t>
  </si>
  <si>
    <t>Device.Services.FAPService.{i}.FAPControl.LTE.SelfConfig.SONConfigParam.MaxLTENeighbourCellNum</t>
  </si>
  <si>
    <t>MaxLTENeighbourCellNum</t>
  </si>
  <si>
    <t>最大LTE邻区数</t>
  </si>
  <si>
    <t>InternetGatewayDevice.Services.FAPService.{i}.FAPControl.LTE.SelfConfig.SONConfigParam.MaxUTRANNeighbourCellNum</t>
  </si>
  <si>
    <t>Device.Services.FAPService.{i}.FAPControl.LTE.SelfConfig.SONConfigParam.MaxUTRANNeighbourCellNum</t>
  </si>
  <si>
    <t>MaxUTRANNeighbourCellNum</t>
  </si>
  <si>
    <t>最大UTRAN邻区数</t>
  </si>
  <si>
    <t>InternetGatewayDevice.Services.FAPService.{i}.FAPControl.LTE.SelfConfig.SONConfigParam.MaxGRANNeighbourCellNum</t>
  </si>
  <si>
    <t>Device.Services.FAPService.{i}.FAPControl.LTE.SelfConfig.SONConfigParam.MaxGRANNeighbourCellNum</t>
  </si>
  <si>
    <t>MaxGERANNeighbourCellNum</t>
  </si>
  <si>
    <t>最大GERAN邻区数</t>
  </si>
  <si>
    <t>InternetGatewayDevice.Services.FAPService.{i}.FAPControl.LTE.SelfConfig.SONConfigParam.ReSynCellEnable</t>
  </si>
  <si>
    <t>Device.Services.FAPService.{i}.FAPControl.LTE.SelfConfig.SONConfigParam.ReSynCellEnable</t>
  </si>
  <si>
    <t>ReSynCellEnable</t>
  </si>
  <si>
    <t>重新同步小区使能开关</t>
  </si>
  <si>
    <t>(0=false,1=true),手动触发重新同步小区使能开关，取值为true时立即执行小区重新同步流程</t>
  </si>
  <si>
    <t>InternetGatewayDevice.Services.FAPService.{i}.FAPControl.LTE.SelfConfig.SONConfigParam.PowerEnable</t>
  </si>
  <si>
    <t>Device.Services.FAPService.{i}.FAPControl.LTE.SelfConfig.SONConfigParam.PowerEnable</t>
  </si>
  <si>
    <t>PowerEnable</t>
  </si>
  <si>
    <t>功率自配置算法开关</t>
  </si>
  <si>
    <t>(0=false,1=true),基站发射功率自配值算法开关</t>
  </si>
  <si>
    <t>InternetGatewayDevice.Services.FAPService.{i}.FAPControl.LTE.SelfConfig.SONConfigParam.LTESnifferFreqBandList</t>
  </si>
  <si>
    <t>Device.Services.FAPService.{i}.FAPControl.LTE.SelfConfig.SONConfigParam.LTESnifferFreqBandList</t>
  </si>
  <si>
    <t>LTESnifferFreqBandList</t>
  </si>
  <si>
    <t>LTE侦听频段列表</t>
  </si>
  <si>
    <t>LTE侦听频段列表(188000..192000,257000..262000,230000..237000)频段随机组合（LTESnifferFreqBandList和LTESnifferChannelList二选一）</t>
  </si>
  <si>
    <t>InternetGatewayDevice.Services.FAPService.{i}.FAPControl.LTE.SelfConfig.SONConfigParam.LTESnifferChannelList</t>
  </si>
  <si>
    <t>Device.Services.FAPService.{i}.FAPControl.LTE.SelfConfig.SONConfigParam.LTESnifferChannelList</t>
  </si>
  <si>
    <t>LTESnifferChannelList</t>
  </si>
  <si>
    <t>LTE侦听频点列表</t>
  </si>
  <si>
    <t>LTE侦听频点列表（ARFCN格式列表）（LTESnifferFreqBandList和LTESnifferChannelList二选一）</t>
  </si>
  <si>
    <t>InternetGatewayDevice.Services.FAPService.{i}.FAPControl.LTE.SelfConfig.SONConfigParam.GERANSnifferEnable</t>
  </si>
  <si>
    <t>Device.Services.FAPService.{i}.FAPControl.LTE.SelfConfig.SONConfigParam.GERANSnifferEnable</t>
  </si>
  <si>
    <t>GERANSnifferEnable</t>
  </si>
  <si>
    <t>GERAN侦听使能</t>
  </si>
  <si>
    <t>GERAN侦听功能开关,(0=false,1=true)</t>
  </si>
  <si>
    <t>InternetGatewayDevice.Services.FAPService.{i}.FAPControl.LTE.SelfConfig.SONConfigParam.GERANSnifferChannelList</t>
  </si>
  <si>
    <t>Device.Services.FAPService.{i}.FAPControl.LTE.SelfConfig.SONConfigParam.GERANSnifferChannelList</t>
  </si>
  <si>
    <t>GERANSnifferChannelList</t>
  </si>
  <si>
    <t>GERAN侦听频道号列表</t>
  </si>
  <si>
    <t>InternetGatewayDevice.Services.FAPService.{i}.FAPControl.LTE.SelfConfig.SONConfigParam.UTRANSnifferEnable</t>
  </si>
  <si>
    <t>Device.Services.FAPService.{i}.FAPControl.LTE.SelfConfig.SONConfigParam.UTRANSnifferEnable</t>
  </si>
  <si>
    <t>UTRANSnifferEnable</t>
  </si>
  <si>
    <t>UTRAN侦听使能</t>
  </si>
  <si>
    <t>UTRAN侦听功能开关,(0=false,1=true)</t>
  </si>
  <si>
    <t>InternetGatewayDevice.Services.FAPService.{i}.FAPControl.LTE.SelfConfig.SONConfigParam.UTRANSnifferChannelList</t>
  </si>
  <si>
    <t>Device.Services.FAPService.{i}.FAPControl.LTE.SelfConfig.SONConfigParam.UTRANSnifferChannelList</t>
  </si>
  <si>
    <t>UTRANSnifferChannelList</t>
  </si>
  <si>
    <t>UTRAN侦听频道号列表</t>
  </si>
  <si>
    <t>InternetGatewayDevice.Services.FAPService.{i}.FAPControl.LTE.SelfConfig.SONConfigParam.MROEnable</t>
  </si>
  <si>
    <t>Device.Services.FAPService.{i}.FAPControl.LTE.SelfConfig.SONConfigParam.MROEnable</t>
  </si>
  <si>
    <t>MROEnable</t>
  </si>
  <si>
    <t>邻区鲁棒性优化功能开关</t>
  </si>
  <si>
    <t>InternetGatewayDevice.Services.FAPService.{i}.FAPControl.LTE.SelfConfig.SONConfigParam.SHEnable</t>
  </si>
  <si>
    <t>Device.Services.FAPService.{i}.FAPControl.LTE.SelfConfig.SONConfigParam.SHEnable</t>
  </si>
  <si>
    <t>SHEnable</t>
  </si>
  <si>
    <t>自治愈功能开关</t>
  </si>
  <si>
    <t>InternetGatewayDevice.Services.FAPService.{i}.FAPControl.LTE.SelfConfig.SONConfigParam.SyncMode</t>
  </si>
  <si>
    <t>Device.Services.FAPService.{i}.FAPControl.LTE.SelfConfig.SONConfigParam.SyncMode</t>
  </si>
  <si>
    <t>SyncMode</t>
  </si>
  <si>
    <t>时钟同步模式</t>
  </si>
  <si>
    <t>时钟同步模式，取值范围：
GNSS
IEEE1588V2
Sniffer
Freedom</t>
  </si>
  <si>
    <t>InternetGatewayDevice.WANDevice.{i}.WANEthernetInterfaceConfig.UserLabel</t>
  </si>
  <si>
    <t>Device.Ethernet.Interface.{i}.UserLabel</t>
  </si>
  <si>
    <t>AO</t>
  </si>
  <si>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</si>
  <si>
    <t>InternetGatewayDevice.WANDevice.{i}.WANEthernetInterfaceConfig.Enable</t>
  </si>
  <si>
    <t>Device.Ethernet.Interface.{i}.Enable</t>
  </si>
  <si>
    <t>启用或禁用该接</t>
  </si>
  <si>
    <t>AO、AY</t>
  </si>
  <si>
    <t>(0,1)</t>
  </si>
  <si>
    <t>InternetGatewayDevice.WANDevice.{i}.WANEthernetInterfaceConfig.Status</t>
  </si>
  <si>
    <t>Device.Ethernet.Interface.{i}.Status</t>
  </si>
  <si>
    <t>表明接口的状态</t>
  </si>
  <si>
    <t>"Up","NoLink","Error","Disabled"</t>
  </si>
  <si>
    <t>InternetGatewayDevice.WANDevice.{i}.WANEthernetInterfaceConfig.MACAddress</t>
  </si>
  <si>
    <t>Device.Ethernet.Interface.{i}.MACAddress</t>
  </si>
  <si>
    <t>MACAddress</t>
  </si>
  <si>
    <t>接口的物理地址</t>
  </si>
  <si>
    <t>MacAddress</t>
  </si>
  <si>
    <t>string(17)</t>
  </si>
  <si>
    <t>TR系列规范(TR098/TR181)//NRM数据配置要求</t>
  </si>
  <si>
    <t>InternetGatewayDevice.WANDevice.{i}.WANEthernetInterfaceConfig.MaxBitRate</t>
  </si>
  <si>
    <t>Device.Ethernet.Interface.{i}.MaxBitRate</t>
  </si>
  <si>
    <t>MaxBitRate</t>
  </si>
  <si>
    <t>该连接可用的最大速率模式</t>
  </si>
  <si>
    <t>PortRate</t>
  </si>
  <si>
    <t>"10","100","1000","Auto"</t>
  </si>
  <si>
    <t>InternetGatewayDevice.WANDevice.{i}.WANEthernetInterfaceConfig.SignTransMedia</t>
  </si>
  <si>
    <t>Device.Ethernet.Interface.{i}.SignTransMedia</t>
  </si>
  <si>
    <t>SignTransMedia</t>
  </si>
  <si>
    <t>信号传送介质类型</t>
  </si>
  <si>
    <t>InternetGatewayDevice.WANDevice.{i}.WANEthernetInterfaceConfig.DuplexMode</t>
  </si>
  <si>
    <t>Device.Ethernet.Interface.{i}.DuplexMode</t>
  </si>
  <si>
    <t>DuplexMode</t>
  </si>
  <si>
    <t>该连接使用的双工模式</t>
  </si>
  <si>
    <t>"Half","Full","Auto"</t>
  </si>
  <si>
    <t>InternetGatewayDevice.WANDevice.{i}.WANEthernetInterfaceConfig.PortLocation</t>
  </si>
  <si>
    <t>Device.Ethernet.Interface.{i}.PortLocation</t>
  </si>
  <si>
    <t>PortLocation</t>
  </si>
  <si>
    <t>端口位置</t>
  </si>
  <si>
    <t>由MU的实例号、端口号组成，例如，MU实例1的端口3表示为“1+3”</t>
  </si>
  <si>
    <t>InternetGatewayDevice.WANDevice.{i}.WANConnectionDevice.{i}.WANIPConnection.{i}.ExternalIPAddress</t>
  </si>
  <si>
    <t>Device.IP.Interface.{i}.IPv4Address.{i}.IPAddress</t>
  </si>
  <si>
    <t>IPAddress</t>
  </si>
  <si>
    <t>外部IP 地址</t>
  </si>
  <si>
    <t>IpAddressList/LocIpAddrList</t>
  </si>
  <si>
    <t>string(15)</t>
  </si>
  <si>
    <t>InternetGatewayDevice.WANDevice.{i}.WANConnectionDevice.{i}.WANIPConnection.{i}.DefaultGateway</t>
  </si>
  <si>
    <t>Device.IP.Interface.{i}.IPv4Address.{i}.DefaultGateway</t>
  </si>
  <si>
    <t>DefaultGateway</t>
  </si>
  <si>
    <t>WAN 接口的默认网关</t>
  </si>
  <si>
    <t>InternetGatewayDevice.WANDevice.{i}.WANConnectionDevice.{i}.WANIPConnection.{i}.SubnetMask</t>
  </si>
  <si>
    <t>Device.IP.Interface.{i}.IPv4Address.{i}.SubnetMask</t>
  </si>
  <si>
    <t>WAN 接口的子网掩码</t>
  </si>
  <si>
    <t>IpAddressList</t>
  </si>
  <si>
    <t>InternetGatewayDevice.WANDevice.{i}.WANConnectionDevice.{i}.WANIPConnection.{i}.AddressingType</t>
  </si>
  <si>
    <t>Device.IP.Interface.{i}.IPv4Address.{i}.AddressingType</t>
  </si>
  <si>
    <t>AddressingType</t>
  </si>
  <si>
    <t>外部IP 地址方法</t>
  </si>
  <si>
    <t>"DHCP","Static"</t>
  </si>
  <si>
    <t>InternetGatewayDevice.WANDevice.{i}.WANConnectionDevice.{i}.WANIPConnection.{i}.PortType</t>
  </si>
  <si>
    <t>Device.Ethernet.Interface.{i}.PortType</t>
  </si>
  <si>
    <t>PortType</t>
  </si>
  <si>
    <t>端口类型</t>
  </si>
  <si>
    <t>（S1, X2, S1/X2, other）</t>
  </si>
  <si>
    <t>InternetGatewayDevice.IPsec.Enable</t>
  </si>
  <si>
    <t>Device.IPsec.Enable</t>
  </si>
  <si>
    <t>开关</t>
  </si>
  <si>
    <t>AX</t>
  </si>
  <si>
    <t>TR系列规范(TR181)</t>
  </si>
  <si>
    <t>InternetGatewayDevice.IPsec.MyKeyMode</t>
  </si>
  <si>
    <t>Device.IPsec.MyKeyMode</t>
  </si>
  <si>
    <t>MyKeyMode</t>
  </si>
  <si>
    <t>鉴权方式</t>
  </si>
  <si>
    <t>AuthenticationMethod</t>
  </si>
  <si>
    <t>（PSK，SIM，CERT，OTHER）</t>
  </si>
  <si>
    <t>InternetGatewayDevice.IPsec.Status</t>
  </si>
  <si>
    <t>Device.IPsec.Status</t>
  </si>
  <si>
    <t>Disabled
Enabled
Error (OPTIONAL)</t>
  </si>
  <si>
    <t>参考TR系列规范(TR181/TR098)规范修改其读写权限</t>
  </si>
  <si>
    <t>按照修读写权限</t>
  </si>
  <si>
    <t>InternetGatewayDevice.IPsec.AHSupported</t>
  </si>
  <si>
    <t>Device.IPsec.AHSupported</t>
  </si>
  <si>
    <t>AHSupported</t>
  </si>
  <si>
    <t>AH是否支持</t>
  </si>
  <si>
    <t>InternetGatewayDevice.IPsec.IKEv2SupportedEncryptionAlgorithms</t>
  </si>
  <si>
    <t>Device.IPsec.IKEv2SupportedEncryptionAlgorithms</t>
  </si>
  <si>
    <t>IKEv2SupportedEncryptionAlgorithms</t>
  </si>
  <si>
    <t>IKE2加密算法</t>
  </si>
  <si>
    <t>InternetGatewayDevice.IPsec.ESPSupportedEncryptionAlgorithms</t>
  </si>
  <si>
    <t>Device.IPsec.ESPSupportedEncryptionAlgorithms</t>
  </si>
  <si>
    <t>ESPSupportedEncryptionAlgorithms</t>
  </si>
  <si>
    <t>ESP加密算法</t>
  </si>
  <si>
    <t>InternetGatewayDevice.IPsec.IKEv2SupportedPseudoRandomFunctions</t>
  </si>
  <si>
    <t>Device.IPsec.IKEv2SupportedPseudoRandomFunctions</t>
  </si>
  <si>
    <t>IKEv2SupportedPseudoRandomFunctions</t>
  </si>
  <si>
    <t>随机函数</t>
  </si>
  <si>
    <t>InternetGatewayDevice.IPsec.SupportedIntegrityAlgorithms</t>
  </si>
  <si>
    <t>Device.IPsec.SupportedIntegrityAlgorithms</t>
  </si>
  <si>
    <t>SupportedIntegrityAlgorithms</t>
  </si>
  <si>
    <t>完整性算法</t>
  </si>
  <si>
    <t>InternetGatewayDevice.IPsec.SupportedDiffieHellmanGroupTransforms</t>
  </si>
  <si>
    <t>Device.IPsec.SupportedDiffieHellmanGroupTransforms</t>
  </si>
  <si>
    <t>SupportedDiffieHellmanGroupTransforms</t>
  </si>
  <si>
    <t>Diffie-Hellman交换</t>
  </si>
  <si>
    <t>InternetGatewayDevice.Time.Enable</t>
  </si>
  <si>
    <t>Device.Time.Enable</t>
  </si>
  <si>
    <t>NTP使能开关</t>
  </si>
  <si>
    <t>InternetGatewayDevice.Time.NTPServer1</t>
  </si>
  <si>
    <t>Device.Time.NTPServer1</t>
  </si>
  <si>
    <t>NTPServer1</t>
  </si>
  <si>
    <t>NTP服务器1</t>
  </si>
  <si>
    <t>InternetGatewayDevice.Time.NTPServer2</t>
  </si>
  <si>
    <t>Device.Time.NTPServer2</t>
  </si>
  <si>
    <t>NTPServer2</t>
  </si>
  <si>
    <t>NTP服务器2</t>
  </si>
  <si>
    <t>InternetGatewayDevice.Time.NTPServer3</t>
  </si>
  <si>
    <t>Device.Time.NTPServer3</t>
  </si>
  <si>
    <t>NTPServer3</t>
  </si>
  <si>
    <t>NTP服务器3</t>
  </si>
  <si>
    <t>InternetGatewayDevice.Time.NTPServer4</t>
  </si>
  <si>
    <t>Device.Time.NTPServer4</t>
  </si>
  <si>
    <t>NTPServer4</t>
  </si>
  <si>
    <t>NTP服务器4</t>
  </si>
  <si>
    <t>InternetGatewayDevice.Time.NTPServer5</t>
  </si>
  <si>
    <t>Device.Time.NTPServer5</t>
  </si>
  <si>
    <t>NTPServer5</t>
  </si>
  <si>
    <t>NTP服务器5</t>
  </si>
  <si>
    <t>InternetGatewayDevice.Time.CurrentLocalTime</t>
  </si>
  <si>
    <t>Device.Time.CurrentLocalTime</t>
  </si>
  <si>
    <t>CurrentLocalTime</t>
  </si>
  <si>
    <t>本地时间</t>
  </si>
  <si>
    <t>参考TR系列规范(TR181/TR098)规范修改为只读</t>
  </si>
  <si>
    <t>InternetGatewayDevice.Time.LocalTimeZone</t>
  </si>
  <si>
    <t>Device.Time.LocalTimeZone</t>
  </si>
  <si>
    <t>LocalTimeZone</t>
  </si>
  <si>
    <t>本地时区</t>
  </si>
  <si>
    <t>GPS 经纬度信息</t>
  </si>
  <si>
    <t>InternetGatewayDevice.FAP.GPS.LockedLatitude</t>
  </si>
  <si>
    <t>Device.FAP.GPS.LockedLatitude</t>
  </si>
  <si>
    <t>LockedLatitude</t>
  </si>
  <si>
    <t>纬度</t>
  </si>
  <si>
    <t>int[-90000000:90000000]</t>
  </si>
  <si>
    <t>TR系列规范(TR098/TR181/TR262)</t>
  </si>
  <si>
    <t>InternetGatewayDevice.FAP.GPS.LockedLongitude</t>
  </si>
  <si>
    <t>Device.FAP.GPS.LockedLongitude</t>
  </si>
  <si>
    <t>LockedLongitude</t>
  </si>
  <si>
    <t>经度</t>
  </si>
  <si>
    <t>int[-180000000:180000000]</t>
  </si>
  <si>
    <r>
      <rPr>
        <sz val="9"/>
        <rFont val="宋体"/>
        <family val="3"/>
        <charset val="134"/>
        <scheme val="minor"/>
      </rPr>
      <t>InternetGatewayDevice.FAP.GPS.</t>
    </r>
    <r>
      <rPr>
        <sz val="9"/>
        <rFont val="宋体"/>
        <family val="3"/>
        <charset val="134"/>
        <scheme val="minor"/>
      </rPr>
      <t>NumberOfSatellites</t>
    </r>
  </si>
  <si>
    <t>Device.FAP.GPS.NumberOfSatellites</t>
  </si>
  <si>
    <t>NumberOfSatellites</t>
  </si>
  <si>
    <t>星个数</t>
  </si>
  <si>
    <t>北向index</t>
  </si>
  <si>
    <t>InternetGatewayDevice.FAP.MRMgmt.Config.{i}.MrEnable</t>
  </si>
  <si>
    <t>Device.FAP.MRMgmt.Config.{i}.MrEnable</t>
  </si>
  <si>
    <t>MrEnable</t>
  </si>
  <si>
    <t>MR开关</t>
  </si>
  <si>
    <r>
      <rPr>
        <sz val="9"/>
        <rFont val="宋体"/>
        <family val="3"/>
        <charset val="134"/>
      </rPr>
      <t>开启或关闭</t>
    </r>
    <r>
      <rPr>
        <sz val="9"/>
        <rFont val="Times New Roman"/>
        <family val="1"/>
      </rPr>
      <t>NanoCell</t>
    </r>
    <r>
      <rPr>
        <sz val="9"/>
        <rFont val="宋体"/>
        <family val="3"/>
        <charset val="134"/>
      </rPr>
      <t>基站周期性上传</t>
    </r>
    <r>
      <rPr>
        <sz val="9"/>
        <rFont val="Times New Roman"/>
        <family val="1"/>
      </rPr>
      <t>MR</t>
    </r>
    <r>
      <rPr>
        <sz val="9"/>
        <rFont val="宋体"/>
        <family val="3"/>
        <charset val="134"/>
      </rPr>
      <t>数据文件到指定文件服务器的能力，</t>
    </r>
    <r>
      <rPr>
        <sz val="9"/>
        <rFont val="Times New Roman"/>
        <family val="1"/>
      </rPr>
      <t>(0=false,1=true)</t>
    </r>
    <r>
      <rPr>
        <sz val="9"/>
        <rFont val="宋体"/>
        <family val="3"/>
        <charset val="134"/>
      </rPr>
      <t>。</t>
    </r>
  </si>
  <si>
    <t>南向接口规范</t>
  </si>
  <si>
    <t>InternetGatewayDevice.FAP.MRMgmt.Config.{i}.MrUrl</t>
  </si>
  <si>
    <t>Device.FAP.MRMgmt.Config.{i}.MrUrl</t>
  </si>
  <si>
    <t>MrUrl</t>
  </si>
  <si>
    <t>Url地址</t>
  </si>
  <si>
    <t>MRUrl详细说明了目标文件位置。该参数只用于详细描述目标文件位置，不用于指示任何要上载的本地文件的名字和位置。</t>
  </si>
  <si>
    <t>根据《中国移动Nanocell基站设备网络管理南向接口技术规范v1.3.0》修正参数为MrUrl</t>
  </si>
  <si>
    <t>InternetGatewayDevice.FAP.MRMgmt.Config.{i}.MrUsername</t>
  </si>
  <si>
    <t>Device.FAP.MRMgmt.Config.{i}.MrUsername</t>
  </si>
  <si>
    <t>MrUsername</t>
  </si>
  <si>
    <t>用户名</t>
  </si>
  <si>
    <r>
      <rPr>
        <sz val="9"/>
        <rFont val="宋体"/>
        <family val="3"/>
        <charset val="134"/>
      </rPr>
      <t>用户名用于</t>
    </r>
    <r>
      <rPr>
        <sz val="9"/>
        <rFont val="Times New Roman"/>
        <family val="1"/>
      </rPr>
      <t>NanoCell</t>
    </r>
    <r>
      <rPr>
        <sz val="9"/>
        <rFont val="宋体"/>
        <family val="3"/>
        <charset val="134"/>
      </rPr>
      <t>基站到文件服务器的鉴权，如果不需要鉴权，此字符串为空</t>
    </r>
  </si>
  <si>
    <t>InternetGatewayDevice.FAP.MRMgmt.Config.{i}.MrPassword</t>
  </si>
  <si>
    <t>Device.FAP.MRMgmt.Config.{i}.MrPassword</t>
  </si>
  <si>
    <t>MrPassword</t>
  </si>
  <si>
    <t>密码</t>
  </si>
  <si>
    <r>
      <rPr>
        <sz val="9"/>
        <rFont val="宋体"/>
        <family val="3"/>
        <charset val="134"/>
      </rPr>
      <t>密码用于</t>
    </r>
    <r>
      <rPr>
        <sz val="9"/>
        <rFont val="Times New Roman"/>
        <family val="1"/>
      </rPr>
      <t xml:space="preserve"> NanoCell</t>
    </r>
    <r>
      <rPr>
        <sz val="9"/>
        <rFont val="宋体"/>
        <family val="3"/>
        <charset val="134"/>
      </rPr>
      <t>基站到文件服务器的鉴权，如果不需要鉴权，此字符串为空当为读时，该参数返回一个空字符串，而不是一个实际的值。</t>
    </r>
  </si>
  <si>
    <t>InternetGatewayDevice.FAP.MRMgmt.Config.{i}.MeasureType</t>
  </si>
  <si>
    <t>Device.FAP.MRMgmt.Config.{i}.MeasureType</t>
  </si>
  <si>
    <t>MeasureType</t>
  </si>
  <si>
    <t>MR文件类型</t>
  </si>
  <si>
    <r>
      <rPr>
        <sz val="9"/>
        <rFont val="Times New Roman"/>
        <family val="1"/>
      </rPr>
      <t>MR</t>
    </r>
    <r>
      <rPr>
        <sz val="9"/>
        <rFont val="宋体"/>
        <family val="3"/>
        <charset val="134"/>
      </rPr>
      <t>文件类型，可以选择一种或多种，如开启多种测量类型，需要</t>
    </r>
    <r>
      <rPr>
        <sz val="9"/>
        <rFont val="Times New Roman"/>
        <family val="1"/>
      </rPr>
      <t>“,”</t>
    </r>
    <r>
      <rPr>
        <sz val="9"/>
        <rFont val="宋体"/>
        <family val="3"/>
        <charset val="134"/>
      </rPr>
      <t>进行分隔（</t>
    </r>
    <r>
      <rPr>
        <sz val="9"/>
        <rFont val="Times New Roman"/>
        <family val="1"/>
      </rPr>
      <t>{MRO,MRE,MRS}</t>
    </r>
    <r>
      <rPr>
        <sz val="9"/>
        <rFont val="宋体"/>
        <family val="3"/>
        <charset val="134"/>
      </rPr>
      <t>）。</t>
    </r>
    <r>
      <rPr>
        <sz val="9"/>
        <rFont val="Times New Roman"/>
        <family val="1"/>
      </rPr>
      <t xml:space="preserve"> </t>
    </r>
  </si>
  <si>
    <t>InternetGatewayDevice.FAP.MRMgmt.Config.{i}.OmcName</t>
  </si>
  <si>
    <t>Device.FAP.MRMgmt.Config.{i}.OmcName</t>
  </si>
  <si>
    <t>OmcName</t>
  </si>
  <si>
    <t>OMC-R名称</t>
  </si>
  <si>
    <r>
      <rPr>
        <sz val="9"/>
        <color rgb="FFFF0000"/>
        <rFont val="Times New Roman"/>
        <family val="1"/>
      </rPr>
      <t>OMC-R</t>
    </r>
    <r>
      <rPr>
        <sz val="9"/>
        <color rgb="FFFF0000"/>
        <rFont val="宋体"/>
        <family val="3"/>
        <charset val="134"/>
      </rPr>
      <t>名称，用与基站生成的</t>
    </r>
    <r>
      <rPr>
        <sz val="9"/>
        <color rgb="FFFF0000"/>
        <rFont val="Times New Roman"/>
        <family val="1"/>
      </rPr>
      <t>MR</t>
    </r>
    <r>
      <rPr>
        <sz val="9"/>
        <color rgb="FFFF0000"/>
        <rFont val="宋体"/>
        <family val="3"/>
        <charset val="134"/>
      </rPr>
      <t>文件命名</t>
    </r>
  </si>
  <si>
    <t>根据《中国移动Nanocell基站设备网络管理南向接口技术规范v1.3.0》修正参数为OmcName</t>
  </si>
  <si>
    <t>InternetGatewayDevice.FAP.MRMgmt.Config.{i}.SamplePeriod</t>
  </si>
  <si>
    <t>Device.FAP.MRMgmt.Config.{i}.SamplePeriod</t>
  </si>
  <si>
    <t>SamplePeriod</t>
  </si>
  <si>
    <t>MR采样周期</t>
  </si>
  <si>
    <r>
      <rPr>
        <sz val="9"/>
        <rFont val="Times New Roman"/>
        <family val="1"/>
      </rPr>
      <t>MR</t>
    </r>
    <r>
      <rPr>
        <sz val="9"/>
        <rFont val="宋体"/>
        <family val="3"/>
        <charset val="134"/>
      </rPr>
      <t>采样周期（</t>
    </r>
    <r>
      <rPr>
        <sz val="9"/>
        <rFont val="Times New Roman"/>
        <family val="1"/>
      </rPr>
      <t>[2048,5120,10240,60000,360000,720000,1800000,3600000],(</t>
    </r>
    <r>
      <rPr>
        <sz val="9"/>
        <rFont val="宋体"/>
        <family val="3"/>
        <charset val="134"/>
      </rPr>
      <t>单位毫秒</t>
    </r>
    <r>
      <rPr>
        <sz val="9"/>
        <rFont val="Times New Roman"/>
        <family val="1"/>
      </rPr>
      <t>)</t>
    </r>
  </si>
  <si>
    <t>InternetGatewayDevice.FAP.MRMgmt.Config.{i}.UploadPeriod</t>
  </si>
  <si>
    <t>Device.FAP.MRMgmt.Config.{i}.UploadPeriod</t>
  </si>
  <si>
    <t>UploadPeriod</t>
  </si>
  <si>
    <t>MR采集周期</t>
  </si>
  <si>
    <r>
      <rPr>
        <sz val="9"/>
        <rFont val="Times New Roman"/>
        <family val="1"/>
      </rPr>
      <t>MR</t>
    </r>
    <r>
      <rPr>
        <sz val="9"/>
        <rFont val="宋体"/>
        <family val="3"/>
        <charset val="134"/>
      </rPr>
      <t>采集周期</t>
    </r>
    <r>
      <rPr>
        <sz val="9"/>
        <rFont val="Times New Roman"/>
        <family val="1"/>
      </rPr>
      <t>[1:] (1</t>
    </r>
    <r>
      <rPr>
        <sz val="9"/>
        <rFont val="宋体"/>
        <family val="3"/>
        <charset val="134"/>
      </rPr>
      <t>及</t>
    </r>
    <r>
      <rPr>
        <sz val="9"/>
        <rFont val="Times New Roman"/>
        <family val="1"/>
      </rPr>
      <t>1</t>
    </r>
    <r>
      <rPr>
        <sz val="9"/>
        <rFont val="宋体"/>
        <family val="3"/>
        <charset val="134"/>
      </rPr>
      <t>的倍数，</t>
    </r>
    <r>
      <rPr>
        <sz val="9"/>
        <color rgb="FFFF0000"/>
        <rFont val="宋体"/>
        <family val="3"/>
        <charset val="134"/>
      </rPr>
      <t>单位分钟</t>
    </r>
    <r>
      <rPr>
        <sz val="9"/>
        <color rgb="FFFF0000"/>
        <rFont val="Times New Roman"/>
        <family val="1"/>
      </rPr>
      <t>)</t>
    </r>
  </si>
  <si>
    <t>InternetGatewayDevice.FAP.MRMgmt.Config.{i}.SampleBeginTime</t>
  </si>
  <si>
    <t>Device.FAP.MRMgmt.Config.{i}.SampleBeginTime</t>
  </si>
  <si>
    <t>SampleBeginTime</t>
  </si>
  <si>
    <t>绝对时间参考</t>
  </si>
  <si>
    <r>
      <rPr>
        <sz val="9"/>
        <rFont val="宋体"/>
        <family val="3"/>
        <charset val="134"/>
      </rPr>
      <t>是</t>
    </r>
    <r>
      <rPr>
        <sz val="9"/>
        <rFont val="Times New Roman"/>
        <family val="1"/>
      </rPr>
      <t>UTC</t>
    </r>
    <r>
      <rPr>
        <sz val="9"/>
        <rFont val="宋体"/>
        <family val="3"/>
        <charset val="134"/>
      </rPr>
      <t>中的一个绝对时间参考，用于决定</t>
    </r>
    <r>
      <rPr>
        <sz val="9"/>
        <rFont val="Times New Roman"/>
        <family val="1"/>
      </rPr>
      <t>NanoCell</t>
    </r>
    <r>
      <rPr>
        <sz val="9"/>
        <rFont val="宋体"/>
        <family val="3"/>
        <charset val="134"/>
      </rPr>
      <t>基站何时开始测量任务，当任务开始后，将周期文件上载</t>
    </r>
    <r>
      <rPr>
        <sz val="9"/>
        <rFont val="Times New Roman"/>
        <family val="1"/>
      </rPr>
      <t>;</t>
    </r>
    <r>
      <rPr>
        <sz val="9"/>
        <rFont val="宋体"/>
        <family val="3"/>
        <charset val="134"/>
      </rPr>
      <t>参考时间，或未知的时间，值定义为</t>
    </r>
    <r>
      <rPr>
        <sz val="9"/>
        <rFont val="Times New Roman"/>
        <family val="1"/>
      </rPr>
      <t>0001-01-01T00:00:00Z</t>
    </r>
    <r>
      <rPr>
        <sz val="9"/>
        <rFont val="宋体"/>
        <family val="3"/>
        <charset val="134"/>
      </rPr>
      <t>，表明没有指定精确的时间参考。</t>
    </r>
  </si>
  <si>
    <t>InternetGatewayDevice.FAP.MRMgmt.Config.{i}.SampleEndTime</t>
  </si>
  <si>
    <t>Device.FAP.MRMgmt.Config.{i}.SampleEndTime</t>
  </si>
  <si>
    <t>SampleEndTime</t>
  </si>
  <si>
    <r>
      <rPr>
        <sz val="9"/>
        <rFont val="宋体"/>
        <family val="3"/>
        <charset val="134"/>
      </rPr>
      <t>是</t>
    </r>
    <r>
      <rPr>
        <sz val="9"/>
        <rFont val="Times New Roman"/>
        <family val="1"/>
      </rPr>
      <t>UTC</t>
    </r>
    <r>
      <rPr>
        <sz val="9"/>
        <rFont val="宋体"/>
        <family val="3"/>
        <charset val="134"/>
      </rPr>
      <t>中的一个绝对时间参考，用于决定</t>
    </r>
    <r>
      <rPr>
        <sz val="9"/>
        <rFont val="Times New Roman"/>
        <family val="1"/>
      </rPr>
      <t>NanoCell</t>
    </r>
    <r>
      <rPr>
        <sz val="9"/>
        <rFont val="宋体"/>
        <family val="3"/>
        <charset val="134"/>
      </rPr>
      <t>基站何时结束测量任务，当结束后将不再上载</t>
    </r>
    <r>
      <rPr>
        <sz val="9"/>
        <rFont val="Times New Roman"/>
        <family val="1"/>
      </rPr>
      <t>MR</t>
    </r>
    <r>
      <rPr>
        <sz val="9"/>
        <rFont val="宋体"/>
        <family val="3"/>
        <charset val="134"/>
      </rPr>
      <t>文件</t>
    </r>
    <r>
      <rPr>
        <sz val="9"/>
        <rFont val="Times New Roman"/>
        <family val="1"/>
      </rPr>
      <t>;</t>
    </r>
    <r>
      <rPr>
        <sz val="9"/>
        <rFont val="宋体"/>
        <family val="3"/>
        <charset val="134"/>
      </rPr>
      <t>参考时间，或未知的时间，值定义为</t>
    </r>
    <r>
      <rPr>
        <sz val="9"/>
        <rFont val="Times New Roman"/>
        <family val="1"/>
      </rPr>
      <t>0001-01-01T00:00:00Z</t>
    </r>
    <r>
      <rPr>
        <sz val="9"/>
        <rFont val="宋体"/>
        <family val="3"/>
        <charset val="134"/>
      </rPr>
      <t>，表明没有指定精确的时间参考。</t>
    </r>
  </si>
  <si>
    <t>InternetGatewayDevice.FAP.MRMgmt.Config.{i}.PrbNum</t>
  </si>
  <si>
    <t>Device.FAP.MRMgmt.Config.{i}.PrbNum</t>
  </si>
  <si>
    <t>PrbNum</t>
  </si>
  <si>
    <t>子帧的PRB</t>
  </si>
  <si>
    <r>
      <rPr>
        <sz val="9"/>
        <rFont val="宋体"/>
        <family val="3"/>
        <charset val="134"/>
      </rPr>
      <t>需要开启接收干扰功率测量的上行子帧的</t>
    </r>
    <r>
      <rPr>
        <sz val="9"/>
        <rFont val="Times New Roman"/>
        <family val="1"/>
      </rPr>
      <t>PRB</t>
    </r>
    <r>
      <rPr>
        <sz val="9"/>
        <rFont val="宋体"/>
        <family val="3"/>
        <charset val="134"/>
      </rPr>
      <t>索引。可以选择</t>
    </r>
    <r>
      <rPr>
        <sz val="9"/>
        <rFont val="Times New Roman"/>
        <family val="1"/>
      </rPr>
      <t>100</t>
    </r>
    <r>
      <rPr>
        <sz val="9"/>
        <rFont val="宋体"/>
        <family val="3"/>
        <charset val="134"/>
      </rPr>
      <t>个</t>
    </r>
    <r>
      <rPr>
        <sz val="9"/>
        <rFont val="Times New Roman"/>
        <family val="1"/>
      </rPr>
      <t>PRB</t>
    </r>
    <r>
      <rPr>
        <sz val="9"/>
        <rFont val="宋体"/>
        <family val="3"/>
        <charset val="134"/>
      </rPr>
      <t>中的任意多个，例如</t>
    </r>
    <r>
      <rPr>
        <sz val="9"/>
        <rFont val="Times New Roman"/>
        <family val="1"/>
      </rPr>
      <t>{0..7,50,99}</t>
    </r>
    <r>
      <rPr>
        <sz val="9"/>
        <rFont val="宋体"/>
        <family val="3"/>
        <charset val="134"/>
      </rPr>
      <t>表示选择</t>
    </r>
    <r>
      <rPr>
        <sz val="9"/>
        <rFont val="Times New Roman"/>
        <family val="1"/>
      </rPr>
      <t>0</t>
    </r>
    <r>
      <rPr>
        <sz val="9"/>
        <rFont val="宋体"/>
        <family val="3"/>
        <charset val="134"/>
      </rPr>
      <t>号到</t>
    </r>
    <r>
      <rPr>
        <sz val="9"/>
        <rFont val="Times New Roman"/>
        <family val="1"/>
      </rPr>
      <t>7</t>
    </r>
    <r>
      <rPr>
        <sz val="9"/>
        <rFont val="宋体"/>
        <family val="3"/>
        <charset val="134"/>
      </rPr>
      <t>号，</t>
    </r>
    <r>
      <rPr>
        <sz val="9"/>
        <rFont val="Times New Roman"/>
        <family val="1"/>
      </rPr>
      <t>50</t>
    </r>
    <r>
      <rPr>
        <sz val="9"/>
        <rFont val="宋体"/>
        <family val="3"/>
        <charset val="134"/>
      </rPr>
      <t>号及</t>
    </r>
    <r>
      <rPr>
        <sz val="9"/>
        <rFont val="Times New Roman"/>
        <family val="1"/>
      </rPr>
      <t>99</t>
    </r>
    <r>
      <rPr>
        <sz val="9"/>
        <rFont val="宋体"/>
        <family val="3"/>
        <charset val="134"/>
      </rPr>
      <t>号共</t>
    </r>
    <r>
      <rPr>
        <sz val="9"/>
        <rFont val="Times New Roman"/>
        <family val="1"/>
      </rPr>
      <t>10</t>
    </r>
    <r>
      <rPr>
        <sz val="9"/>
        <rFont val="宋体"/>
        <family val="3"/>
        <charset val="134"/>
      </rPr>
      <t>个位置上的</t>
    </r>
    <r>
      <rPr>
        <sz val="9"/>
        <rFont val="Times New Roman"/>
        <family val="1"/>
      </rPr>
      <t>PRB</t>
    </r>
    <r>
      <rPr>
        <sz val="9"/>
        <rFont val="宋体"/>
        <family val="3"/>
        <charset val="134"/>
      </rPr>
      <t>，其中</t>
    </r>
    <r>
      <rPr>
        <sz val="9"/>
        <rFont val="Times New Roman"/>
        <family val="1"/>
      </rPr>
      <t>”..”</t>
    </r>
    <r>
      <rPr>
        <sz val="9"/>
        <rFont val="宋体"/>
        <family val="3"/>
        <charset val="134"/>
      </rPr>
      <t>表示连续区间，</t>
    </r>
    <r>
      <rPr>
        <sz val="9"/>
        <rFont val="Times New Roman"/>
        <family val="1"/>
      </rPr>
      <t>“,”</t>
    </r>
    <r>
      <rPr>
        <sz val="9"/>
        <rFont val="宋体"/>
        <family val="3"/>
        <charset val="134"/>
      </rPr>
      <t>表示分隔</t>
    </r>
    <r>
      <rPr>
        <sz val="9"/>
        <rFont val="Times New Roman"/>
        <family val="1"/>
      </rPr>
      <t>;{0,1,2,…99 }</t>
    </r>
  </si>
  <si>
    <t>InternetGatewayDevice.FAP.MRMgmt.Config.{i}.SubFrameNum</t>
  </si>
  <si>
    <t>Device.FAP.MRMgmt.Config.{i}.SubFrameNum</t>
  </si>
  <si>
    <t>SubFrameNum</t>
  </si>
  <si>
    <t>子帧数</t>
  </si>
  <si>
    <r>
      <rPr>
        <sz val="9"/>
        <rFont val="宋体"/>
        <family val="3"/>
        <charset val="134"/>
      </rPr>
      <t>需要开启接收干扰功率测量的上行子帧。如选择多个，需要用</t>
    </r>
    <r>
      <rPr>
        <sz val="9"/>
        <rFont val="Times New Roman"/>
        <family val="1"/>
      </rPr>
      <t>“,”</t>
    </r>
    <r>
      <rPr>
        <sz val="9"/>
        <rFont val="宋体"/>
        <family val="3"/>
        <charset val="134"/>
      </rPr>
      <t>进行分隔；</t>
    </r>
    <r>
      <rPr>
        <sz val="9"/>
        <rFont val="Times New Roman"/>
        <family val="1"/>
      </rPr>
      <t>{2,3,4,7,8,9}</t>
    </r>
  </si>
  <si>
    <t>MR小区列表</t>
  </si>
  <si>
    <t>InternetGatewayDevice.FAP.MRMgmt.Config.{i}.MeasureItems</t>
  </si>
  <si>
    <t>Device.FAP.MRMgmt.Config.{i}.MeasureItems</t>
  </si>
  <si>
    <t>MeasureItems</t>
  </si>
  <si>
    <t>测量项</t>
  </si>
  <si>
    <t>all代表所有测量项都采集，取值范围"MR.RSRP,MR.RSRQ,MR.ReceivedIPower,MR.PowerHeadRoom,MR.SinrUL,MR.RIPPRB,MR.RsrpRsrq,MR.RipRsrp,MR.RipRsrq,MR.SinrULRip,MR.LteScRSRP,MR.LteNcRSRP,MR.LteScRSRQ,MR.LteNcRSRQ,MR.LteScPHR,MR.LteScRIP,MR.LteScSinrUL,MR.LteScEarfcn,MR.LteScPci,MR.LteNcEarfcn,MR.LteNcPci,MR.GsmNcellBcch,MR.GsmNcellCarrierRSSI,MR.GsmNcellNcc,MR.GsmNcellBcc"，多个测量项用","隔开</t>
  </si>
  <si>
    <t>根据《LTE数字蜂窝移动通信网无线操作维护中心（OMC-R）测量报告技术要求-扩展型皮基站分册-V2.1.0》</t>
  </si>
  <si>
    <t>北向PM参数映射</t>
  </si>
  <si>
    <t xml:space="preserve">InternetGatewayDevice.FAP.PerfMgmt.Config.{i}.Enable </t>
  </si>
  <si>
    <t xml:space="preserve">Device.FAP.PerfMgmt.Config.{i}.Enable </t>
  </si>
  <si>
    <t xml:space="preserve">Enable </t>
  </si>
  <si>
    <t>文件周期上传使能开关</t>
  </si>
  <si>
    <t>InternetGatewayDevice.FAP.PerfMgmt.Config.{i}.Alias</t>
  </si>
  <si>
    <t>Device.FAP.PerfMgmt.Config.{i}.Alias</t>
  </si>
  <si>
    <t>Alias</t>
  </si>
  <si>
    <t>别名</t>
  </si>
  <si>
    <t>HeMS用于识别实例</t>
  </si>
  <si>
    <t xml:space="preserve">InternetGatewayDevice.FAP.PerfMgmt.Config.{i}.URL </t>
  </si>
  <si>
    <t xml:space="preserve">Device.FAP.PerfMgmt.Config.{i}.URL </t>
  </si>
  <si>
    <t>文件管理URL</t>
  </si>
  <si>
    <t xml:space="preserve">InternetGatewayDevice.FAP.PerfMgmt.Config.{i}.Username </t>
  </si>
  <si>
    <t xml:space="preserve">Device.FAP.PerfMgmt.Config.{i}.Username </t>
  </si>
  <si>
    <t xml:space="preserve">Username </t>
  </si>
  <si>
    <t>文件管理用户名</t>
  </si>
  <si>
    <t xml:space="preserve">InternetGatewayDevice.FAP.PerfMgmt.Config.{i}.Password </t>
  </si>
  <si>
    <t xml:space="preserve">Device.FAP.PerfMgmt.Config.{i}.Password </t>
  </si>
  <si>
    <t xml:space="preserve">Password </t>
  </si>
  <si>
    <t>文件管理密码</t>
  </si>
  <si>
    <t xml:space="preserve">InternetGatewayDevice.FAP.PerfMgmt.Config.{i}.PeriodicUploadInterval </t>
  </si>
  <si>
    <t xml:space="preserve">Device.FAP.PerfMgmt.Config.{i}.PeriodicUploadInterval </t>
  </si>
  <si>
    <t xml:space="preserve">PeriodicUploadInterval </t>
  </si>
  <si>
    <t>文件周期上传时间间隔</t>
  </si>
  <si>
    <t>(300,600,900,1800,3600)</t>
  </si>
  <si>
    <t>InternetGatewayDevice.FAP.PerfMgmt.Config.{i}.PeriodicUploadTime</t>
  </si>
  <si>
    <t>Device.FAP.PerfMgmt.Config.{i}.PeriodicUploadTime</t>
  </si>
  <si>
    <t>文件上传时间</t>
  </si>
  <si>
    <t>yyyy-mm-ddThh:mm:ss</t>
  </si>
  <si>
    <t>性能补采参数管理</t>
  </si>
  <si>
    <t>InternetGatewayDevice.FAP.PerfMgmt.Config.{i}.ReplenishEnable</t>
  </si>
  <si>
    <t>Device.FAP.PerfMgmt.Config.{i}.ReplenishEnable</t>
  </si>
  <si>
    <t>ReplenishEnable</t>
  </si>
  <si>
    <t>补采开关</t>
  </si>
  <si>
    <t>(0=false,1=true),若该开关置为true，则设备按照补采开始时间和结束时间进行性能文件重新上报操作。
当重新上报完成之后，该开关置为false</t>
  </si>
  <si>
    <t>InternetGatewayDevice.FAP.PerfMgmt.Config.{i}.ReplenishStartTime</t>
  </si>
  <si>
    <t>Device.FAP.PerfMgmt.Config.{i}.ReplenishStartTime</t>
  </si>
  <si>
    <t>ReplenishStartTime</t>
  </si>
  <si>
    <t>补采开始时间</t>
  </si>
  <si>
    <t>本参数指定需要重新上传的性能数据文件的开始采集时间。举例说明：若OMC发现2021-05-01 10:15:00至2021-05-01 10:45:00的性能文件缺失，当前处于+8时区，该参数取值为：“2021-05-01T02:15:00Z”</t>
  </si>
  <si>
    <t>InternetGatewayDevice.FAP.PerfMgmt.Config.{i}.ReplenishEndTime</t>
  </si>
  <si>
    <t>Device.FAP.PerfMgmt.Config.{i}.ReplenishEndTime</t>
  </si>
  <si>
    <t>ReplenishEndTime</t>
  </si>
  <si>
    <t>补采结束时间</t>
  </si>
  <si>
    <r>
      <rPr>
        <sz val="9"/>
        <rFont val="宋体"/>
        <family val="3"/>
        <charset val="134"/>
        <scheme val="minor"/>
      </rPr>
      <t>本参数指定需要重新上传的性能数据文件的结束采集时间。举例说明：若</t>
    </r>
    <r>
      <rPr>
        <sz val="9"/>
        <color indexed="8"/>
        <rFont val="宋体"/>
        <family val="3"/>
        <charset val="134"/>
      </rPr>
      <t>OMC发现</t>
    </r>
    <r>
      <rPr>
        <sz val="9"/>
        <color indexed="8"/>
        <rFont val="Times New Roman"/>
        <family val="1"/>
      </rPr>
      <t>2021-05-01 10:15:00</t>
    </r>
    <r>
      <rPr>
        <sz val="9"/>
        <color indexed="8"/>
        <rFont val="宋体"/>
        <family val="3"/>
        <charset val="134"/>
      </rPr>
      <t>至2021-05-01 10:45:00的性能文件缺失，当前处于</t>
    </r>
    <r>
      <rPr>
        <sz val="9"/>
        <color indexed="8"/>
        <rFont val="Times New Roman"/>
        <family val="1"/>
      </rPr>
      <t>+8</t>
    </r>
    <r>
      <rPr>
        <sz val="9"/>
        <color indexed="8"/>
        <rFont val="宋体"/>
        <family val="3"/>
        <charset val="134"/>
      </rPr>
      <t xml:space="preserve">时区，该参数取值为：“2021-05-01T02:45:00Z” </t>
    </r>
  </si>
  <si>
    <t>备注：</t>
  </si>
  <si>
    <r>
      <rPr>
        <sz val="9"/>
        <rFont val="宋体"/>
        <family val="3"/>
        <charset val="134"/>
        <scheme val="minor"/>
      </rPr>
      <t xml:space="preserve">1. 根据《中国移动一体化皮基站/扩展型一体化皮基站网络管理南向接口技术规范》7.5.3.1节要求：“基站设备将性能数据以文件的形式定期上传到HeMS上（通过HTTP/HTTPS），当相应的性能数据文件准备好后，HeMS可随时进行解析和计算。”，“性能文件的采集粒度遵循《NanoCell eNB网元统计数据需求规范-PM(V2.9.0)》的要求。”
2. 建议网管南向接口具体性能测量参数的数据模型与《NanoCell eNB网元统计数据需求规范-PM(V2.9.0)》中规定的北向接口性能测量参数数据模型保持一致；
3. 建议南向接口性能测量参数优先级和北向接口保持一致；
</t>
    </r>
    <r>
      <rPr>
        <sz val="9"/>
        <color rgb="FF0070C0"/>
        <rFont val="宋体"/>
        <family val="3"/>
        <charset val="134"/>
        <scheme val="minor"/>
      </rPr>
      <t>4. 网管南向接口性能文件格式（xml）遵循3GPP TS32.435，由网管设备完成南向接口和北向接口性能文件格式的转换。</t>
    </r>
  </si>
  <si>
    <t>扩展型一体化皮站-主单元（MU）参数管理</t>
  </si>
  <si>
    <t>InternetGatewayDevice.Services.FAPService.{i}.FAPControl.LTE.SourcedSignalEnable</t>
  </si>
  <si>
    <t>Device.Services.FAPService.{i}.FAPControl.LTE.SourcedSignalEnable</t>
  </si>
  <si>
    <t>SourcedSignalEnable</t>
  </si>
  <si>
    <t>信源使能开关</t>
  </si>
  <si>
    <t>扩展型一体化皮基站主单元信源信号使能开关，关闭时主单元及与该主单元连接的全部远端单元无信源信号
0：关闭
1：开启</t>
  </si>
  <si>
    <t>InternetGatewayDevice.Services.FAPService.{i}.FAPControl.LTE.RUHOControlEnable</t>
  </si>
  <si>
    <t>Device.Services.FAPService.{i}.FAPControl.LTE.RUHOControlEnable</t>
  </si>
  <si>
    <t>RUHOControlEnable</t>
  </si>
  <si>
    <t>基于远端单元的切换控制使能开关</t>
  </si>
  <si>
    <t>共小区接入时，主机上配置分别控制每个远端单元覆盖区域内接入终端的允许切换目标邻区列表是否生效
0:无效（终端统一根据主机单元配置邻区列表切换）
1:生效（终端根据所接入远端单元对应配置的允许切换目标邻区ECI切换）</t>
  </si>
  <si>
    <t>扩展型一体化皮站-扩展单元（EU）参数管理</t>
  </si>
  <si>
    <t>InternetGatewayDevice.DeviceInfo.EU.{i}.RouteIndex</t>
  </si>
  <si>
    <t>Device.DeviceInfo.EU.{i}.RouteIndex</t>
  </si>
  <si>
    <t>RouteIndex</t>
  </si>
  <si>
    <t>扩展单元路由指示</t>
  </si>
  <si>
    <t xml:space="preserve">1.扩展型一体化皮基站主机单元与各扩展单元和远端单元可采用树状组网方式（包含菊花链、星形等）：主机单元为根节点，扩展单元为树枝节点，远端单元为叶节点；
2.本参数指示从主机单元到扩展单元EU.{i}的路由路径，并与每个扩展单元的唯一标识对应，通过本参数和EU.{i}.RU.{i}可呈现整个组网拓扑结构及各单元所处位置；
3.RouteIndex取值规则从左至右根据从主机单元到扩展单元EU.{i}的路由使用的各级设备端口号逐级取值，每级之间以下划线“_”分割，直至到达本节点EU.{i}。例如：“EU.{i}.RouteIndex = 2_1_5_4”代表该路由起始于主机单元（第零级）的端口2，经过第一级扩展单元端口1，第二级扩展单元端口5，第三级扩展单元端口4路由到本扩展单元EU.{i}；
4.通过RouteIndex取值中数值个数还能体现本扩展单元EU.{i}所处级数，例如“EU.{i}.RouteIndex = 2_1_5_4”说明该扩展单元EU.{i}位于第四级（主机单元为第零级）。 </t>
  </si>
  <si>
    <t>InternetGatewayDevice.DeviceInfo.EU.{i}.ModelName</t>
  </si>
  <si>
    <t>Device.DeviceInfo.EU.{i}.ModelName</t>
  </si>
  <si>
    <t>InternetGatewayDevice.DeviceInfo.EU.{i}.SerialNumber</t>
  </si>
  <si>
    <t>Device.DeviceInfo.EU.{i}.SerialNumber</t>
  </si>
  <si>
    <t>InternetGatewayDevice.DeviceInfo.EU.{i}.HardwareVersion</t>
  </si>
  <si>
    <t>Device.DeviceInfo.EU.{i}.HardwareVersion</t>
  </si>
  <si>
    <t>InternetGatewayDevice.DeviceInfo.EU.{i}.SoftwareVersion</t>
  </si>
  <si>
    <t>Device.DeviceInfo.EU.{i}.SoftwareVersion</t>
  </si>
  <si>
    <t>InternetGatewayDevice.DeviceInfo.EU.{i}.Status</t>
  </si>
  <si>
    <t>Device.DeviceInfo.EU.{i}.Status</t>
  </si>
  <si>
    <t>1:正常
2:离线
3:告警
4:升级中</t>
  </si>
  <si>
    <t>InternetGatewayDevice.DeviceInfo.EU.{i}.Reboot</t>
  </si>
  <si>
    <t>Device.DeviceInfo.EU.{i}.Reboot</t>
  </si>
  <si>
    <t>Reboot</t>
  </si>
  <si>
    <t>重启开关</t>
  </si>
  <si>
    <t>0:不重启
1:重启</t>
  </si>
  <si>
    <t>InternetGatewayDevice.DeviceInfo.EU.{i}.DLCRCSum</t>
  </si>
  <si>
    <t>Device.DeviceInfo.EU.{i}.DLCRCSum</t>
  </si>
  <si>
    <t>DLCRCSum</t>
  </si>
  <si>
    <t>扩展单元下行误码率</t>
  </si>
  <si>
    <t>若上一级是主机单元，则是扩展单元与主机单元下行误码率；
若上一级是扩展单元，则是扩展单元与扩展单元下行误码率；
下行误码率都由本级扩展单元统计。</t>
  </si>
  <si>
    <t>InternetGatewayDevice.DeviceInfo.EU.{i}.ULCRCSum</t>
  </si>
  <si>
    <t>Device.DeviceInfo.EU.{i}.ULCRCSum</t>
  </si>
  <si>
    <t>ULCRCSum</t>
  </si>
  <si>
    <t>扩展单元上行误码率</t>
  </si>
  <si>
    <t>若上一级是主机单元，则是扩展单元与主机单元上行误码率，由主机单元统计；
若上一级是扩展单元，则是扩展单元与扩展单元上行误码率，由上一级扩展单元统计。</t>
  </si>
  <si>
    <t>InternetGatewayDevice.DeviceInfo.EU.{i}.SwUpgrade.Stage</t>
  </si>
  <si>
    <t>Device.DeviceInfo.EU.{i}.SwUpgrade.Stage</t>
  </si>
  <si>
    <t>InternetGatewayDevice.DeviceInfo.EU.{i}.SwUpgrade.Status</t>
  </si>
  <si>
    <t>Device.DeviceInfo.EU.{i}.SwUpgrade.Status</t>
  </si>
  <si>
    <t>InternetGatewayDevice.DeviceInfo.EU.{i}.SwUpgrade.FailureCause</t>
  </si>
  <si>
    <t>Device.DeviceInfo.EU.{i}.SwUpgrade.FailureCause</t>
  </si>
  <si>
    <t>扩展型一体化皮站-远端单元（RU）参数管理</t>
  </si>
  <si>
    <t>InternetGatewayDevice.DeviceInfo.EU.{i}.RU.{i}.ModelName</t>
  </si>
  <si>
    <t>Device.DeviceInfo.EU.{i}.RU.{i}.ModelName</t>
  </si>
  <si>
    <t>InternetGatewayDevice.DeviceInfo.EU.{i}.RU.{i}.SerialNumber</t>
  </si>
  <si>
    <t>Device.DeviceInfo.EU.{i}.RU.{i}.SerialNumber</t>
  </si>
  <si>
    <t>InternetGatewayDevice.DeviceInfo.EU.{i}.RU.{i}.HardwareVersion</t>
  </si>
  <si>
    <t>Device.DeviceInfo.EU.{i}.RU.{i}.HardwareVersion</t>
  </si>
  <si>
    <t>InternetGatewayDevice.DeviceInfo.EU.{i}.RU.{i}.SoftwareVersion</t>
  </si>
  <si>
    <t>Device.DeviceInfo.EU.{i}.RU.{i}.SoftwareVersion</t>
  </si>
  <si>
    <t>InternetGatewayDevice.DeviceInfo.EU.{i}.RU.{i}.Status</t>
  </si>
  <si>
    <t>Device.DeviceInfo.EU.{i}.RU.{i}.Status</t>
  </si>
  <si>
    <t>InternetGatewayDevice.DeviceInfo.EU.{i}.RU.{i}.Reboot</t>
  </si>
  <si>
    <t>Device.DeviceInfo.EU.{i}.RU.{i}.Reboot</t>
  </si>
  <si>
    <t>InternetGatewayDevice.DeviceInfo.EU.{i}.RU.{i}.MaxTxPower</t>
  </si>
  <si>
    <t>Device.DeviceInfo.EU.{i}.RU.{i}.MaxTxPower</t>
  </si>
  <si>
    <t>单位dBm</t>
  </si>
  <si>
    <t>InternetGatewayDevice.DeviceInfo.EU.{i}.RU.{i}.RFTxStatus</t>
  </si>
  <si>
    <t>Device.DeviceInfo.EU.{i}.RU.{i}.RFTxStatus</t>
  </si>
  <si>
    <t>射频状态</t>
  </si>
  <si>
    <t>InternetGatewayDevice.DeviceInfo.EU.{i}.RU.{i}.Distance</t>
  </si>
  <si>
    <t>Device.DeviceInfo.EU.{i}.RU.{i}.Distance</t>
  </si>
  <si>
    <t>Distance</t>
  </si>
  <si>
    <t>拉远距离</t>
  </si>
  <si>
    <t>远端拉远距离
单位:米</t>
  </si>
  <si>
    <t>InternetGatewayDevice.DeviceInfo.EU.{i}.RU.{i}.DLCRCSum</t>
  </si>
  <si>
    <t>Device.DeviceInfo.EU.{i}.RU.{i}.DLCRCSum</t>
  </si>
  <si>
    <t>远端单元下行误码率</t>
  </si>
  <si>
    <r>
      <rPr>
        <sz val="9"/>
        <color theme="1"/>
        <rFont val="宋体"/>
        <family val="3"/>
        <charset val="134"/>
        <scheme val="minor"/>
      </rPr>
      <t>若上一级是主机单元，则是远端单元与主机单元下行误码率；（EU.</t>
    </r>
    <r>
      <rPr>
        <sz val="9"/>
        <rFont val="宋体"/>
        <family val="3"/>
        <charset val="134"/>
        <scheme val="minor"/>
      </rPr>
      <t>0</t>
    </r>
    <r>
      <rPr>
        <sz val="9"/>
        <color theme="1"/>
        <rFont val="宋体"/>
        <family val="3"/>
        <charset val="134"/>
        <scheme val="minor"/>
      </rPr>
      <t>.RU.{i}）
若上一级是扩展单元，则是远端单元与扩展单元下行误码率；
下行误码率都由远端单元统计。</t>
    </r>
  </si>
  <si>
    <t>InternetGatewayDevice.DeviceInfo.EU.{i}.RU.{i}.ULCRCSum</t>
  </si>
  <si>
    <t>Device.DeviceInfo.EU.{i}.RU.{i}.ULCRCSum</t>
  </si>
  <si>
    <t>远端单元上行误码率</t>
  </si>
  <si>
    <r>
      <rPr>
        <sz val="9"/>
        <color theme="1"/>
        <rFont val="宋体"/>
        <family val="3"/>
        <charset val="134"/>
        <scheme val="minor"/>
      </rPr>
      <t>若上一级是主机单元，则是远端单元与主机单元上行误码率，由主机单元统计；（EU.</t>
    </r>
    <r>
      <rPr>
        <sz val="9"/>
        <rFont val="宋体"/>
        <family val="3"/>
        <charset val="134"/>
        <scheme val="minor"/>
      </rPr>
      <t>0</t>
    </r>
    <r>
      <rPr>
        <sz val="9"/>
        <color theme="1"/>
        <rFont val="宋体"/>
        <family val="3"/>
        <charset val="134"/>
        <scheme val="minor"/>
      </rPr>
      <t>.RU.{i}）
若上一级是扩展单元，则是远端单元与扩展单元上行误码率，由</t>
    </r>
    <r>
      <rPr>
        <sz val="9"/>
        <color theme="1"/>
        <rFont val="宋体"/>
        <family val="3"/>
        <charset val="134"/>
        <scheme val="minor"/>
      </rPr>
      <t>扩展单元统计。</t>
    </r>
  </si>
  <si>
    <t>InternetGatewayDevice.DeviceInfo.EU.{i}.RU.{i}.LTECell.{i}.ECI</t>
  </si>
  <si>
    <t>Device.DeviceInfo.EU.{i}.RU.{i}.LTECell.{i}.ECI</t>
  </si>
  <si>
    <t>ECI</t>
  </si>
  <si>
    <t>可切换小区ECI</t>
  </si>
  <si>
    <t>允许切换目标邻区ECI，其中：
1. 对应主机单元RUHOControlEnable=1时生效；
2. 取值范围不超过对应主机单元邻区列表中ECI范围；
3. 当没有任何LTECell.{i}.ECI参数时表示该RU接入终端不允许向任何邻区切换。</t>
  </si>
  <si>
    <t>InternetGatewayDevice.DeviceInfo.EU.{i}.RU.{i}.SwUpgrade.Stage</t>
  </si>
  <si>
    <t>Device.DeviceInfo.EU.{i}.RU.{i}.SwUpgrade.Stage</t>
  </si>
  <si>
    <t>1.Initial：指MU成功获得本次升级升级目标设备且目标设备软件版本和本次升级版本不一致需要升级时，MU进入软件升级initial状态（例如：本次升级Manifest文件解析成功并且数据模型中存在manifest文件中指定的升级目标同时MU获取EU/RU的软件版本和目标版本不一致的情况）
如果MU获取到目标设备软件版本与升级软件版本一致（例如：EU/RU的软件版本与manifest文件一致），则：
i  则发送Inform，携带ValueChange，其中的升级状态为initial
ii 然后发送Inform，携带ValueChange，其中升级状态为Success
2.DownLoad：指升级的目标单元软件版本下载到本地的状态，成功则进入Install，否则进入Fail状态
3.Install：指目标单元安装软件的状态，成功则进入WaitingActivation或Activation，否则进入Fail状态
4.WaitingActivation：指还未到达指定activate时间的状态
5.Activation：指目标单元激活软件版本的状态，否则进入Fail状态</t>
  </si>
  <si>
    <t>InternetGatewayDevice.DeviceInfo.EU.{i}.RU.{i}.SwUpgrade.Status</t>
  </si>
  <si>
    <t>Device.DeviceInfo.EU.{i}.RU.{i}.SwUpgrade.Status</t>
  </si>
  <si>
    <t>成功/失败：指软件升级的最终状态
进行中：指正在执行的Software.stage还未进入成功或失败状态</t>
  </si>
  <si>
    <t>InternetGatewayDevice.DeviceInfo.EU.{i}.RU.{i}.SwUpgrade.FailureCause</t>
  </si>
  <si>
    <t>Device.DeviceInfo.EU.{i}.RU.{i}.SwUpgrade.FailureCause</t>
  </si>
  <si>
    <t>多实例状态变化通知参数</t>
  </si>
  <si>
    <r>
      <rPr>
        <sz val="9"/>
        <color theme="1"/>
        <rFont val="宋体"/>
        <family val="3"/>
        <charset val="134"/>
        <scheme val="minor"/>
      </rPr>
      <t>InternetGatewayDevice.DeviceInfo.AddEndPo</t>
    </r>
    <r>
      <rPr>
        <sz val="9"/>
        <color theme="1"/>
        <rFont val="宋体"/>
        <family val="3"/>
        <charset val="134"/>
      </rPr>
      <t>int</t>
    </r>
  </si>
  <si>
    <t>Device.DeviceInfo.AddEndPoint</t>
  </si>
  <si>
    <t>AddEndPoint</t>
  </si>
  <si>
    <t>多实例新增</t>
  </si>
  <si>
    <t>多实例新增：
一体化皮基站/扩展型一体化皮基站本地侧增加一个多实例时，需调用此模型通知网管具体增加的多实例节点， 保证两边的数据统一性。
例：远端(汇聚)单元接入时，扩展型一体化皮基站需要用此型路径然后才用《南向接口技术规范》中valuechange事件上报网管。
AddEndPoint=InternetGatewayDevice.DeviceInfo.EU.1.RU.3</t>
  </si>
  <si>
    <t>InternetGatewayDevice.DeviceInfo.DelEndPonit</t>
  </si>
  <si>
    <t>Device.DeviceInfo.DelEndPonit</t>
  </si>
  <si>
    <t>DelEndPonit</t>
  </si>
  <si>
    <t>多实例删除</t>
  </si>
  <si>
    <t>多实例删除：
一体化皮基站/扩展型一体化皮基站本地侧删除一个多实例时，需调用此模型通知网管具体删除的多实例节点， 保证两边的数据统一性。
例：当远端(汇聚)设备部署位置拆除时，扩展型一体化皮基站需要用此模型路径然后才用《南向接口技术规范》中valuechange事件上报网管。
DelEndPoint=InternetGatewayDevice.DeviceInfo.EU.1.RU.3</t>
  </si>
  <si>
    <t>备注说明</t>
  </si>
  <si>
    <t>EU.{i}：代表每个扩展单元的唯一标识。其中i取值范围为[0:65535]（i=0仅用于远端单元直连主机单元时的多实例节点路径，不用于标识任何扩展单元）；
RU.{i}：代表远端单元上联（与扩展单元或主机单元相连）物理端口位置，即星形组网端口物理位置；其中i取值范围为[1:65535]；</t>
  </si>
  <si>
    <t>多实例Object个数读写属性</t>
  </si>
  <si>
    <t>InternetGatewayDevice.Services.FAPService.{i}.</t>
  </si>
  <si>
    <t>Device.Services.FAPService.{i}.</t>
  </si>
  <si>
    <t>FAPService实例节点</t>
  </si>
  <si>
    <t>TR系列规范(TR098/TR181/TR069/TR196)协议</t>
  </si>
  <si>
    <t>InternetGatewayDevice.Services.FAPService.{i}.CellConfig.LTE.RAN.NeighborList.LTECell.{i}.</t>
  </si>
  <si>
    <t>Device.Services.FAPService.{i}.CellConfig.LTE.RAN.NeighborList.LTECell.{i}.</t>
  </si>
  <si>
    <t>LTE邻区实例节点</t>
  </si>
  <si>
    <t>InternetGatewayDevice.Services.FAPService.{i}.CellConfig.LTE.RAN.NeighborList.InterRATCell.UMTS.{i}</t>
  </si>
  <si>
    <t>Device.Services.FAPService.{i}.CellConfig.LTE.RAN.NeighborList.InterRATCell.UMTS.{i}</t>
  </si>
  <si>
    <t>UMTS邻区实例节点</t>
  </si>
  <si>
    <t>InternetGatewayDevice.Services.FAPService.{i}.CellConfig.LTE.RAN.NeighborList.InterRATCell.GSM.{i}.</t>
  </si>
  <si>
    <t>Device.Services.FAPService.{i}.CellConfig.LTE.RAN.NeighborList.InterRATCell.GSM.{i}.</t>
  </si>
  <si>
    <t>GSM邻区实例节点</t>
  </si>
  <si>
    <t>InternetGatewayDevice.Services.FAPService.{i}.CellConfig.LTE.RAN.Mobility.ConnMode.EUTRA.A1MeasureCtrl.{i}.</t>
  </si>
  <si>
    <t>Device.Services.FAPService.{i}.CellConfig.LTE.RAN.Mobility.ConnMode.EUTRA.A1MeasureCtrl.{i}.</t>
  </si>
  <si>
    <t>A1测量实例节点</t>
  </si>
  <si>
    <t>InternetGatewayDevice.Services.FAPService.{i}.CellConfig.LTE.RAN.Mobility.ConnMode.EUTRA.A2MeasureCtrl.{i}.</t>
  </si>
  <si>
    <t>Device.Services.FAPService.{i}.CellConfig.LTE.RAN.Mobility.ConnMode.EUTRA.A2MeasureCtrl.{i}.</t>
  </si>
  <si>
    <t>A2测量实例节点</t>
  </si>
  <si>
    <t>InternetGatewayDevice.Services.FAPService.{i}.CellConfig.LTE.RAN.Mobility.ConnMode.EUTRA.A3MeasureCtrl.{i}.</t>
  </si>
  <si>
    <t>Device.Services.FAPService.{i}.CellConfig.LTE.RAN.Mobility.ConnMode.EUTRA.A3MeasureCtrl.{i}.</t>
  </si>
  <si>
    <t>A3测量实例节点</t>
  </si>
  <si>
    <t>InternetGatewayDevice.Services.FAPService.{i}.CellConfig.LTE.RAN.Mobility.ConnMode.EUTRA.A4MeasureCtrl.{i}.</t>
  </si>
  <si>
    <t>Device.Services.FAPService.{i}.CellConfig.LTE.RAN.Mobility.ConnMode.EUTRA.A4MeasureCtrl.{i}.</t>
  </si>
  <si>
    <t>A4测量实例节点</t>
  </si>
  <si>
    <t>InternetGatewayDevice.Services.FAPService.{i}.CellConfig.LTE.RAN.Mobility.ConnMode.EUTRA.A5MeasureCtrl.{i}.</t>
  </si>
  <si>
    <t>Device.Services.FAPService.{i}.CellConfig.LTE.RAN.Mobility.ConnMode.EUTRA.A5MeasureCtrl.{i}.</t>
  </si>
  <si>
    <t>A5测量实例节点</t>
  </si>
  <si>
    <t>InternetGatewayDevice.Services.FAPService.{i}.CellConfig.LTE.RAN.Mobility.ConnMode.EUTRA.B1MeasureCtrl.{i}.</t>
  </si>
  <si>
    <t>Device.Services.FAPService.{i}.CellConfig.LTE.RAN.Mobility.ConnMode.EUTRA.B1MeasureCtrl.{i}.</t>
  </si>
  <si>
    <t>B1测量实例节点</t>
  </si>
  <si>
    <t>InternetGatewayDevice.Services.FAPService.{i}.CellConfig.LTE.RAN.Mobility.ConnMode.EUTRA.B2MeasureCtrl.{i}.</t>
  </si>
  <si>
    <t>Device.Services.FAPService.{i}.CellConfig.LTE.RAN.Mobility.ConnMode.EUTRA.B2MeasureCtrl.{i}.</t>
  </si>
  <si>
    <t>B2测量实例节点</t>
  </si>
  <si>
    <t>InternetGatewayDevice.Services.FAPService.{i}.CellConfig.LTE.RAN.Mobility.IdleMode.InterFreq.Carrier.{i}.</t>
  </si>
  <si>
    <t>Device.Services.FAPService.{i}.CellConfig.LTE.RAN.Mobility.IdleMode.InterFreq.Carrier.{i}.</t>
  </si>
  <si>
    <t>异频重选实例节点</t>
  </si>
  <si>
    <t>InternetGatewayDevice.Services.FAPService.{i}.CellConfig.LTE.RAN.Mobility.IdleMode.IRAT.UTRA.UTRANFDDFreq.{i}.</t>
  </si>
  <si>
    <t>Device.Services.FAPService.{i}.CellConfig.LTE.RAN.Mobility.IdleMode.IRAT.UTRA.UTRANFDDFreq.{i}.</t>
  </si>
  <si>
    <t>异系统重选实例节点</t>
  </si>
  <si>
    <t>InternetGatewayDevice.Services.FAPService.{i}.CellConfig.LTE.RAN.Mobility.ConnMode.EUTRA.PeriodMeasCtrl.{i}.</t>
  </si>
  <si>
    <t>Device.Services.FAPService.{i}.CellConfig.LTE.RAN.Mobility.ConnMode.EUTRA.PeriodMeasCtrl.{i}.</t>
  </si>
  <si>
    <t>周期性测量实例节点</t>
  </si>
  <si>
    <t>InternetGatewayDevice.Services.FAPService.{i}.CellConfig.LTE.RAN.PHY.MBSFN.SFConfigList.{i}.</t>
  </si>
  <si>
    <t>Device.Services.FAPService.{i}.CellConfig.LTE.RAN.PHY.MBSFN.SFConfigList.{i}.</t>
  </si>
  <si>
    <t>SFConfigList实例节点</t>
  </si>
  <si>
    <t>InternetGatewayDevice.Services.FAPService.{i}.CellConfig.LTE.RAN.MAC.DrxInitialParam.{i}.</t>
  </si>
  <si>
    <t>Device.Services.FAPService.{i}.CellConfig.LTE.RAN.MAC.DrxInitialParam.{i}.</t>
  </si>
  <si>
    <t>DrxInitialParam实例节点</t>
  </si>
  <si>
    <t>InternetGatewayDevice.Services.FAPService.{i}.CellConfig.LTE.MmePoolConfigParam.{i}.</t>
  </si>
  <si>
    <t>Device.Services.FAPService.{i}.CellConfig.LTE.MmePoolConfigParam.{i}.</t>
  </si>
  <si>
    <t>MmePoolConfigParam实例节点</t>
  </si>
  <si>
    <t>InternetGatewayDevice.Services.FAPService.{i}.FAPControl.X2IpAddrMapInfo.{i}.</t>
  </si>
  <si>
    <t>Device.Services.FAPService.{i}.FAPControl.X2IpAddrMapInfo.{i}.</t>
  </si>
  <si>
    <t>X2实例节点</t>
  </si>
  <si>
    <t>InternetGatewayDevice.Services.FAPService.{i}.CellConfig.LTE.EPC.PLMNList.{i}.</t>
  </si>
  <si>
    <t>Device.Services.FAPService.{i}.CellConfig.LTE.EPC.PLMNList.{i}.</t>
  </si>
  <si>
    <r>
      <rPr>
        <sz val="9"/>
        <color theme="1"/>
        <rFont val="宋体"/>
        <family val="3"/>
        <charset val="134"/>
        <scheme val="minor"/>
      </rPr>
      <t>P</t>
    </r>
    <r>
      <rPr>
        <sz val="9"/>
        <color theme="1"/>
        <rFont val="宋体"/>
        <family val="3"/>
        <charset val="134"/>
      </rPr>
      <t>LMNID实例节点</t>
    </r>
  </si>
  <si>
    <t>InternetGatewayDevice.Services.FAPService.{i}.CellConfig.LTE.S1U.{i}.</t>
  </si>
  <si>
    <t>Device.Services.FAPService.{i}.CellConfig.LTE.S1U.{i}.</t>
  </si>
  <si>
    <r>
      <rPr>
        <sz val="9"/>
        <color theme="1"/>
        <rFont val="宋体"/>
        <family val="3"/>
        <charset val="134"/>
        <scheme val="minor"/>
      </rPr>
      <t>S</t>
    </r>
    <r>
      <rPr>
        <sz val="9"/>
        <color theme="1"/>
        <rFont val="宋体"/>
        <family val="3"/>
        <charset val="134"/>
      </rPr>
      <t>1U实例节点</t>
    </r>
  </si>
  <si>
    <t>InternetGatewayDevice.Services.FAPService.{i}.CellConfig.LTE.VoLTE.PdcpInitParam.{i}.</t>
  </si>
  <si>
    <t>Device.Services.FAPService.{i}.CellConfig.LTE.VoLTE.PdcpInitParam.{i}.</t>
  </si>
  <si>
    <r>
      <rPr>
        <sz val="9"/>
        <color theme="1"/>
        <rFont val="宋体"/>
        <family val="3"/>
        <charset val="134"/>
        <scheme val="minor"/>
      </rPr>
      <t>V</t>
    </r>
    <r>
      <rPr>
        <sz val="9"/>
        <color theme="1"/>
        <rFont val="宋体"/>
        <family val="3"/>
        <charset val="134"/>
      </rPr>
      <t>OLTE 实例节点</t>
    </r>
  </si>
  <si>
    <t>InternetGatewayDevice.Services.FAPService.{i}.Transport.SCTP.Assoc.{i}.</t>
  </si>
  <si>
    <t>SCTP实例节点</t>
  </si>
  <si>
    <t>InternetGatewayDevice.WANDevice.{i}.</t>
  </si>
  <si>
    <t>Device.WANDevice.{i}.</t>
  </si>
  <si>
    <t>WAN实例</t>
  </si>
  <si>
    <t>InternetGatewayDevice.WANDevice.{i}.WANConnectionDevice.{i}.WANIPConnection.{i}.</t>
  </si>
  <si>
    <t>Device.WANDevice.{i}.WANConnectionDevice.{i}.WANIPConnection.{i}.</t>
  </si>
  <si>
    <t>WANIP实例节点</t>
  </si>
  <si>
    <t>InternetGatewayDevice.FaultMgmt.SupportedAlarm.{i}.</t>
  </si>
  <si>
    <t>Device.FaultMgmt.SupportedAlarm.{i}</t>
  </si>
  <si>
    <t>支持告警实例节点</t>
  </si>
  <si>
    <t>InternetGatewayDevice.FaultMgmt.CurrentAlarm.{i}.</t>
  </si>
  <si>
    <t>Device.FaultMgmt.CurrentAlarm.{i}.</t>
  </si>
  <si>
    <t>当前告警实例节点</t>
  </si>
  <si>
    <t>InternetGatewayDevice.FaultMgmt.HistoryEvent.{i}.</t>
  </si>
  <si>
    <t>Device.FaultMgmt.HistoryEvent.{i}.</t>
  </si>
  <si>
    <t>历史告警实例节点</t>
  </si>
  <si>
    <t>InternetGatewayDevice.FaultMgmt.ExpeditedEvent.{i}.</t>
  </si>
  <si>
    <t>Device.FaultMgmt.ExpeditedEvent.{i}.</t>
  </si>
  <si>
    <t>实时告警实例节点</t>
  </si>
  <si>
    <t>InternetGatewayDevice.FaultMgmt.QueuedEvent.{i}.</t>
  </si>
  <si>
    <t>Device.FaultMgmt.QueuedEvent.{i}</t>
  </si>
  <si>
    <t>队列告警实例节点</t>
  </si>
  <si>
    <t>InternetGatewayDevice.FAP.MRMgmt.Config.{i}.</t>
  </si>
  <si>
    <t>Device.FAP.MRMgmt.Config.{i}.</t>
  </si>
  <si>
    <t>MR实例节点</t>
  </si>
  <si>
    <t>InternetGatewayDevice.FAP.PerfMgmt.Config.{i}.</t>
  </si>
  <si>
    <t>Device.FAP.PerfMgmt.Config.{i}.</t>
  </si>
  <si>
    <t>PM实例节点</t>
  </si>
  <si>
    <t>InternetGatewayDevice.DeviceInfo.EU.{i}.</t>
  </si>
  <si>
    <t>Device.DeviceInfo.EU.{i}.</t>
  </si>
  <si>
    <t>EU实例节点</t>
  </si>
  <si>
    <t>InternetGatewayDevice.DeviceInfo.EU.{i}.RU.{i}.</t>
  </si>
  <si>
    <t>Device.DeviceInfo.EU.{i}.RU.{i}.</t>
  </si>
  <si>
    <t>RU实例节点</t>
  </si>
  <si>
    <t>InternetGatewayDevice.DeviceInfo.EU.{i}.RU.{i}.LTECell.{i}.</t>
  </si>
  <si>
    <t>Device.DeviceInfo.EU.{i}.RU.{i}.LTECell.{i}.</t>
  </si>
  <si>
    <t>RU邻区实例节点</t>
  </si>
  <si>
    <t>多载波数据模型备注</t>
  </si>
  <si>
    <t>InternetGatewayDevice.Services.FAPService.{i}；其中i=1代表载波1相关配置参数，i=2代表载波2相关配置参数，i=3代表载波3相关配置参数</t>
  </si>
  <si>
    <t>v2.0</t>
    <phoneticPr fontId="21" type="noConversion"/>
  </si>
  <si>
    <t>InternetGatewayDevice.FAP.MRMgmt.Config.{i}.MRECGIList</t>
    <phoneticPr fontId="21" type="noConversion"/>
  </si>
  <si>
    <t>Device.FAP.MRMgmt.Config.{i}.MRECGIList</t>
    <phoneticPr fontId="21" type="noConversion"/>
  </si>
  <si>
    <t>MRECGIList</t>
    <phoneticPr fontId="21" type="noConversion"/>
  </si>
  <si>
    <t>ECGI列表，表示哪些小区需要执行MR任务
all代表基站下所有小区都采集,NCGI由PLMN和ECI组成，PLMN与ECI之间使用“-”分割，NCGI之间使用“,”分割，例如，“46000-107909121，46000-107909122”</t>
    <phoneticPr fontId="21" type="noConversion"/>
  </si>
  <si>
    <t>InternetGatewayDevice.FaultMgmt.CurrentAlarm.{i}.FaultLocation</t>
    <phoneticPr fontId="21" type="noConversion"/>
  </si>
  <si>
    <t>Device.FaultMgmt.CurrentAlarm.{i}.FaultLocation</t>
    <phoneticPr fontId="21" type="noConversion"/>
  </si>
  <si>
    <t>FaultLocation</t>
    <phoneticPr fontId="21" type="noConversion"/>
  </si>
  <si>
    <t>告警源定位信息</t>
    <phoneticPr fontId="21" type="noConversion"/>
  </si>
  <si>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phoneticPr fontId="21" type="noConversion"/>
  </si>
  <si>
    <t>InternetGatewayDevice.FaultMgmt.HistoryEvent.{i}.FaultLocation</t>
    <phoneticPr fontId="21" type="noConversion"/>
  </si>
  <si>
    <t>Device.FaultMgmt.HistoryEvent.{i}.FaultLocation</t>
    <phoneticPr fontId="21" type="noConversion"/>
  </si>
  <si>
    <t>InternetGatewayDevice.FaultMgmt.ExpeditedEvent.{i}.FaultLocation</t>
    <phoneticPr fontId="21" type="noConversion"/>
  </si>
  <si>
    <t>Device.FaultMgmt.ExpeditedEvent.{i}.FaultLocation</t>
    <phoneticPr fontId="21" type="noConversion"/>
  </si>
  <si>
    <t>InternetGatewayDevice.FaultMgmt.QueuedEvent.{i}.FaultLocation</t>
    <phoneticPr fontId="21" type="noConversion"/>
  </si>
  <si>
    <t>Device.FaultMgmt.QueuedEvent.{i}.FaultLocation</t>
    <phoneticPr fontId="21" type="noConversion"/>
  </si>
  <si>
    <t>string(20)</t>
    <phoneticPr fontId="21" type="noConversion"/>
  </si>
  <si>
    <t>目录页更新小区LDN为ECI
SA也增加软件升级状态
SD页增加FaultLocation，AlarmIdentifier改为string（20）
SP页增加MR Item
SQ也增加PM补采</t>
    <phoneticPr fontId="21" type="noConversion"/>
  </si>
  <si>
    <t>v2.1</t>
  </si>
  <si>
    <r>
      <t>SD页增加History</t>
    </r>
    <r>
      <rPr>
        <sz val="11"/>
        <color indexed="8"/>
        <rFont val="宋体"/>
        <family val="3"/>
        <charset val="134"/>
      </rPr>
      <t xml:space="preserve"> FaultLocation</t>
    </r>
    <phoneticPr fontId="21" type="noConversion"/>
  </si>
</sst>
</file>

<file path=xl/styles.xml><?xml version="1.0" encoding="utf-8"?>
<styleSheet xmlns="http://schemas.openxmlformats.org/spreadsheetml/2006/main">
  <numFmts count="2">
    <numFmt numFmtId="176" formatCode="yyyy&quot;年&quot;m&quot;月&quot;d&quot;日&quot;;@"/>
    <numFmt numFmtId="177" formatCode="_ &quot;￥&quot;* #,##0.00_ ;_ &quot;￥&quot;* \-#,##0.00_ ;_ &quot;￥&quot;* &quot;-&quot;??_ ;_ @_ "/>
  </numFmts>
  <fonts count="71">
    <font>
      <sz val="11"/>
      <color indexed="8"/>
      <name val="宋体"/>
      <charset val="134"/>
    </font>
    <font>
      <b/>
      <sz val="9"/>
      <color indexed="8"/>
      <name val="宋体"/>
      <family val="3"/>
      <charset val="134"/>
    </font>
    <font>
      <sz val="10"/>
      <color theme="1"/>
      <name val="宋体"/>
      <family val="3"/>
      <charset val="134"/>
    </font>
    <font>
      <sz val="11"/>
      <color theme="1"/>
      <name val="宋体"/>
      <family val="3"/>
      <charset val="134"/>
    </font>
    <font>
      <sz val="9"/>
      <color theme="1"/>
      <name val="宋体"/>
      <family val="3"/>
      <charset val="134"/>
    </font>
    <font>
      <b/>
      <sz val="9"/>
      <name val="宋体"/>
      <family val="3"/>
      <charset val="134"/>
    </font>
    <font>
      <sz val="9"/>
      <color theme="1"/>
      <name val="宋体"/>
      <family val="3"/>
      <charset val="134"/>
      <scheme val="minor"/>
    </font>
    <font>
      <sz val="10"/>
      <name val="宋体"/>
      <family val="3"/>
      <charset val="134"/>
    </font>
    <font>
      <b/>
      <sz val="9"/>
      <name val="宋体"/>
      <family val="3"/>
      <charset val="134"/>
      <scheme val="minor"/>
    </font>
    <font>
      <b/>
      <sz val="9"/>
      <color theme="1"/>
      <name val="宋体"/>
      <family val="3"/>
      <charset val="134"/>
    </font>
    <font>
      <b/>
      <sz val="9"/>
      <color theme="1"/>
      <name val="宋体"/>
      <family val="3"/>
      <charset val="134"/>
      <scheme val="minor"/>
    </font>
    <font>
      <sz val="9"/>
      <color theme="1"/>
      <name val="宋体"/>
      <family val="3"/>
      <charset val="134"/>
      <scheme val="minor"/>
    </font>
    <font>
      <sz val="9"/>
      <name val="宋体"/>
      <family val="3"/>
      <charset val="134"/>
      <scheme val="minor"/>
    </font>
    <font>
      <b/>
      <sz val="11"/>
      <color theme="1"/>
      <name val="宋体"/>
      <family val="3"/>
      <charset val="134"/>
    </font>
    <font>
      <b/>
      <sz val="9"/>
      <name val="宋体"/>
      <family val="3"/>
      <charset val="134"/>
      <scheme val="minor"/>
    </font>
    <font>
      <sz val="9"/>
      <color rgb="FFFF0000"/>
      <name val="宋体"/>
      <family val="3"/>
      <charset val="134"/>
      <scheme val="minor"/>
    </font>
    <font>
      <sz val="10"/>
      <name val="宋体"/>
      <family val="3"/>
      <charset val="134"/>
    </font>
    <font>
      <sz val="9"/>
      <name val="宋体"/>
      <family val="3"/>
      <charset val="134"/>
      <scheme val="minor"/>
    </font>
    <font>
      <sz val="11"/>
      <color indexed="8"/>
      <name val="宋体"/>
      <family val="3"/>
      <charset val="134"/>
    </font>
    <font>
      <sz val="11"/>
      <name val="宋体"/>
      <family val="3"/>
      <charset val="134"/>
    </font>
    <font>
      <sz val="11"/>
      <color rgb="FFFF0000"/>
      <name val="宋体"/>
      <family val="3"/>
      <charset val="134"/>
    </font>
    <font>
      <sz val="9"/>
      <name val="宋体"/>
      <family val="3"/>
      <charset val="134"/>
    </font>
    <font>
      <sz val="10"/>
      <color rgb="FFFF0000"/>
      <name val="宋体"/>
      <family val="3"/>
      <charset val="134"/>
    </font>
    <font>
      <sz val="9"/>
      <color rgb="FFFF0000"/>
      <name val="宋体"/>
      <family val="3"/>
      <charset val="134"/>
    </font>
    <font>
      <sz val="9"/>
      <color theme="1"/>
      <name val="宋体"/>
      <family val="3"/>
      <charset val="134"/>
    </font>
    <font>
      <b/>
      <sz val="10"/>
      <name val="宋体"/>
      <family val="3"/>
      <charset val="134"/>
    </font>
    <font>
      <sz val="10"/>
      <name val="微软雅黑"/>
      <family val="2"/>
      <charset val="134"/>
    </font>
    <font>
      <sz val="10"/>
      <color rgb="FFFF0000"/>
      <name val="微软雅黑"/>
      <family val="2"/>
      <charset val="134"/>
    </font>
    <font>
      <b/>
      <sz val="11"/>
      <color indexed="8"/>
      <name val="宋体"/>
      <family val="3"/>
      <charset val="134"/>
    </font>
    <font>
      <b/>
      <sz val="10"/>
      <color indexed="8"/>
      <name val="宋体"/>
      <family val="3"/>
      <charset val="134"/>
    </font>
    <font>
      <sz val="11"/>
      <color rgb="FF00B0F0"/>
      <name val="宋体"/>
      <family val="3"/>
      <charset val="134"/>
    </font>
    <font>
      <b/>
      <sz val="11"/>
      <color rgb="FFFF0000"/>
      <name val="宋体"/>
      <family val="3"/>
      <charset val="134"/>
    </font>
    <font>
      <b/>
      <sz val="11"/>
      <name val="宋体"/>
      <family val="3"/>
      <charset val="134"/>
    </font>
    <font>
      <sz val="9"/>
      <color indexed="8"/>
      <name val="宋体"/>
      <family val="3"/>
      <charset val="134"/>
    </font>
    <font>
      <sz val="10"/>
      <name val="宋体"/>
      <family val="3"/>
      <charset val="134"/>
      <scheme val="minor"/>
    </font>
    <font>
      <sz val="9"/>
      <color rgb="FF00B0F0"/>
      <name val="宋体"/>
      <family val="3"/>
      <charset val="134"/>
    </font>
    <font>
      <sz val="9"/>
      <color rgb="FF0070C0"/>
      <name val="宋体"/>
      <family val="3"/>
      <charset val="134"/>
    </font>
    <font>
      <sz val="10"/>
      <color rgb="FFFF0000"/>
      <name val="宋体"/>
      <family val="3"/>
      <charset val="134"/>
      <scheme val="minor"/>
    </font>
    <font>
      <sz val="10"/>
      <color rgb="FF0070C0"/>
      <name val="宋体"/>
      <family val="3"/>
      <charset val="134"/>
      <scheme val="minor"/>
    </font>
    <font>
      <sz val="11"/>
      <color rgb="FF0070C0"/>
      <name val="宋体"/>
      <family val="3"/>
      <charset val="134"/>
    </font>
    <font>
      <sz val="10"/>
      <color indexed="8"/>
      <name val="宋体"/>
      <family val="3"/>
      <charset val="134"/>
    </font>
    <font>
      <b/>
      <sz val="9"/>
      <color rgb="FFFF0000"/>
      <name val="宋体"/>
      <family val="3"/>
      <charset val="134"/>
    </font>
    <font>
      <b/>
      <sz val="9"/>
      <name val="微软雅黑"/>
      <family val="2"/>
      <charset val="134"/>
    </font>
    <font>
      <b/>
      <sz val="10"/>
      <color indexed="8"/>
      <name val="宋体"/>
      <family val="3"/>
      <charset val="134"/>
      <scheme val="minor"/>
    </font>
    <font>
      <b/>
      <sz val="10"/>
      <name val="微软雅黑"/>
      <family val="2"/>
      <charset val="134"/>
    </font>
    <font>
      <sz val="10"/>
      <color indexed="9"/>
      <name val="宋体"/>
      <family val="3"/>
      <charset val="134"/>
      <scheme val="minor"/>
    </font>
    <font>
      <b/>
      <sz val="20"/>
      <name val="黑体"/>
      <family val="3"/>
      <charset val="134"/>
    </font>
    <font>
      <sz val="10.5"/>
      <name val="宋体"/>
      <family val="3"/>
      <charset val="134"/>
    </font>
    <font>
      <sz val="10.5"/>
      <name val="Arial"/>
      <family val="2"/>
    </font>
    <font>
      <sz val="10"/>
      <color indexed="10"/>
      <name val="宋体"/>
      <family val="3"/>
      <charset val="134"/>
    </font>
    <font>
      <b/>
      <sz val="18"/>
      <name val="楷体_GB2312"/>
      <charset val="134"/>
    </font>
    <font>
      <sz val="18"/>
      <name val="楷体_GB2312"/>
      <charset val="134"/>
    </font>
    <font>
      <sz val="18"/>
      <color indexed="8"/>
      <name val="微软雅黑"/>
      <family val="2"/>
      <charset val="134"/>
    </font>
    <font>
      <sz val="10"/>
      <color indexed="9"/>
      <name val="宋体"/>
      <family val="3"/>
      <charset val="134"/>
    </font>
    <font>
      <sz val="16"/>
      <color indexed="8"/>
      <name val="宋体"/>
      <family val="3"/>
      <charset val="134"/>
    </font>
    <font>
      <sz val="16"/>
      <name val="宋体"/>
      <family val="3"/>
      <charset val="134"/>
    </font>
    <font>
      <sz val="16"/>
      <color indexed="10"/>
      <name val="宋体"/>
      <family val="3"/>
      <charset val="134"/>
    </font>
    <font>
      <sz val="16"/>
      <color indexed="8"/>
      <name val="Times New Roman"/>
      <family val="1"/>
    </font>
    <font>
      <sz val="10.5"/>
      <color indexed="8"/>
      <name val="Times New Roman"/>
      <family val="1"/>
    </font>
    <font>
      <sz val="10.5"/>
      <color indexed="10"/>
      <name val="Times New Roman"/>
      <family val="1"/>
    </font>
    <font>
      <sz val="16"/>
      <color indexed="8"/>
      <name val="楷体_GB2312"/>
      <charset val="134"/>
    </font>
    <font>
      <sz val="12"/>
      <name val="宋体"/>
      <family val="3"/>
      <charset val="134"/>
    </font>
    <font>
      <sz val="12"/>
      <name val="Times New Roman"/>
      <family val="1"/>
    </font>
    <font>
      <sz val="10"/>
      <name val="Arial"/>
      <family val="2"/>
    </font>
    <font>
      <sz val="9"/>
      <color indexed="8"/>
      <name val="Times New Roman"/>
      <family val="1"/>
    </font>
    <font>
      <sz val="9"/>
      <color rgb="FF0070C0"/>
      <name val="宋体"/>
      <family val="3"/>
      <charset val="134"/>
      <scheme val="minor"/>
    </font>
    <font>
      <sz val="9"/>
      <name val="Times New Roman"/>
      <family val="1"/>
    </font>
    <font>
      <sz val="9"/>
      <color rgb="FFFF0000"/>
      <name val="Times New Roman"/>
      <family val="1"/>
    </font>
    <font>
      <vertAlign val="superscript"/>
      <sz val="9"/>
      <name val="宋体"/>
      <family val="3"/>
      <charset val="134"/>
    </font>
    <font>
      <sz val="16"/>
      <name val="Times New Roman"/>
      <family val="1"/>
    </font>
    <font>
      <sz val="11"/>
      <color indexed="8"/>
      <name val="宋体"/>
      <family val="3"/>
      <charset val="134"/>
    </font>
  </fonts>
  <fills count="13">
    <fill>
      <patternFill patternType="none"/>
    </fill>
    <fill>
      <patternFill patternType="gray125"/>
    </fill>
    <fill>
      <patternFill patternType="solid">
        <fgColor theme="0"/>
        <bgColor indexed="64"/>
      </patternFill>
    </fill>
    <fill>
      <patternFill patternType="solid">
        <fgColor rgb="FF00FF00"/>
        <bgColor indexed="64"/>
      </patternFill>
    </fill>
    <fill>
      <patternFill patternType="solid">
        <fgColor indexed="11"/>
        <bgColor indexed="64"/>
      </patternFill>
    </fill>
    <fill>
      <patternFill patternType="solid">
        <fgColor rgb="FFFFFF00"/>
        <bgColor indexed="64"/>
      </patternFill>
    </fill>
    <fill>
      <patternFill patternType="solid">
        <fgColor indexed="9"/>
        <bgColor indexed="64"/>
      </patternFill>
    </fill>
    <fill>
      <patternFill patternType="solid">
        <fgColor theme="4"/>
        <bgColor indexed="64"/>
      </patternFill>
    </fill>
    <fill>
      <patternFill patternType="solid">
        <fgColor theme="5" tint="0.59999389629810485"/>
        <bgColor indexed="64"/>
      </patternFill>
    </fill>
    <fill>
      <patternFill patternType="solid">
        <fgColor theme="9"/>
        <bgColor indexed="64"/>
      </patternFill>
    </fill>
    <fill>
      <patternFill patternType="solid">
        <fgColor rgb="FF7030A0"/>
        <bgColor indexed="64"/>
      </patternFill>
    </fill>
    <fill>
      <patternFill patternType="solid">
        <fgColor indexed="12"/>
        <bgColor indexed="64"/>
      </patternFill>
    </fill>
    <fill>
      <patternFill patternType="solid">
        <fgColor indexed="43"/>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style="medium">
        <color auto="1"/>
      </left>
      <right style="thin">
        <color auto="1"/>
      </right>
      <top style="thin">
        <color auto="1"/>
      </top>
      <bottom style="thin">
        <color auto="1"/>
      </bottom>
      <diagonal/>
    </border>
  </borders>
  <cellStyleXfs count="27">
    <xf numFmtId="0" fontId="0" fillId="0" borderId="0">
      <alignment vertical="center"/>
    </xf>
    <xf numFmtId="0" fontId="61" fillId="0" borderId="0"/>
    <xf numFmtId="0" fontId="63" fillId="0" borderId="0" applyNumberFormat="0" applyFont="0" applyFill="0" applyBorder="0" applyAlignment="0" applyProtection="0"/>
    <xf numFmtId="0" fontId="61" fillId="0" borderId="0"/>
    <xf numFmtId="0" fontId="70" fillId="0" borderId="0">
      <alignment vertical="center"/>
    </xf>
    <xf numFmtId="0" fontId="61" fillId="0" borderId="0"/>
    <xf numFmtId="0" fontId="61" fillId="0" borderId="0"/>
    <xf numFmtId="0" fontId="70" fillId="0" borderId="0">
      <alignment vertical="center"/>
    </xf>
    <xf numFmtId="0" fontId="61" fillId="0" borderId="0"/>
    <xf numFmtId="0" fontId="70" fillId="0" borderId="0">
      <alignment vertical="center"/>
    </xf>
    <xf numFmtId="0" fontId="61" fillId="0" borderId="0">
      <alignment vertical="center"/>
    </xf>
    <xf numFmtId="0" fontId="61" fillId="0" borderId="0">
      <alignment vertical="center"/>
    </xf>
    <xf numFmtId="0" fontId="70" fillId="0" borderId="0">
      <alignment vertical="center"/>
    </xf>
    <xf numFmtId="0" fontId="63" fillId="0" borderId="0"/>
    <xf numFmtId="0" fontId="62" fillId="0" borderId="0"/>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61" fillId="0" borderId="0"/>
    <xf numFmtId="0" fontId="61" fillId="0" borderId="0"/>
    <xf numFmtId="0" fontId="62" fillId="0" borderId="0"/>
    <xf numFmtId="177" fontId="70" fillId="0" borderId="0" applyFont="0" applyFill="0" applyBorder="0" applyAlignment="0" applyProtection="0">
      <alignment vertical="center"/>
    </xf>
    <xf numFmtId="177" fontId="70" fillId="0" borderId="0" applyFont="0" applyFill="0" applyBorder="0" applyAlignment="0" applyProtection="0">
      <alignment vertical="center"/>
    </xf>
    <xf numFmtId="177" fontId="70" fillId="0" borderId="0" applyFont="0" applyFill="0" applyBorder="0" applyAlignment="0" applyProtection="0">
      <alignment vertical="center"/>
    </xf>
    <xf numFmtId="0" fontId="62" fillId="0" borderId="0">
      <alignment vertical="center"/>
    </xf>
    <xf numFmtId="0" fontId="62" fillId="0" borderId="0"/>
  </cellStyleXfs>
  <cellXfs count="508">
    <xf numFmtId="0" fontId="0" fillId="0" borderId="0" xfId="0">
      <alignment vertical="center"/>
    </xf>
    <xf numFmtId="0" fontId="1" fillId="0" borderId="0" xfId="0" applyFont="1" applyFill="1" applyBorder="1" applyAlignment="1">
      <alignment horizontal="center" vertical="center"/>
    </xf>
    <xf numFmtId="0" fontId="2" fillId="0" borderId="0" xfId="0" applyFont="1" applyFill="1" applyBorder="1" applyAlignment="1">
      <alignment horizontal="left" vertical="center"/>
    </xf>
    <xf numFmtId="0" fontId="3" fillId="0" borderId="0" xfId="0" applyFont="1">
      <alignment vertical="center"/>
    </xf>
    <xf numFmtId="0" fontId="4" fillId="2" borderId="0" xfId="0" applyFont="1" applyFill="1" applyBorder="1" applyAlignment="1">
      <alignment horizontal="left" vertical="center" wrapText="1"/>
    </xf>
    <xf numFmtId="0" fontId="3" fillId="0" borderId="0" xfId="0" applyFont="1" applyFill="1">
      <alignment vertical="center"/>
    </xf>
    <xf numFmtId="0" fontId="0" fillId="0" borderId="0" xfId="0" applyAlignment="1">
      <alignment horizontal="left" vertical="center"/>
    </xf>
    <xf numFmtId="0" fontId="5"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2" fillId="0" borderId="1" xfId="0" applyFont="1" applyFill="1" applyBorder="1" applyAlignment="1">
      <alignment horizontal="left" vertical="center"/>
    </xf>
    <xf numFmtId="0" fontId="4" fillId="2" borderId="1" xfId="0" applyFont="1" applyFill="1" applyBorder="1" applyAlignment="1">
      <alignment horizontal="left" vertical="center" wrapText="1"/>
    </xf>
    <xf numFmtId="0" fontId="4" fillId="2" borderId="1" xfId="0" applyFont="1" applyFill="1" applyBorder="1">
      <alignment vertical="center"/>
    </xf>
    <xf numFmtId="0" fontId="7" fillId="0" borderId="0" xfId="0" applyFont="1" applyFill="1" applyBorder="1" applyAlignment="1">
      <alignment horizontal="left" vertical="center"/>
    </xf>
    <xf numFmtId="0" fontId="4" fillId="2" borderId="0" xfId="0" applyFont="1" applyFill="1" applyBorder="1">
      <alignment vertical="center"/>
    </xf>
    <xf numFmtId="0" fontId="8" fillId="4" borderId="1" xfId="0" applyFont="1" applyFill="1" applyBorder="1" applyAlignment="1">
      <alignment horizontal="center" vertical="center" wrapText="1"/>
    </xf>
    <xf numFmtId="0" fontId="6" fillId="0" borderId="1" xfId="7" applyFont="1" applyFill="1" applyBorder="1" applyAlignment="1">
      <alignment horizontal="left" vertical="center" wrapText="1"/>
    </xf>
    <xf numFmtId="0" fontId="13" fillId="0" borderId="4" xfId="0" applyFont="1" applyFill="1" applyBorder="1" applyAlignment="1">
      <alignment horizontal="center" vertical="center"/>
    </xf>
    <xf numFmtId="0" fontId="8"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7" applyFont="1" applyFill="1" applyBorder="1" applyAlignment="1">
      <alignment horizontal="left" vertical="center" wrapText="1"/>
    </xf>
    <xf numFmtId="0" fontId="16"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7" fillId="0" borderId="0" xfId="0" applyFont="1" applyFill="1" applyAlignment="1">
      <alignment horizontal="left" vertical="center"/>
    </xf>
    <xf numFmtId="0" fontId="0" fillId="0" borderId="0" xfId="0" applyAlignment="1">
      <alignment horizontal="center" vertical="center"/>
    </xf>
    <xf numFmtId="0" fontId="17" fillId="0" borderId="1" xfId="0" applyFont="1" applyFill="1" applyBorder="1" applyAlignment="1">
      <alignment horizontal="left" vertical="center" wrapText="1"/>
    </xf>
    <xf numFmtId="0" fontId="17" fillId="0" borderId="1" xfId="0" applyFont="1" applyFill="1" applyBorder="1" applyAlignment="1">
      <alignment horizontal="center" vertical="center" wrapText="1"/>
    </xf>
    <xf numFmtId="0" fontId="0" fillId="0" borderId="4" xfId="0" applyFont="1" applyBorder="1">
      <alignment vertical="center"/>
    </xf>
    <xf numFmtId="0" fontId="17" fillId="0" borderId="1" xfId="0" applyFont="1" applyFill="1" applyBorder="1" applyAlignment="1">
      <alignment horizontal="center" vertical="center"/>
    </xf>
    <xf numFmtId="0" fontId="7" fillId="0" borderId="1" xfId="0" applyFont="1" applyFill="1" applyBorder="1" applyAlignment="1">
      <alignment horizontal="left" vertical="center"/>
    </xf>
    <xf numFmtId="0" fontId="17" fillId="7" borderId="1" xfId="0" applyFont="1" applyFill="1" applyBorder="1" applyAlignment="1">
      <alignment horizontal="center" vertical="center"/>
    </xf>
    <xf numFmtId="0" fontId="19" fillId="0" borderId="0" xfId="0" applyFont="1" applyFill="1" applyBorder="1">
      <alignment vertical="center"/>
    </xf>
    <xf numFmtId="0" fontId="20" fillId="0" borderId="0" xfId="0" applyFont="1" applyFill="1" applyBorder="1">
      <alignment vertical="center"/>
    </xf>
    <xf numFmtId="0" fontId="20" fillId="0" borderId="0" xfId="0" applyFont="1">
      <alignment vertical="center"/>
    </xf>
    <xf numFmtId="0" fontId="15"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21" fillId="0" borderId="1" xfId="0" applyFont="1" applyFill="1" applyBorder="1" applyAlignment="1">
      <alignment horizontal="left" vertical="center" wrapText="1"/>
    </xf>
    <xf numFmtId="0" fontId="22" fillId="0" borderId="1" xfId="0" applyFont="1" applyFill="1" applyBorder="1" applyAlignment="1">
      <alignment horizontal="left" vertical="center"/>
    </xf>
    <xf numFmtId="0" fontId="23" fillId="0" borderId="1" xfId="0" applyFont="1" applyFill="1" applyBorder="1" applyAlignment="1">
      <alignment horizontal="left" vertical="center" wrapText="1"/>
    </xf>
    <xf numFmtId="0" fontId="0" fillId="0" borderId="0" xfId="0" applyFill="1" applyBorder="1">
      <alignment vertical="center"/>
    </xf>
    <xf numFmtId="0" fontId="0" fillId="0" borderId="0" xfId="0" applyFill="1" applyBorder="1" applyAlignment="1">
      <alignment horizontal="center" vertical="center"/>
    </xf>
    <xf numFmtId="0" fontId="22" fillId="0" borderId="0" xfId="0" applyFont="1" applyFill="1" applyBorder="1" applyAlignment="1">
      <alignment horizontal="left" vertical="center"/>
    </xf>
    <xf numFmtId="0" fontId="15" fillId="0" borderId="1" xfId="0" applyFont="1" applyFill="1" applyBorder="1" applyAlignment="1">
      <alignment horizontal="center" vertical="center"/>
    </xf>
    <xf numFmtId="0" fontId="23" fillId="0" borderId="0" xfId="0" applyFont="1" applyFill="1" applyBorder="1" applyAlignment="1">
      <alignment horizontal="left" vertical="center"/>
    </xf>
    <xf numFmtId="0" fontId="25" fillId="0" borderId="0" xfId="0" applyFont="1" applyFill="1" applyBorder="1" applyAlignment="1">
      <alignment horizontal="left" vertical="center"/>
    </xf>
    <xf numFmtId="0" fontId="26" fillId="0" borderId="0" xfId="0" applyFont="1" applyFill="1" applyBorder="1" applyAlignment="1">
      <alignment horizontal="left" vertical="center" wrapText="1"/>
    </xf>
    <xf numFmtId="0" fontId="27" fillId="0" borderId="0" xfId="0" applyFont="1" applyFill="1" applyBorder="1" applyAlignment="1">
      <alignment horizontal="left" vertical="center" wrapText="1"/>
    </xf>
    <xf numFmtId="0" fontId="8" fillId="3" borderId="1" xfId="0" applyFont="1" applyFill="1" applyBorder="1" applyAlignment="1">
      <alignment horizontal="center" vertical="center"/>
    </xf>
    <xf numFmtId="0" fontId="23" fillId="0" borderId="1" xfId="0" applyFont="1" applyFill="1" applyBorder="1" applyAlignment="1">
      <alignment horizontal="left" vertical="center"/>
    </xf>
    <xf numFmtId="0" fontId="19" fillId="0" borderId="1" xfId="0" applyFont="1" applyFill="1" applyBorder="1">
      <alignment vertical="center"/>
    </xf>
    <xf numFmtId="0" fontId="28" fillId="0" borderId="0" xfId="0" applyFont="1">
      <alignment vertical="center"/>
    </xf>
    <xf numFmtId="0" fontId="19" fillId="0" borderId="0" xfId="0" applyFont="1" applyFill="1">
      <alignment vertical="center"/>
    </xf>
    <xf numFmtId="0" fontId="19" fillId="0" borderId="0" xfId="0" applyFont="1" applyFill="1" applyAlignment="1">
      <alignment horizontal="center" vertical="center"/>
    </xf>
    <xf numFmtId="0" fontId="8" fillId="4" borderId="1" xfId="15" applyFont="1" applyFill="1" applyBorder="1" applyAlignment="1">
      <alignment horizontal="center" vertical="center" wrapText="1"/>
    </xf>
    <xf numFmtId="0" fontId="8" fillId="4" borderId="1" xfId="15" applyFont="1" applyFill="1" applyBorder="1" applyAlignment="1">
      <alignment horizontal="left" vertical="center" wrapText="1"/>
    </xf>
    <xf numFmtId="0" fontId="17" fillId="0" borderId="1" xfId="15" applyFont="1" applyFill="1" applyBorder="1" applyAlignment="1">
      <alignment horizontal="left" vertical="center" wrapText="1"/>
    </xf>
    <xf numFmtId="0" fontId="17" fillId="0" borderId="1" xfId="15" applyFont="1" applyFill="1" applyBorder="1" applyAlignment="1">
      <alignment horizontal="center" vertical="center" wrapText="1"/>
    </xf>
    <xf numFmtId="0" fontId="70" fillId="0" borderId="0" xfId="15">
      <alignment vertical="center"/>
    </xf>
    <xf numFmtId="0" fontId="70" fillId="0" borderId="0" xfId="15" applyAlignment="1">
      <alignment horizontal="left" vertical="center"/>
    </xf>
    <xf numFmtId="0" fontId="70" fillId="0" borderId="0" xfId="15" applyAlignment="1">
      <alignment horizontal="center" vertical="center"/>
    </xf>
    <xf numFmtId="0" fontId="8" fillId="4" borderId="1" xfId="15" applyFont="1" applyFill="1" applyBorder="1" applyAlignment="1">
      <alignment horizontal="left" vertical="center"/>
    </xf>
    <xf numFmtId="0" fontId="17" fillId="0" borderId="1" xfId="15" applyFont="1" applyFill="1" applyBorder="1" applyAlignment="1">
      <alignment horizontal="left" vertical="center"/>
    </xf>
    <xf numFmtId="0" fontId="19" fillId="0" borderId="4" xfId="0" applyFont="1" applyFill="1" applyBorder="1" applyAlignment="1">
      <alignment horizontal="center" vertical="center" wrapText="1"/>
    </xf>
    <xf numFmtId="0" fontId="17" fillId="0" borderId="2" xfId="15" applyFont="1" applyFill="1" applyBorder="1" applyAlignment="1">
      <alignment horizontal="left" vertical="center" wrapText="1"/>
    </xf>
    <xf numFmtId="0" fontId="19" fillId="0" borderId="1" xfId="0" applyFont="1" applyFill="1" applyBorder="1" applyAlignment="1">
      <alignment horizontal="center" vertical="center"/>
    </xf>
    <xf numFmtId="0" fontId="1" fillId="0" borderId="0" xfId="7" applyFont="1" applyFill="1" applyBorder="1" applyAlignment="1">
      <alignment horizontal="center" vertical="center" wrapText="1"/>
    </xf>
    <xf numFmtId="0" fontId="7" fillId="0" borderId="0" xfId="0" applyFont="1" applyFill="1">
      <alignment vertical="center"/>
    </xf>
    <xf numFmtId="0" fontId="22" fillId="0" borderId="0" xfId="0" applyFont="1" applyFill="1">
      <alignment vertical="center"/>
    </xf>
    <xf numFmtId="0" fontId="7" fillId="0" borderId="0" xfId="0" applyFont="1" applyFill="1" applyBorder="1">
      <alignment vertical="center"/>
    </xf>
    <xf numFmtId="0" fontId="7" fillId="0" borderId="0" xfId="0" applyFont="1" applyFill="1" applyBorder="1" applyAlignment="1">
      <alignment horizontal="left" vertical="center" wrapText="1"/>
    </xf>
    <xf numFmtId="0" fontId="1" fillId="3" borderId="1" xfId="7" applyFont="1" applyFill="1" applyBorder="1" applyAlignment="1">
      <alignment horizontal="center" vertical="center" wrapText="1"/>
    </xf>
    <xf numFmtId="0" fontId="5" fillId="0" borderId="1"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21" fillId="0" borderId="1" xfId="0" applyFont="1" applyFill="1" applyBorder="1" applyAlignment="1">
      <alignment vertical="center" wrapText="1"/>
    </xf>
    <xf numFmtId="0" fontId="23" fillId="0" borderId="1" xfId="0" applyFont="1" applyFill="1" applyBorder="1" applyAlignment="1">
      <alignment horizontal="center" vertical="center" wrapText="1"/>
    </xf>
    <xf numFmtId="0" fontId="21" fillId="0" borderId="1" xfId="0" applyFont="1" applyFill="1" applyBorder="1" applyAlignment="1">
      <alignment horizontal="center" vertical="center"/>
    </xf>
    <xf numFmtId="0" fontId="7" fillId="0" borderId="1" xfId="0" applyFont="1" applyFill="1" applyBorder="1">
      <alignment vertical="center"/>
    </xf>
    <xf numFmtId="0" fontId="23" fillId="0" borderId="1" xfId="0" applyFont="1" applyFill="1" applyBorder="1" applyAlignment="1">
      <alignment horizontal="center" vertical="center"/>
    </xf>
    <xf numFmtId="0" fontId="22" fillId="0" borderId="1" xfId="0" applyFont="1" applyFill="1" applyBorder="1">
      <alignment vertical="center"/>
    </xf>
    <xf numFmtId="0" fontId="29" fillId="0" borderId="0" xfId="0" applyFont="1" applyFill="1" applyBorder="1" applyAlignment="1">
      <alignment horizontal="left" vertical="center"/>
    </xf>
    <xf numFmtId="0" fontId="30" fillId="0" borderId="0" xfId="0" applyFont="1" applyFill="1" applyBorder="1">
      <alignment vertical="center"/>
    </xf>
    <xf numFmtId="0" fontId="31" fillId="0" borderId="0" xfId="0" applyFont="1" applyFill="1" applyBorder="1">
      <alignment vertical="center"/>
    </xf>
    <xf numFmtId="0" fontId="32" fillId="0" borderId="0" xfId="0" applyFont="1" applyFill="1" applyBorder="1">
      <alignment vertical="center"/>
    </xf>
    <xf numFmtId="0" fontId="31" fillId="2" borderId="0" xfId="0" applyFont="1" applyFill="1" applyBorder="1">
      <alignment vertical="center"/>
    </xf>
    <xf numFmtId="0" fontId="28" fillId="0" borderId="0" xfId="0" applyFont="1" applyFill="1" applyBorder="1" applyAlignment="1">
      <alignment horizontal="center" vertical="center"/>
    </xf>
    <xf numFmtId="0" fontId="0" fillId="0" borderId="0" xfId="0" applyFill="1" applyBorder="1" applyAlignment="1">
      <alignment vertical="center"/>
    </xf>
    <xf numFmtId="0" fontId="0" fillId="0" borderId="0" xfId="0" applyFill="1" applyBorder="1" applyAlignment="1">
      <alignment horizontal="left" vertical="center"/>
    </xf>
    <xf numFmtId="0" fontId="33" fillId="0" borderId="0" xfId="0" applyFont="1" applyFill="1" applyBorder="1">
      <alignment vertical="center"/>
    </xf>
    <xf numFmtId="0" fontId="1" fillId="3" borderId="1" xfId="0" applyFont="1" applyFill="1" applyBorder="1" applyAlignment="1">
      <alignment vertical="center" wrapText="1"/>
    </xf>
    <xf numFmtId="0" fontId="23" fillId="0" borderId="1" xfId="0" applyFont="1" applyFill="1" applyBorder="1" applyAlignment="1">
      <alignment vertical="center" wrapText="1"/>
    </xf>
    <xf numFmtId="0" fontId="21" fillId="0" borderId="2" xfId="0" applyFont="1" applyFill="1" applyBorder="1" applyAlignment="1">
      <alignment horizontal="center" vertical="center" wrapText="1"/>
    </xf>
    <xf numFmtId="0" fontId="21" fillId="0" borderId="1" xfId="0" applyFont="1" applyFill="1" applyBorder="1" applyAlignment="1">
      <alignment vertical="center"/>
    </xf>
    <xf numFmtId="49" fontId="21" fillId="0" borderId="1" xfId="0" applyNumberFormat="1" applyFont="1" applyFill="1" applyBorder="1" applyAlignment="1">
      <alignment horizontal="center" vertical="center" wrapText="1"/>
    </xf>
    <xf numFmtId="49" fontId="21" fillId="0" borderId="1" xfId="0" applyNumberFormat="1" applyFont="1" applyFill="1" applyBorder="1" applyAlignment="1">
      <alignment horizontal="left" vertical="center" wrapText="1"/>
    </xf>
    <xf numFmtId="0" fontId="20" fillId="0" borderId="1" xfId="0" applyFont="1" applyFill="1" applyBorder="1">
      <alignment vertical="center"/>
    </xf>
    <xf numFmtId="0" fontId="23" fillId="0" borderId="1" xfId="0" applyFont="1" applyFill="1" applyBorder="1">
      <alignment vertical="center"/>
    </xf>
    <xf numFmtId="49" fontId="23" fillId="0" borderId="1" xfId="0" applyNumberFormat="1" applyFont="1" applyFill="1" applyBorder="1" applyAlignment="1">
      <alignment horizontal="left" vertical="center" wrapText="1"/>
    </xf>
    <xf numFmtId="0" fontId="21" fillId="0" borderId="0" xfId="0" applyFont="1" applyFill="1" applyBorder="1">
      <alignment vertical="center"/>
    </xf>
    <xf numFmtId="0" fontId="19" fillId="0" borderId="1" xfId="0" applyFont="1" applyFill="1" applyBorder="1" applyAlignment="1">
      <alignment horizontal="left" vertical="center" wrapText="1"/>
    </xf>
    <xf numFmtId="0" fontId="23" fillId="7" borderId="1" xfId="0" applyFont="1" applyFill="1" applyBorder="1" applyAlignment="1">
      <alignment horizontal="left" vertical="center" wrapText="1"/>
    </xf>
    <xf numFmtId="0" fontId="23" fillId="8" borderId="1" xfId="0" applyFont="1" applyFill="1" applyBorder="1" applyAlignment="1">
      <alignment horizontal="left" vertical="center" wrapText="1"/>
    </xf>
    <xf numFmtId="49" fontId="21" fillId="8" borderId="1" xfId="0" applyNumberFormat="1" applyFont="1" applyFill="1" applyBorder="1" applyAlignment="1">
      <alignment horizontal="left" vertical="center" wrapText="1"/>
    </xf>
    <xf numFmtId="0" fontId="23" fillId="5" borderId="1" xfId="0" applyFont="1" applyFill="1" applyBorder="1" applyAlignment="1">
      <alignment horizontal="left" vertical="center" wrapText="1"/>
    </xf>
    <xf numFmtId="49" fontId="23" fillId="5" borderId="1" xfId="0" applyNumberFormat="1" applyFont="1" applyFill="1" applyBorder="1" applyAlignment="1">
      <alignment horizontal="left" vertical="center" wrapText="1"/>
    </xf>
    <xf numFmtId="0" fontId="19" fillId="0" borderId="2" xfId="0" applyFont="1" applyFill="1" applyBorder="1" applyAlignment="1">
      <alignment horizontal="left" vertical="center" wrapText="1"/>
    </xf>
    <xf numFmtId="0" fontId="19" fillId="0" borderId="2"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21" fillId="0" borderId="2" xfId="0" applyFont="1" applyFill="1" applyBorder="1" applyAlignment="1">
      <alignment horizontal="left" vertical="center" wrapText="1"/>
    </xf>
    <xf numFmtId="0" fontId="21" fillId="5" borderId="1" xfId="0" applyFont="1" applyFill="1" applyBorder="1" applyAlignment="1">
      <alignment horizontal="left" vertical="center" wrapText="1"/>
    </xf>
    <xf numFmtId="0" fontId="23" fillId="0" borderId="0" xfId="0" applyFont="1" applyFill="1" applyBorder="1">
      <alignment vertical="center"/>
    </xf>
    <xf numFmtId="0" fontId="21" fillId="0" borderId="4" xfId="0" applyFont="1" applyFill="1" applyBorder="1" applyAlignment="1">
      <alignment horizontal="left" vertical="center" wrapText="1"/>
    </xf>
    <xf numFmtId="0" fontId="23" fillId="9" borderId="1" xfId="0" applyFont="1" applyFill="1" applyBorder="1" applyAlignment="1">
      <alignment horizontal="left" vertical="center" wrapText="1"/>
    </xf>
    <xf numFmtId="0" fontId="34" fillId="2" borderId="1" xfId="21" applyFont="1" applyFill="1" applyBorder="1" applyAlignment="1">
      <alignment vertical="center"/>
    </xf>
    <xf numFmtId="0" fontId="35" fillId="0" borderId="1" xfId="0" applyFont="1" applyFill="1" applyBorder="1" applyAlignment="1">
      <alignment horizontal="left" vertical="center" wrapText="1"/>
    </xf>
    <xf numFmtId="0" fontId="35" fillId="0" borderId="1" xfId="0" applyFont="1" applyFill="1" applyBorder="1" applyAlignment="1">
      <alignment vertical="center" wrapText="1"/>
    </xf>
    <xf numFmtId="0" fontId="35" fillId="0"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0" fillId="0" borderId="1" xfId="0" applyFont="1" applyFill="1" applyBorder="1" applyAlignment="1">
      <alignment horizontal="left" vertical="center" wrapText="1"/>
    </xf>
    <xf numFmtId="0" fontId="21" fillId="0" borderId="1" xfId="0" applyFont="1" applyFill="1" applyBorder="1">
      <alignment vertical="center"/>
    </xf>
    <xf numFmtId="0" fontId="35" fillId="0" borderId="0" xfId="0" applyFont="1" applyFill="1" applyBorder="1">
      <alignment vertical="center"/>
    </xf>
    <xf numFmtId="0" fontId="21" fillId="8" borderId="1" xfId="0" applyFont="1" applyFill="1" applyBorder="1" applyAlignment="1">
      <alignment horizontal="left" vertical="center" wrapText="1"/>
    </xf>
    <xf numFmtId="0" fontId="23" fillId="8" borderId="1" xfId="0" applyFont="1" applyFill="1" applyBorder="1" applyAlignment="1">
      <alignment vertical="center" wrapText="1"/>
    </xf>
    <xf numFmtId="0" fontId="21"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0" fontId="34" fillId="10" borderId="1" xfId="21" applyFont="1" applyFill="1" applyBorder="1" applyAlignment="1">
      <alignment horizontal="center" vertical="center"/>
    </xf>
    <xf numFmtId="0" fontId="34" fillId="0" borderId="1" xfId="21" applyFont="1" applyFill="1" applyBorder="1" applyAlignment="1">
      <alignment horizontal="center" vertical="center"/>
    </xf>
    <xf numFmtId="0" fontId="36" fillId="0" borderId="1" xfId="0" applyFont="1" applyFill="1" applyBorder="1" applyAlignment="1">
      <alignment horizontal="left" vertical="center" wrapText="1"/>
    </xf>
    <xf numFmtId="0" fontId="23" fillId="2" borderId="1" xfId="0" applyFont="1" applyFill="1" applyBorder="1" applyAlignment="1">
      <alignment horizontal="left" vertical="center" wrapText="1"/>
    </xf>
    <xf numFmtId="0" fontId="23" fillId="2" borderId="1" xfId="0" applyFont="1" applyFill="1" applyBorder="1" applyAlignment="1">
      <alignment vertical="center" wrapText="1"/>
    </xf>
    <xf numFmtId="0" fontId="23" fillId="2" borderId="1" xfId="0" applyFont="1" applyFill="1" applyBorder="1" applyAlignment="1">
      <alignment horizontal="center" vertical="center" wrapText="1"/>
    </xf>
    <xf numFmtId="0" fontId="37" fillId="0" borderId="1" xfId="21" applyFont="1" applyFill="1" applyBorder="1" applyAlignment="1">
      <alignment horizontal="center" vertical="center"/>
    </xf>
    <xf numFmtId="0" fontId="23" fillId="0" borderId="2" xfId="0" applyFont="1" applyFill="1" applyBorder="1" applyAlignment="1">
      <alignment horizontal="center" vertical="center" wrapText="1"/>
    </xf>
    <xf numFmtId="0" fontId="37" fillId="0" borderId="1" xfId="21" applyFont="1" applyFill="1" applyBorder="1" applyAlignment="1">
      <alignment vertical="center"/>
    </xf>
    <xf numFmtId="0" fontId="37" fillId="5" borderId="1" xfId="21" applyFont="1" applyFill="1" applyBorder="1" applyAlignment="1">
      <alignment vertical="center"/>
    </xf>
    <xf numFmtId="0" fontId="23" fillId="8" borderId="0" xfId="0" applyFont="1" applyFill="1" applyBorder="1">
      <alignment vertical="center"/>
    </xf>
    <xf numFmtId="0" fontId="23" fillId="5" borderId="0" xfId="0" applyFont="1" applyFill="1" applyBorder="1">
      <alignment vertical="center"/>
    </xf>
    <xf numFmtId="0" fontId="15" fillId="2" borderId="1" xfId="0" applyFont="1" applyFill="1" applyBorder="1" applyAlignment="1">
      <alignment horizontal="center" vertical="center" wrapText="1"/>
    </xf>
    <xf numFmtId="0" fontId="20" fillId="2" borderId="1" xfId="0" applyFont="1" applyFill="1" applyBorder="1">
      <alignment vertical="center"/>
    </xf>
    <xf numFmtId="0" fontId="38" fillId="0" borderId="1" xfId="21" applyFont="1" applyFill="1" applyBorder="1" applyAlignment="1">
      <alignment vertical="center"/>
    </xf>
    <xf numFmtId="0" fontId="38" fillId="0" borderId="1" xfId="21" applyFont="1" applyFill="1" applyBorder="1" applyAlignment="1">
      <alignment horizontal="center" vertical="center"/>
    </xf>
    <xf numFmtId="0" fontId="36" fillId="0" borderId="1" xfId="0" applyFont="1" applyFill="1" applyBorder="1" applyAlignment="1">
      <alignment horizontal="center" vertical="center" wrapText="1"/>
    </xf>
    <xf numFmtId="0" fontId="36" fillId="0" borderId="2" xfId="0" applyFont="1" applyFill="1" applyBorder="1" applyAlignment="1">
      <alignment horizontal="left" vertical="center" wrapText="1"/>
    </xf>
    <xf numFmtId="0" fontId="39" fillId="0" borderId="1" xfId="0" applyFont="1" applyFill="1" applyBorder="1">
      <alignment vertical="center"/>
    </xf>
    <xf numFmtId="0" fontId="36" fillId="0" borderId="0" xfId="0" applyFont="1" applyFill="1" applyBorder="1">
      <alignment vertical="center"/>
    </xf>
    <xf numFmtId="0" fontId="23" fillId="0" borderId="2" xfId="0" applyFont="1" applyFill="1" applyBorder="1" applyAlignment="1">
      <alignment horizontal="left" vertical="center" wrapText="1"/>
    </xf>
    <xf numFmtId="0" fontId="29" fillId="0" borderId="0" xfId="0" applyFont="1">
      <alignment vertical="center"/>
    </xf>
    <xf numFmtId="0" fontId="40" fillId="0" borderId="0" xfId="0" applyFont="1">
      <alignment vertical="center"/>
    </xf>
    <xf numFmtId="0" fontId="40" fillId="0" borderId="0" xfId="0" applyFont="1" applyAlignment="1">
      <alignment horizontal="left" vertical="center"/>
    </xf>
    <xf numFmtId="0" fontId="40" fillId="0" borderId="0" xfId="0" applyFont="1" applyAlignment="1">
      <alignment horizontal="center" vertical="center"/>
    </xf>
    <xf numFmtId="0" fontId="22" fillId="0" borderId="0" xfId="0" applyFont="1" applyAlignment="1">
      <alignment horizontal="left" vertical="center"/>
    </xf>
    <xf numFmtId="0" fontId="5" fillId="3" borderId="1" xfId="0" applyFont="1" applyFill="1" applyBorder="1" applyAlignment="1">
      <alignment horizontal="left" vertical="center" wrapText="1"/>
    </xf>
    <xf numFmtId="0" fontId="40" fillId="0" borderId="0" xfId="0" applyFont="1" applyFill="1" applyBorder="1">
      <alignment vertical="center"/>
    </xf>
    <xf numFmtId="49" fontId="21" fillId="0" borderId="2" xfId="0" applyNumberFormat="1" applyFont="1" applyFill="1" applyBorder="1" applyAlignment="1">
      <alignment horizontal="center" vertical="center" wrapText="1"/>
    </xf>
    <xf numFmtId="0" fontId="29" fillId="4" borderId="0" xfId="0" applyFont="1" applyFill="1" applyAlignment="1">
      <alignment horizontal="left" vertical="center"/>
    </xf>
    <xf numFmtId="0" fontId="20" fillId="0" borderId="0" xfId="0" applyFont="1" applyFill="1">
      <alignment vertical="center"/>
    </xf>
    <xf numFmtId="0" fontId="20" fillId="2" borderId="0" xfId="0" applyFont="1" applyFill="1">
      <alignment vertical="center"/>
    </xf>
    <xf numFmtId="0" fontId="19" fillId="10" borderId="0" xfId="0" applyFont="1" applyFill="1">
      <alignment vertical="center"/>
    </xf>
    <xf numFmtId="0" fontId="19" fillId="0" borderId="0" xfId="0" applyFont="1" applyAlignment="1">
      <alignment horizontal="center" vertical="center"/>
    </xf>
    <xf numFmtId="0" fontId="33" fillId="2" borderId="0" xfId="0" applyFont="1" applyFill="1">
      <alignment vertical="center"/>
    </xf>
    <xf numFmtId="0" fontId="0" fillId="2" borderId="0" xfId="0" applyFill="1">
      <alignment vertical="center"/>
    </xf>
    <xf numFmtId="0" fontId="5"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21" fillId="0" borderId="1" xfId="18" applyFont="1" applyFill="1" applyBorder="1" applyAlignment="1">
      <alignment horizontal="left" vertical="center" wrapText="1"/>
    </xf>
    <xf numFmtId="0" fontId="21" fillId="0" borderId="1" xfId="18" applyFont="1" applyFill="1" applyBorder="1" applyAlignment="1">
      <alignment horizontal="center" vertical="center" wrapText="1"/>
    </xf>
    <xf numFmtId="0" fontId="23" fillId="0" borderId="1" xfId="18" applyFont="1" applyFill="1" applyBorder="1" applyAlignment="1">
      <alignment horizontal="left" vertical="center" wrapText="1"/>
    </xf>
    <xf numFmtId="0" fontId="23" fillId="0" borderId="1" xfId="18" applyFont="1" applyFill="1" applyBorder="1" applyAlignment="1">
      <alignment horizontal="center" vertical="center" wrapText="1"/>
    </xf>
    <xf numFmtId="0" fontId="23" fillId="2" borderId="1" xfId="18" applyFont="1" applyFill="1" applyBorder="1" applyAlignment="1">
      <alignment horizontal="left" vertical="center" wrapText="1"/>
    </xf>
    <xf numFmtId="0" fontId="23" fillId="2" borderId="1" xfId="18" applyFont="1" applyFill="1" applyBorder="1" applyAlignment="1">
      <alignment horizontal="center" vertical="center" wrapText="1"/>
    </xf>
    <xf numFmtId="0" fontId="36" fillId="0" borderId="1" xfId="18" applyFont="1" applyFill="1" applyBorder="1" applyAlignment="1">
      <alignment horizontal="left" vertical="center" wrapText="1"/>
    </xf>
    <xf numFmtId="0" fontId="21" fillId="8" borderId="1" xfId="18" applyFont="1" applyFill="1" applyBorder="1" applyAlignment="1">
      <alignment horizontal="left" vertical="center" wrapText="1"/>
    </xf>
    <xf numFmtId="0" fontId="23" fillId="8" borderId="1" xfId="18" applyFont="1" applyFill="1" applyBorder="1" applyAlignment="1">
      <alignment horizontal="left" vertical="center" wrapText="1"/>
    </xf>
    <xf numFmtId="0" fontId="17" fillId="10" borderId="1" xfId="21" applyFont="1" applyFill="1" applyBorder="1" applyAlignment="1">
      <alignment vertical="center" wrapText="1"/>
    </xf>
    <xf numFmtId="0" fontId="17" fillId="10" borderId="1" xfId="21" applyFont="1" applyFill="1" applyBorder="1" applyAlignment="1">
      <alignment vertical="center"/>
    </xf>
    <xf numFmtId="0" fontId="34" fillId="10" borderId="1" xfId="21" applyFont="1" applyFill="1" applyBorder="1" applyAlignment="1">
      <alignment horizontal="left" vertical="center"/>
    </xf>
    <xf numFmtId="0" fontId="34" fillId="10" borderId="1" xfId="21" applyFont="1" applyFill="1" applyBorder="1" applyAlignment="1">
      <alignment vertical="center"/>
    </xf>
    <xf numFmtId="0" fontId="21" fillId="10" borderId="1" xfId="18" applyFont="1" applyFill="1" applyBorder="1" applyAlignment="1">
      <alignment horizontal="center" vertical="center" wrapText="1"/>
    </xf>
    <xf numFmtId="0" fontId="15" fillId="0" borderId="1" xfId="21" applyFont="1" applyFill="1" applyBorder="1" applyAlignment="1">
      <alignment vertical="center" wrapText="1"/>
    </xf>
    <xf numFmtId="0" fontId="15" fillId="0" borderId="1" xfId="21" applyFont="1" applyFill="1" applyBorder="1" applyAlignment="1">
      <alignment vertical="center"/>
    </xf>
    <xf numFmtId="0" fontId="37" fillId="0" borderId="1" xfId="21" applyFont="1" applyFill="1" applyBorder="1" applyAlignment="1">
      <alignment horizontal="left" vertical="center"/>
    </xf>
    <xf numFmtId="0" fontId="17" fillId="0" borderId="1" xfId="21" applyFont="1" applyFill="1" applyBorder="1" applyAlignment="1">
      <alignment vertical="center" wrapText="1"/>
    </xf>
    <xf numFmtId="0" fontId="17" fillId="0" borderId="1" xfId="21" applyFont="1" applyFill="1" applyBorder="1" applyAlignment="1">
      <alignment vertical="center"/>
    </xf>
    <xf numFmtId="0" fontId="34" fillId="0" borderId="1" xfId="21" applyFont="1" applyFill="1" applyBorder="1" applyAlignment="1">
      <alignment horizontal="left" vertical="center"/>
    </xf>
    <xf numFmtId="0" fontId="34" fillId="0" borderId="1" xfId="21" applyFont="1" applyFill="1" applyBorder="1" applyAlignment="1">
      <alignment vertical="center"/>
    </xf>
    <xf numFmtId="0" fontId="17" fillId="0" borderId="1" xfId="7" applyFont="1" applyFill="1" applyBorder="1" applyAlignment="1">
      <alignment horizontal="left" vertical="center" wrapText="1"/>
    </xf>
    <xf numFmtId="0" fontId="17" fillId="0" borderId="1" xfId="7" applyFont="1" applyFill="1" applyBorder="1" applyAlignment="1">
      <alignment vertical="center" wrapText="1"/>
    </xf>
    <xf numFmtId="0" fontId="17" fillId="0" borderId="1" xfId="7" applyFont="1" applyFill="1" applyBorder="1" applyAlignment="1">
      <alignment horizontal="center" vertical="center" wrapText="1"/>
    </xf>
    <xf numFmtId="0" fontId="15" fillId="0" borderId="1" xfId="7" applyFont="1" applyFill="1" applyBorder="1" applyAlignment="1">
      <alignment vertical="center" wrapText="1"/>
    </xf>
    <xf numFmtId="0" fontId="15" fillId="0" borderId="1" xfId="7" applyFont="1" applyFill="1" applyBorder="1" applyAlignment="1">
      <alignment horizontal="center" vertical="center" wrapText="1"/>
    </xf>
    <xf numFmtId="0" fontId="37" fillId="0" borderId="1" xfId="7" applyFont="1" applyFill="1" applyBorder="1" applyAlignment="1">
      <alignment vertical="center" wrapText="1"/>
    </xf>
    <xf numFmtId="0" fontId="23" fillId="0" borderId="1" xfId="7" applyFont="1" applyFill="1" applyBorder="1" applyAlignment="1">
      <alignment horizontal="left" vertical="center" wrapText="1"/>
    </xf>
    <xf numFmtId="0" fontId="23" fillId="0" borderId="1" xfId="7" applyFont="1" applyFill="1" applyBorder="1" applyAlignment="1">
      <alignment horizontal="center" vertical="center" wrapText="1"/>
    </xf>
    <xf numFmtId="0" fontId="29" fillId="2" borderId="0" xfId="0" applyFont="1" applyFill="1" applyAlignment="1">
      <alignment horizontal="left" vertical="center"/>
    </xf>
    <xf numFmtId="0" fontId="23" fillId="0" borderId="1" xfId="19" applyFont="1" applyFill="1" applyBorder="1" applyAlignment="1">
      <alignment horizontal="left" vertical="center" wrapText="1"/>
    </xf>
    <xf numFmtId="0" fontId="23" fillId="2" borderId="1" xfId="0" applyFont="1" applyFill="1" applyBorder="1">
      <alignment vertical="center"/>
    </xf>
    <xf numFmtId="0" fontId="23" fillId="8" borderId="1" xfId="0" applyFont="1" applyFill="1" applyBorder="1">
      <alignment vertical="center"/>
    </xf>
    <xf numFmtId="0" fontId="23" fillId="5" borderId="1" xfId="18" applyFont="1" applyFill="1" applyBorder="1" applyAlignment="1">
      <alignment horizontal="left" vertical="center" wrapText="1"/>
    </xf>
    <xf numFmtId="0" fontId="23" fillId="0" borderId="1" xfId="18" applyFont="1" applyFill="1" applyBorder="1" applyAlignment="1">
      <alignment horizontal="left" vertical="center"/>
    </xf>
    <xf numFmtId="0" fontId="17" fillId="10" borderId="1" xfId="7" applyFont="1" applyFill="1" applyBorder="1" applyAlignment="1">
      <alignment horizontal="center" vertical="center" wrapText="1"/>
    </xf>
    <xf numFmtId="0" fontId="17" fillId="10" borderId="1" xfId="7" applyFont="1" applyFill="1" applyBorder="1" applyAlignment="1">
      <alignment horizontal="left" vertical="center"/>
    </xf>
    <xf numFmtId="0" fontId="21" fillId="10" borderId="1" xfId="0" applyFont="1" applyFill="1" applyBorder="1">
      <alignment vertical="center"/>
    </xf>
    <xf numFmtId="0" fontId="15" fillId="0" borderId="1" xfId="7" applyFont="1" applyFill="1" applyBorder="1" applyAlignment="1">
      <alignment horizontal="left" vertical="center"/>
    </xf>
    <xf numFmtId="0" fontId="17" fillId="0" borderId="1" xfId="7" applyFont="1" applyFill="1" applyBorder="1" applyAlignment="1">
      <alignment horizontal="left" vertical="center"/>
    </xf>
    <xf numFmtId="0" fontId="17" fillId="0" borderId="4" xfId="0" applyFont="1" applyFill="1" applyBorder="1" applyAlignment="1">
      <alignment horizontal="center" vertical="center" wrapText="1"/>
    </xf>
    <xf numFmtId="0" fontId="23" fillId="0" borderId="2" xfId="0" applyFont="1" applyFill="1" applyBorder="1" applyAlignment="1">
      <alignment vertical="center" wrapText="1"/>
    </xf>
    <xf numFmtId="0" fontId="37" fillId="0" borderId="1" xfId="7" applyFont="1" applyFill="1" applyBorder="1" applyAlignment="1">
      <alignment horizontal="center" vertical="center" wrapText="1"/>
    </xf>
    <xf numFmtId="0" fontId="37" fillId="0" borderId="1" xfId="7" applyFont="1" applyFill="1" applyBorder="1" applyAlignment="1">
      <alignment horizontal="left" vertical="center"/>
    </xf>
    <xf numFmtId="0" fontId="23" fillId="0" borderId="1" xfId="7" applyFont="1" applyFill="1" applyBorder="1" applyAlignment="1">
      <alignment horizontal="left" vertical="center"/>
    </xf>
    <xf numFmtId="0" fontId="21" fillId="0" borderId="1" xfId="7" applyFont="1" applyFill="1" applyBorder="1" applyAlignment="1">
      <alignment horizontal="left" vertical="center" wrapText="1"/>
    </xf>
    <xf numFmtId="0" fontId="21" fillId="0" borderId="1" xfId="7" applyFont="1" applyFill="1" applyBorder="1" applyAlignment="1">
      <alignment horizontal="center" vertical="center" wrapText="1"/>
    </xf>
    <xf numFmtId="0" fontId="21" fillId="0" borderId="1" xfId="7" applyFont="1" applyFill="1" applyBorder="1" applyAlignment="1">
      <alignment horizontal="left" vertical="center"/>
    </xf>
    <xf numFmtId="0" fontId="1" fillId="0" borderId="0" xfId="0" applyFont="1" applyFill="1" applyAlignment="1">
      <alignment horizontal="center" vertical="center"/>
    </xf>
    <xf numFmtId="0" fontId="21" fillId="0" borderId="0" xfId="0" applyFont="1" applyFill="1">
      <alignment vertical="center"/>
    </xf>
    <xf numFmtId="0" fontId="23" fillId="0" borderId="0" xfId="0" applyFont="1" applyFill="1">
      <alignment vertical="center"/>
    </xf>
    <xf numFmtId="0" fontId="33" fillId="0" borderId="0" xfId="0" applyFont="1">
      <alignment vertical="center"/>
    </xf>
    <xf numFmtId="0" fontId="33" fillId="0" borderId="0" xfId="0" applyFont="1" applyAlignment="1">
      <alignment horizontal="center" vertical="center"/>
    </xf>
    <xf numFmtId="0" fontId="21" fillId="0" borderId="1" xfId="15" applyFont="1" applyFill="1" applyBorder="1" applyAlignment="1">
      <alignment horizontal="left" vertical="center" wrapText="1"/>
    </xf>
    <xf numFmtId="0" fontId="21" fillId="0" borderId="1" xfId="15" applyFont="1" applyFill="1" applyBorder="1" applyAlignment="1">
      <alignment horizontal="center" vertical="center" wrapText="1"/>
    </xf>
    <xf numFmtId="0" fontId="21" fillId="0" borderId="2" xfId="15" applyFont="1" applyFill="1" applyBorder="1" applyAlignment="1">
      <alignment horizontal="left" vertical="center" wrapText="1"/>
    </xf>
    <xf numFmtId="0" fontId="21" fillId="0" borderId="3" xfId="15" applyFont="1" applyFill="1" applyBorder="1" applyAlignment="1">
      <alignment horizontal="left" vertical="center" wrapText="1"/>
    </xf>
    <xf numFmtId="0" fontId="21" fillId="0" borderId="4" xfId="15" applyFont="1" applyFill="1" applyBorder="1" applyAlignment="1">
      <alignment horizontal="left" vertical="center" wrapText="1"/>
    </xf>
    <xf numFmtId="0" fontId="23" fillId="0" borderId="1" xfId="15" applyFont="1" applyFill="1" applyBorder="1" applyAlignment="1">
      <alignment horizontal="left" vertical="center" wrapText="1"/>
    </xf>
    <xf numFmtId="0" fontId="23" fillId="0" borderId="1" xfId="15" applyFont="1" applyFill="1" applyBorder="1" applyAlignment="1">
      <alignment horizontal="center" vertical="center" wrapText="1"/>
    </xf>
    <xf numFmtId="0" fontId="21" fillId="0" borderId="1" xfId="15" applyFont="1" applyFill="1" applyBorder="1" applyAlignment="1">
      <alignment horizontal="center" vertical="top" wrapText="1"/>
    </xf>
    <xf numFmtId="0" fontId="21" fillId="0" borderId="1" xfId="15" applyFont="1" applyFill="1" applyBorder="1" applyAlignment="1">
      <alignment horizontal="center" vertical="center"/>
    </xf>
    <xf numFmtId="0" fontId="23" fillId="9" borderId="1" xfId="15" applyFont="1" applyFill="1" applyBorder="1" applyAlignment="1">
      <alignment horizontal="center" vertical="center"/>
    </xf>
    <xf numFmtId="0" fontId="23" fillId="0" borderId="1" xfId="15" applyFont="1" applyFill="1" applyBorder="1" applyAlignment="1">
      <alignment horizontal="center" vertical="top" wrapText="1"/>
    </xf>
    <xf numFmtId="49" fontId="23" fillId="9" borderId="1" xfId="0" applyNumberFormat="1" applyFont="1" applyFill="1" applyBorder="1" applyAlignment="1">
      <alignment horizontal="center" vertical="center" wrapText="1"/>
    </xf>
    <xf numFmtId="0" fontId="23" fillId="0" borderId="1" xfId="15" applyFont="1" applyFill="1" applyBorder="1" applyAlignment="1">
      <alignment horizontal="center" vertical="center"/>
    </xf>
    <xf numFmtId="0" fontId="22" fillId="0" borderId="0" xfId="0" applyFont="1" applyFill="1" applyBorder="1" applyAlignment="1">
      <alignment horizontal="left" vertical="center" wrapText="1"/>
    </xf>
    <xf numFmtId="0" fontId="22" fillId="0" borderId="0" xfId="0" applyFont="1" applyFill="1" applyBorder="1">
      <alignment vertical="center"/>
    </xf>
    <xf numFmtId="0" fontId="21" fillId="0" borderId="0" xfId="15" applyFont="1" applyFill="1">
      <alignment vertical="center"/>
    </xf>
    <xf numFmtId="0" fontId="22" fillId="2" borderId="0" xfId="0" applyFont="1" applyFill="1" applyBorder="1">
      <alignment vertical="center"/>
    </xf>
    <xf numFmtId="0" fontId="26" fillId="0" borderId="0" xfId="0" applyFont="1" applyFill="1" applyBorder="1" applyAlignment="1">
      <alignment horizontal="center" vertical="center" wrapText="1"/>
    </xf>
    <xf numFmtId="0" fontId="40" fillId="0" borderId="0" xfId="0" applyFont="1" applyAlignment="1">
      <alignment vertical="center"/>
    </xf>
    <xf numFmtId="0" fontId="22" fillId="0" borderId="0" xfId="0" applyFont="1" applyAlignment="1">
      <alignment horizontal="center" vertical="center"/>
    </xf>
    <xf numFmtId="0" fontId="21" fillId="0" borderId="2" xfId="0" applyFont="1" applyFill="1" applyBorder="1" applyAlignment="1">
      <alignment vertical="center" wrapText="1"/>
    </xf>
    <xf numFmtId="0" fontId="17" fillId="0" borderId="1" xfId="0" applyFont="1" applyFill="1" applyBorder="1" applyAlignment="1">
      <alignment vertical="center" wrapText="1"/>
    </xf>
    <xf numFmtId="0" fontId="17" fillId="0" borderId="4" xfId="0" applyFont="1" applyFill="1" applyBorder="1" applyAlignment="1">
      <alignment horizontal="left" vertical="center" wrapText="1"/>
    </xf>
    <xf numFmtId="0" fontId="17" fillId="0" borderId="4" xfId="0" applyFont="1" applyFill="1" applyBorder="1" applyAlignment="1">
      <alignment vertical="center" wrapText="1"/>
    </xf>
    <xf numFmtId="0" fontId="21" fillId="0" borderId="4" xfId="0" applyFont="1" applyFill="1" applyBorder="1" applyAlignment="1">
      <alignment horizontal="center" vertical="center" wrapText="1"/>
    </xf>
    <xf numFmtId="0" fontId="34" fillId="0" borderId="4" xfId="21" applyFont="1" applyFill="1" applyBorder="1" applyAlignment="1">
      <alignment horizontal="center" vertical="center" wrapText="1"/>
    </xf>
    <xf numFmtId="0" fontId="41" fillId="0" borderId="1" xfId="0" applyFont="1" applyFill="1" applyBorder="1" applyAlignment="1">
      <alignment horizontal="center" vertical="center" wrapText="1"/>
    </xf>
    <xf numFmtId="0" fontId="21" fillId="0" borderId="4" xfId="0" applyFont="1" applyFill="1" applyBorder="1" applyAlignment="1">
      <alignment vertical="center" wrapText="1"/>
    </xf>
    <xf numFmtId="0" fontId="7" fillId="0" borderId="4" xfId="0" applyFont="1" applyFill="1" applyBorder="1">
      <alignment vertical="center"/>
    </xf>
    <xf numFmtId="0" fontId="17" fillId="0" borderId="1" xfId="18" applyFont="1" applyFill="1" applyBorder="1" applyAlignment="1">
      <alignment horizontal="left" vertical="center" wrapText="1"/>
    </xf>
    <xf numFmtId="0" fontId="22" fillId="2" borderId="1" xfId="0" applyFont="1" applyFill="1" applyBorder="1">
      <alignment vertical="center"/>
    </xf>
    <xf numFmtId="0" fontId="23" fillId="5" borderId="1" xfId="0" applyFont="1" applyFill="1" applyBorder="1" applyAlignment="1">
      <alignment vertical="center" wrapText="1"/>
    </xf>
    <xf numFmtId="0" fontId="23" fillId="0" borderId="1" xfId="0" applyFont="1" applyFill="1" applyBorder="1" applyAlignment="1">
      <alignment vertical="center"/>
    </xf>
    <xf numFmtId="0" fontId="22" fillId="0" borderId="1" xfId="0" applyFont="1" applyFill="1" applyBorder="1" applyAlignment="1">
      <alignment horizontal="center" vertical="center"/>
    </xf>
    <xf numFmtId="49" fontId="23" fillId="0" borderId="1" xfId="0" applyNumberFormat="1" applyFont="1" applyFill="1" applyBorder="1" applyAlignment="1">
      <alignment horizontal="center" vertical="center" wrapText="1"/>
    </xf>
    <xf numFmtId="49" fontId="36" fillId="0" borderId="1" xfId="0" applyNumberFormat="1" applyFont="1" applyFill="1" applyBorder="1" applyAlignment="1">
      <alignment horizontal="center" vertical="center" wrapText="1"/>
    </xf>
    <xf numFmtId="0" fontId="36" fillId="0" borderId="1" xfId="0" applyFont="1" applyFill="1" applyBorder="1">
      <alignment vertical="center"/>
    </xf>
    <xf numFmtId="0" fontId="15" fillId="9" borderId="1" xfId="0" applyFont="1" applyFill="1" applyBorder="1" applyAlignment="1">
      <alignment horizontal="center" vertical="center"/>
    </xf>
    <xf numFmtId="0" fontId="21" fillId="0" borderId="2" xfId="0" applyFont="1" applyFill="1" applyBorder="1">
      <alignment vertical="center"/>
    </xf>
    <xf numFmtId="0" fontId="21" fillId="0" borderId="1" xfId="0" applyFont="1" applyFill="1" applyBorder="1" applyAlignment="1">
      <alignment horizontal="left" vertical="center"/>
    </xf>
    <xf numFmtId="0" fontId="17" fillId="0" borderId="4" xfId="0" applyFont="1" applyFill="1" applyBorder="1" applyAlignment="1">
      <alignment horizontal="center" vertical="center"/>
    </xf>
    <xf numFmtId="0" fontId="21" fillId="0" borderId="4" xfId="0" applyFont="1" applyFill="1" applyBorder="1" applyAlignment="1">
      <alignment horizontal="left" vertical="center"/>
    </xf>
    <xf numFmtId="0" fontId="23" fillId="0" borderId="2" xfId="0" applyFont="1" applyFill="1" applyBorder="1">
      <alignment vertical="center"/>
    </xf>
    <xf numFmtId="49"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xf>
    <xf numFmtId="0" fontId="21" fillId="0" borderId="4" xfId="0" applyFont="1" applyFill="1" applyBorder="1">
      <alignment vertical="center"/>
    </xf>
    <xf numFmtId="0" fontId="7" fillId="0" borderId="0" xfId="0" applyFont="1" applyFill="1" applyBorder="1" applyAlignment="1">
      <alignment horizontal="center" vertical="center"/>
    </xf>
    <xf numFmtId="49" fontId="23" fillId="2" borderId="1" xfId="0" applyNumberFormat="1" applyFont="1" applyFill="1" applyBorder="1" applyAlignment="1">
      <alignment horizontal="center" vertical="center" wrapText="1"/>
    </xf>
    <xf numFmtId="0" fontId="1" fillId="4" borderId="0" xfId="0" applyFont="1" applyFill="1" applyAlignment="1">
      <alignment horizontal="center" vertical="center"/>
    </xf>
    <xf numFmtId="0" fontId="7" fillId="6" borderId="0" xfId="0" applyFont="1" applyFill="1" applyAlignment="1">
      <alignment horizontal="left" vertical="center"/>
    </xf>
    <xf numFmtId="0" fontId="21" fillId="0" borderId="0" xfId="0" applyFont="1" applyFill="1" applyBorder="1" applyAlignment="1">
      <alignment horizontal="left" vertical="center" wrapText="1"/>
    </xf>
    <xf numFmtId="0" fontId="21" fillId="2" borderId="0" xfId="0" applyFont="1" applyFill="1" applyBorder="1" applyAlignment="1">
      <alignment horizontal="left" vertical="center" wrapText="1"/>
    </xf>
    <xf numFmtId="0" fontId="33" fillId="0" borderId="0" xfId="0" applyFont="1" applyFill="1">
      <alignment vertical="center"/>
    </xf>
    <xf numFmtId="0" fontId="4" fillId="0" borderId="0" xfId="0" applyFont="1" applyFill="1">
      <alignment vertical="center"/>
    </xf>
    <xf numFmtId="0" fontId="33" fillId="0" borderId="0" xfId="0" applyFont="1" applyFill="1" applyAlignment="1">
      <alignment horizontal="center" vertical="center"/>
    </xf>
    <xf numFmtId="0" fontId="4" fillId="0" borderId="0" xfId="0" applyFont="1" applyFill="1" applyAlignment="1">
      <alignment horizontal="center" vertical="center"/>
    </xf>
    <xf numFmtId="0" fontId="9" fillId="3" borderId="1" xfId="0" applyFont="1" applyFill="1" applyBorder="1" applyAlignment="1">
      <alignment horizontal="center" vertical="center" wrapText="1"/>
    </xf>
    <xf numFmtId="0" fontId="43" fillId="3" borderId="1" xfId="12" applyFont="1" applyFill="1" applyBorder="1" applyAlignment="1">
      <alignment horizontal="center" vertical="center" wrapText="1"/>
    </xf>
    <xf numFmtId="0" fontId="21" fillId="2" borderId="1" xfId="0" applyFont="1" applyFill="1" applyBorder="1" applyAlignment="1">
      <alignment horizontal="left" vertical="center" wrapText="1"/>
    </xf>
    <xf numFmtId="0" fontId="21" fillId="2" borderId="1" xfId="0" applyFont="1" applyFill="1" applyBorder="1" applyAlignment="1">
      <alignment horizontal="center" vertical="center" wrapText="1"/>
    </xf>
    <xf numFmtId="0" fontId="21" fillId="2" borderId="1" xfId="0" applyFont="1" applyFill="1" applyBorder="1">
      <alignment vertical="center"/>
    </xf>
    <xf numFmtId="0" fontId="21" fillId="2" borderId="0" xfId="0" applyFont="1" applyFill="1" applyBorder="1">
      <alignment vertical="center"/>
    </xf>
    <xf numFmtId="0" fontId="20" fillId="0" borderId="0" xfId="0" applyFont="1" applyAlignment="1">
      <alignment horizontal="center" vertical="center"/>
    </xf>
    <xf numFmtId="0" fontId="25" fillId="0" borderId="0" xfId="0" applyFont="1" applyFill="1" applyAlignment="1">
      <alignment horizontal="left" vertical="center"/>
    </xf>
    <xf numFmtId="0" fontId="17" fillId="0" borderId="1" xfId="12" applyFont="1" applyFill="1" applyBorder="1" applyAlignment="1">
      <alignment horizontal="left" vertical="center" wrapText="1"/>
    </xf>
    <xf numFmtId="0" fontId="17" fillId="0" borderId="1" xfId="12" applyFont="1" applyFill="1" applyBorder="1" applyAlignment="1">
      <alignment horizontal="center" vertical="center" wrapText="1"/>
    </xf>
    <xf numFmtId="0" fontId="17" fillId="0" borderId="1" xfId="12" applyFont="1" applyFill="1" applyBorder="1" applyAlignment="1">
      <alignment horizontal="center" vertical="center"/>
    </xf>
    <xf numFmtId="0" fontId="17" fillId="0" borderId="0" xfId="0" applyFont="1" applyFill="1" applyBorder="1" applyAlignment="1">
      <alignment horizontal="left" vertical="center" wrapText="1"/>
    </xf>
    <xf numFmtId="0" fontId="25" fillId="6" borderId="0" xfId="0" applyFont="1" applyFill="1" applyAlignment="1">
      <alignment horizontal="center" vertical="center"/>
    </xf>
    <xf numFmtId="0" fontId="44" fillId="6" borderId="0" xfId="0" applyFont="1" applyFill="1" applyAlignment="1">
      <alignment horizontal="left" vertical="center" wrapText="1"/>
    </xf>
    <xf numFmtId="0" fontId="44" fillId="6" borderId="0" xfId="0" applyFont="1" applyFill="1" applyAlignment="1">
      <alignment vertical="center" wrapText="1"/>
    </xf>
    <xf numFmtId="0" fontId="7" fillId="6" borderId="0" xfId="0" applyFont="1" applyFill="1" applyAlignment="1">
      <alignment horizontal="center" vertical="center" wrapText="1"/>
    </xf>
    <xf numFmtId="0" fontId="7" fillId="6" borderId="0" xfId="0" applyFont="1" applyFill="1" applyAlignment="1">
      <alignment horizontal="center" vertical="center"/>
    </xf>
    <xf numFmtId="0" fontId="8" fillId="3" borderId="1" xfId="0" applyFont="1" applyFill="1" applyBorder="1" applyAlignment="1">
      <alignment vertical="center" wrapText="1"/>
    </xf>
    <xf numFmtId="0" fontId="8" fillId="3" borderId="1" xfId="0" applyFont="1" applyFill="1" applyBorder="1" applyAlignment="1">
      <alignment horizontal="left" vertical="center" wrapText="1"/>
    </xf>
    <xf numFmtId="0" fontId="17" fillId="0" borderId="7" xfId="0" applyFont="1" applyFill="1" applyBorder="1" applyAlignment="1">
      <alignment horizontal="left" vertical="center" wrapText="1"/>
    </xf>
    <xf numFmtId="0" fontId="17" fillId="0" borderId="7" xfId="0" applyFont="1" applyFill="1" applyBorder="1" applyAlignment="1">
      <alignment vertical="center" wrapText="1"/>
    </xf>
    <xf numFmtId="0" fontId="7" fillId="0" borderId="1" xfId="0" applyFont="1" applyFill="1" applyBorder="1" applyAlignment="1">
      <alignment horizontal="left" vertical="center"/>
    </xf>
    <xf numFmtId="0" fontId="45" fillId="11" borderId="1" xfId="0" applyFont="1" applyFill="1" applyBorder="1" applyAlignment="1">
      <alignment horizontal="center" vertical="top" wrapText="1"/>
    </xf>
    <xf numFmtId="0" fontId="45" fillId="11" borderId="1" xfId="0" applyFont="1" applyFill="1" applyBorder="1" applyAlignment="1">
      <alignment horizontal="left" vertical="top" wrapText="1"/>
    </xf>
    <xf numFmtId="0" fontId="34" fillId="0" borderId="1" xfId="5" applyFont="1" applyBorder="1" applyAlignment="1">
      <alignment horizontal="center" vertical="center"/>
    </xf>
    <xf numFmtId="0" fontId="34" fillId="0" borderId="1" xfId="5" applyFont="1" applyBorder="1" applyAlignment="1">
      <alignment horizontal="left" vertical="top" wrapText="1"/>
    </xf>
    <xf numFmtId="0" fontId="34" fillId="0" borderId="1" xfId="5" applyFont="1" applyBorder="1" applyAlignment="1">
      <alignment horizontal="left" vertical="top"/>
    </xf>
    <xf numFmtId="0" fontId="34" fillId="0" borderId="1" xfId="5" applyFont="1" applyBorder="1" applyAlignment="1">
      <alignment horizontal="center" vertical="top"/>
    </xf>
    <xf numFmtId="0" fontId="34" fillId="12" borderId="1" xfId="5" applyFont="1" applyFill="1" applyBorder="1" applyAlignment="1">
      <alignment horizontal="center" vertical="top"/>
    </xf>
    <xf numFmtId="0" fontId="34" fillId="0" borderId="1" xfId="5" applyFont="1" applyBorder="1" applyAlignment="1">
      <alignment horizontal="center" vertical="top" wrapText="1"/>
    </xf>
    <xf numFmtId="0" fontId="0" fillId="0" borderId="0" xfId="0" applyFont="1" applyAlignment="1">
      <alignment vertical="center" wrapText="1"/>
    </xf>
    <xf numFmtId="0" fontId="0" fillId="0" borderId="0" xfId="0" applyAlignment="1">
      <alignment vertical="center"/>
    </xf>
    <xf numFmtId="0" fontId="46" fillId="0" borderId="0" xfId="0" applyFont="1" applyAlignment="1">
      <alignment horizontal="center" vertical="top" wrapText="1"/>
    </xf>
    <xf numFmtId="0" fontId="46" fillId="0" borderId="0" xfId="0" applyFont="1" applyAlignment="1">
      <alignment vertical="top" wrapText="1"/>
    </xf>
    <xf numFmtId="0" fontId="48" fillId="0" borderId="0" xfId="0" applyFont="1" applyAlignment="1">
      <alignment horizontal="left" vertical="center" wrapText="1"/>
    </xf>
    <xf numFmtId="0" fontId="48" fillId="0" borderId="0" xfId="0" applyFont="1" applyAlignment="1">
      <alignment vertical="center" wrapText="1"/>
    </xf>
    <xf numFmtId="0" fontId="48" fillId="0" borderId="0" xfId="0" applyFont="1" applyAlignment="1">
      <alignment horizontal="center" vertical="center" wrapText="1"/>
    </xf>
    <xf numFmtId="0" fontId="29" fillId="0" borderId="5" xfId="0" applyFont="1" applyBorder="1" applyAlignment="1">
      <alignment vertical="center"/>
    </xf>
    <xf numFmtId="0" fontId="29" fillId="0" borderId="6" xfId="0" applyFont="1" applyBorder="1" applyAlignment="1">
      <alignment vertical="center"/>
    </xf>
    <xf numFmtId="0" fontId="29" fillId="0" borderId="1" xfId="0" applyFont="1" applyBorder="1" applyAlignment="1">
      <alignment horizontal="center" vertical="center"/>
    </xf>
    <xf numFmtId="0" fontId="29" fillId="0" borderId="5" xfId="0" applyFont="1" applyBorder="1" applyAlignment="1">
      <alignment horizontal="center" vertical="center"/>
    </xf>
    <xf numFmtId="0" fontId="40" fillId="0" borderId="1" xfId="0" applyFont="1" applyBorder="1" applyAlignment="1">
      <alignment horizontal="center" vertical="center"/>
    </xf>
    <xf numFmtId="0" fontId="40" fillId="0" borderId="5" xfId="0" applyFont="1" applyBorder="1" applyAlignment="1">
      <alignment vertical="center"/>
    </xf>
    <xf numFmtId="14" fontId="40" fillId="0" borderId="5" xfId="0" applyNumberFormat="1" applyFont="1" applyBorder="1" applyAlignment="1">
      <alignment horizontal="center" vertical="center"/>
    </xf>
    <xf numFmtId="14" fontId="40" fillId="0" borderId="5" xfId="0" applyNumberFormat="1" applyFont="1" applyBorder="1" applyAlignment="1">
      <alignment horizontal="left" vertical="center" wrapText="1"/>
    </xf>
    <xf numFmtId="0" fontId="50" fillId="0" borderId="0" xfId="0" applyFont="1" applyAlignment="1">
      <alignment horizontal="center" vertical="center"/>
    </xf>
    <xf numFmtId="0" fontId="50" fillId="0" borderId="0" xfId="0" applyFont="1" applyAlignment="1">
      <alignment vertical="center"/>
    </xf>
    <xf numFmtId="0" fontId="52" fillId="0" borderId="0" xfId="0" applyFont="1">
      <alignment vertical="center"/>
    </xf>
    <xf numFmtId="0" fontId="53" fillId="11" borderId="1" xfId="0" applyFont="1" applyFill="1" applyBorder="1" applyAlignment="1">
      <alignment horizontal="center" wrapText="1"/>
    </xf>
    <xf numFmtId="0" fontId="7" fillId="0" borderId="1" xfId="5" applyFont="1" applyBorder="1" applyAlignment="1">
      <alignment horizontal="center"/>
    </xf>
    <xf numFmtId="14" fontId="7" fillId="0" borderId="1" xfId="5" applyNumberFormat="1" applyFont="1" applyBorder="1" applyAlignment="1">
      <alignment horizontal="center"/>
    </xf>
    <xf numFmtId="0" fontId="7" fillId="0" borderId="1" xfId="5" applyFont="1" applyBorder="1"/>
    <xf numFmtId="0" fontId="7" fillId="0" borderId="1" xfId="5" applyFont="1" applyBorder="1" applyAlignment="1">
      <alignment horizontal="center" vertical="center"/>
    </xf>
    <xf numFmtId="14" fontId="7" fillId="0" borderId="1" xfId="5" applyNumberFormat="1" applyFont="1" applyBorder="1" applyAlignment="1">
      <alignment horizontal="center" vertical="center"/>
    </xf>
    <xf numFmtId="0" fontId="7" fillId="0" borderId="1" xfId="5" applyFont="1" applyBorder="1" applyAlignment="1">
      <alignment wrapText="1"/>
    </xf>
    <xf numFmtId="0" fontId="7" fillId="0" borderId="3" xfId="5" applyFont="1" applyFill="1" applyBorder="1" applyAlignment="1">
      <alignment wrapText="1"/>
    </xf>
    <xf numFmtId="0" fontId="7" fillId="0" borderId="3" xfId="5" applyFont="1" applyFill="1" applyBorder="1"/>
    <xf numFmtId="14" fontId="0" fillId="0" borderId="0" xfId="0" applyNumberFormat="1" applyAlignment="1">
      <alignment horizontal="center" vertical="center"/>
    </xf>
    <xf numFmtId="0" fontId="7" fillId="0" borderId="0" xfId="5" applyFont="1" applyFill="1" applyBorder="1" applyAlignment="1">
      <alignment horizontal="center" vertical="center"/>
    </xf>
    <xf numFmtId="0" fontId="0" fillId="0" borderId="0" xfId="0" applyFont="1">
      <alignment vertical="center"/>
    </xf>
    <xf numFmtId="0" fontId="54" fillId="0" borderId="0" xfId="0" applyFont="1">
      <alignment vertical="center"/>
    </xf>
    <xf numFmtId="0" fontId="54" fillId="0" borderId="0" xfId="0" applyFont="1" applyAlignment="1">
      <alignment vertical="center" wrapText="1"/>
    </xf>
    <xf numFmtId="0" fontId="54" fillId="6" borderId="0" xfId="0" applyFont="1" applyFill="1">
      <alignment vertical="center"/>
    </xf>
    <xf numFmtId="49" fontId="54" fillId="0" borderId="0" xfId="0" applyNumberFormat="1" applyFont="1">
      <alignment vertical="center"/>
    </xf>
    <xf numFmtId="49" fontId="55" fillId="6" borderId="1" xfId="0" applyNumberFormat="1" applyFont="1" applyFill="1" applyBorder="1" applyAlignment="1">
      <alignment horizontal="left" vertical="center" wrapText="1"/>
    </xf>
    <xf numFmtId="49" fontId="54" fillId="6" borderId="1" xfId="0" applyNumberFormat="1" applyFont="1" applyFill="1" applyBorder="1" applyAlignment="1">
      <alignment horizontal="left" vertical="center" wrapText="1"/>
    </xf>
    <xf numFmtId="0" fontId="56" fillId="6" borderId="1" xfId="0" applyFont="1" applyFill="1" applyBorder="1" applyAlignment="1">
      <alignment horizontal="left" vertical="center" wrapText="1"/>
    </xf>
    <xf numFmtId="0" fontId="54" fillId="0" borderId="1" xfId="0" applyFont="1" applyBorder="1" applyAlignment="1">
      <alignment vertical="center" wrapText="1"/>
    </xf>
    <xf numFmtId="0" fontId="57" fillId="6" borderId="1" xfId="0" applyFont="1" applyFill="1" applyBorder="1" applyAlignment="1">
      <alignment vertical="center" wrapText="1"/>
    </xf>
    <xf numFmtId="49" fontId="54" fillId="0" borderId="1" xfId="0" applyNumberFormat="1" applyFont="1" applyBorder="1">
      <alignment vertical="center"/>
    </xf>
    <xf numFmtId="0" fontId="54" fillId="0" borderId="1" xfId="0" applyFont="1" applyBorder="1">
      <alignment vertical="center"/>
    </xf>
    <xf numFmtId="0" fontId="54" fillId="6" borderId="1" xfId="0" applyFont="1" applyFill="1" applyBorder="1" applyAlignment="1">
      <alignment vertical="center" wrapText="1"/>
    </xf>
    <xf numFmtId="0" fontId="54" fillId="6" borderId="1" xfId="0" applyFont="1" applyFill="1" applyBorder="1">
      <alignment vertical="center"/>
    </xf>
    <xf numFmtId="0" fontId="58" fillId="6" borderId="12" xfId="0" applyFont="1" applyFill="1" applyBorder="1" applyAlignment="1">
      <alignment vertical="center" wrapText="1"/>
    </xf>
    <xf numFmtId="0" fontId="57" fillId="0" borderId="1" xfId="0" applyFont="1" applyBorder="1">
      <alignment vertical="center"/>
    </xf>
    <xf numFmtId="0" fontId="59" fillId="0" borderId="0" xfId="0" applyFont="1">
      <alignment vertical="center"/>
    </xf>
    <xf numFmtId="0" fontId="54" fillId="0" borderId="1" xfId="0" applyFont="1" applyBorder="1" applyAlignment="1">
      <alignment horizontal="left" wrapText="1"/>
    </xf>
    <xf numFmtId="0" fontId="57" fillId="0" borderId="1" xfId="0" applyFont="1" applyBorder="1" applyAlignment="1">
      <alignment horizontal="justify" vertical="center" wrapText="1"/>
    </xf>
    <xf numFmtId="0" fontId="57" fillId="0" borderId="1" xfId="0" applyFont="1" applyBorder="1" applyAlignment="1">
      <alignment vertical="center" wrapText="1"/>
    </xf>
    <xf numFmtId="0" fontId="60" fillId="0" borderId="1" xfId="0" applyFont="1" applyBorder="1" applyAlignment="1">
      <alignment vertical="center" wrapText="1"/>
    </xf>
    <xf numFmtId="0" fontId="60" fillId="0" borderId="1" xfId="0" applyFont="1" applyBorder="1">
      <alignment vertical="center"/>
    </xf>
    <xf numFmtId="0" fontId="60" fillId="6" borderId="1" xfId="0" applyFont="1" applyFill="1" applyBorder="1" applyAlignment="1">
      <alignment horizontal="justify" vertical="center" wrapText="1"/>
    </xf>
    <xf numFmtId="0" fontId="56" fillId="6" borderId="4" xfId="0" applyFont="1" applyFill="1" applyBorder="1" applyAlignment="1">
      <alignment horizontal="left" vertical="center" wrapText="1"/>
    </xf>
    <xf numFmtId="0" fontId="21" fillId="0" borderId="1" xfId="0" applyFont="1" applyFill="1" applyBorder="1" applyAlignment="1">
      <alignment horizontal="center" vertical="center" wrapText="1"/>
    </xf>
    <xf numFmtId="0" fontId="18" fillId="0" borderId="0" xfId="0" applyFont="1" applyAlignment="1">
      <alignment vertical="center" wrapText="1"/>
    </xf>
    <xf numFmtId="0" fontId="6" fillId="0" borderId="1" xfId="15" applyFont="1" applyFill="1" applyBorder="1" applyAlignment="1">
      <alignment horizontal="left" vertical="center" wrapText="1"/>
    </xf>
    <xf numFmtId="0" fontId="6" fillId="0" borderId="1" xfId="15" applyFont="1" applyFill="1" applyBorder="1" applyAlignment="1">
      <alignment horizontal="center" vertical="center" wrapText="1"/>
    </xf>
    <xf numFmtId="0" fontId="11" fillId="0" borderId="1" xfId="15" applyFont="1" applyFill="1" applyBorder="1" applyAlignment="1">
      <alignment horizontal="center" vertical="center" wrapText="1"/>
    </xf>
    <xf numFmtId="0" fontId="4" fillId="0" borderId="1" xfId="15" applyFont="1" applyFill="1" applyBorder="1" applyAlignment="1">
      <alignment horizontal="left" vertical="center" wrapText="1"/>
    </xf>
    <xf numFmtId="0" fontId="11" fillId="0" borderId="1" xfId="15" applyFont="1" applyFill="1" applyBorder="1" applyAlignment="1">
      <alignment horizontal="left" vertical="center" wrapText="1"/>
    </xf>
    <xf numFmtId="0" fontId="24" fillId="0" borderId="1" xfId="15" applyFont="1" applyFill="1" applyBorder="1" applyAlignment="1">
      <alignment horizontal="left" vertical="center" wrapText="1"/>
    </xf>
    <xf numFmtId="0" fontId="0" fillId="0" borderId="1" xfId="0" applyFill="1" applyBorder="1">
      <alignment vertical="center"/>
    </xf>
    <xf numFmtId="0" fontId="0" fillId="0" borderId="0" xfId="0" applyFill="1">
      <alignment vertical="center"/>
    </xf>
    <xf numFmtId="0" fontId="11" fillId="0" borderId="7" xfId="7" applyFont="1" applyFill="1" applyBorder="1" applyAlignment="1">
      <alignment horizontal="left" vertical="center" wrapText="1"/>
    </xf>
    <xf numFmtId="0" fontId="11" fillId="0" borderId="1" xfId="7" applyFont="1" applyFill="1" applyBorder="1" applyAlignment="1">
      <alignment horizontal="left" vertical="center" wrapText="1"/>
    </xf>
    <xf numFmtId="0" fontId="11" fillId="0" borderId="1" xfId="7"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12" fillId="0" borderId="1" xfId="0" applyFont="1" applyFill="1" applyBorder="1" applyAlignment="1">
      <alignment horizontal="center" vertical="center"/>
    </xf>
    <xf numFmtId="0" fontId="16" fillId="0" borderId="1" xfId="0" applyFont="1" applyFill="1" applyBorder="1" applyAlignment="1">
      <alignment horizontal="left" vertical="center"/>
    </xf>
    <xf numFmtId="0" fontId="21" fillId="2" borderId="2" xfId="0" applyFont="1" applyFill="1" applyBorder="1">
      <alignment vertical="center"/>
    </xf>
    <xf numFmtId="0" fontId="29" fillId="0" borderId="5" xfId="0" applyFont="1" applyBorder="1" applyAlignment="1">
      <alignment horizontal="left" vertical="center"/>
    </xf>
    <xf numFmtId="0" fontId="0" fillId="0" borderId="7" xfId="0" applyBorder="1" applyAlignment="1">
      <alignment horizontal="left" vertical="center"/>
    </xf>
    <xf numFmtId="0" fontId="33" fillId="0" borderId="5" xfId="0" applyFont="1" applyBorder="1" applyAlignment="1">
      <alignment horizontal="center" vertical="center" wrapText="1"/>
    </xf>
    <xf numFmtId="0" fontId="33" fillId="0" borderId="7" xfId="0" applyFont="1" applyBorder="1" applyAlignment="1">
      <alignment horizontal="center" vertical="center" wrapText="1"/>
    </xf>
    <xf numFmtId="0" fontId="49" fillId="0" borderId="5" xfId="0" applyFont="1" applyBorder="1" applyAlignment="1">
      <alignment horizontal="left" vertical="center"/>
    </xf>
    <xf numFmtId="0" fontId="49" fillId="0" borderId="7" xfId="0" applyFont="1" applyBorder="1" applyAlignment="1">
      <alignment horizontal="left" vertical="center"/>
    </xf>
    <xf numFmtId="176" fontId="51" fillId="0" borderId="0" xfId="0" applyNumberFormat="1" applyFont="1" applyAlignment="1">
      <alignment horizontal="center" vertical="center"/>
    </xf>
    <xf numFmtId="0" fontId="46" fillId="0" borderId="0" xfId="0" applyFont="1" applyAlignment="1">
      <alignment horizontal="center" vertical="top" wrapText="1"/>
    </xf>
    <xf numFmtId="0" fontId="25" fillId="0" borderId="11" xfId="0" applyFont="1" applyBorder="1" applyAlignment="1">
      <alignment horizontal="left" vertical="center"/>
    </xf>
    <xf numFmtId="0" fontId="47" fillId="0" borderId="1" xfId="0" applyFont="1" applyBorder="1" applyAlignment="1">
      <alignment horizontal="left" vertical="center" wrapText="1"/>
    </xf>
    <xf numFmtId="0" fontId="48" fillId="0" borderId="1" xfId="0" applyFont="1" applyBorder="1" applyAlignment="1">
      <alignment horizontal="left" vertical="center" wrapText="1"/>
    </xf>
    <xf numFmtId="0" fontId="29" fillId="0" borderId="7" xfId="0" applyFont="1" applyBorder="1" applyAlignment="1">
      <alignment horizontal="left" vertical="center"/>
    </xf>
    <xf numFmtId="0" fontId="40" fillId="0" borderId="5" xfId="0" applyFont="1" applyBorder="1" applyAlignment="1">
      <alignment horizontal="left" vertical="center"/>
    </xf>
    <xf numFmtId="0" fontId="40" fillId="0" borderId="6" xfId="0" applyFont="1" applyBorder="1" applyAlignment="1">
      <alignment horizontal="left" vertical="center"/>
    </xf>
    <xf numFmtId="0" fontId="40" fillId="0" borderId="7" xfId="0" applyFont="1" applyBorder="1" applyAlignment="1">
      <alignment horizontal="left" vertical="center"/>
    </xf>
    <xf numFmtId="0" fontId="34" fillId="12" borderId="5" xfId="5" applyFont="1" applyFill="1" applyBorder="1" applyAlignment="1">
      <alignment horizontal="center" vertical="top"/>
    </xf>
    <xf numFmtId="0" fontId="34" fillId="12" borderId="6" xfId="5" applyFont="1" applyFill="1" applyBorder="1" applyAlignment="1">
      <alignment horizontal="center" vertical="top"/>
    </xf>
    <xf numFmtId="0" fontId="8" fillId="0" borderId="8" xfId="0" applyFont="1" applyFill="1" applyBorder="1" applyAlignment="1">
      <alignment horizontal="center" vertical="center" wrapText="1"/>
    </xf>
    <xf numFmtId="0" fontId="8" fillId="0" borderId="0" xfId="0" applyFont="1" applyFill="1" applyAlignment="1">
      <alignment horizontal="center" vertical="center" wrapText="1"/>
    </xf>
    <xf numFmtId="0" fontId="7" fillId="0" borderId="1" xfId="0" applyFont="1" applyFill="1" applyBorder="1" applyAlignment="1">
      <alignment horizontal="center" vertical="center"/>
    </xf>
    <xf numFmtId="0" fontId="8" fillId="0" borderId="2" xfId="12" applyFont="1" applyFill="1" applyBorder="1" applyAlignment="1">
      <alignment horizontal="center" vertical="center" wrapText="1"/>
    </xf>
    <xf numFmtId="0" fontId="8" fillId="0" borderId="3" xfId="12" applyFont="1" applyFill="1" applyBorder="1" applyAlignment="1">
      <alignment horizontal="center" vertical="center" wrapText="1"/>
    </xf>
    <xf numFmtId="0" fontId="8" fillId="0" borderId="4" xfId="12" applyFont="1" applyFill="1" applyBorder="1" applyAlignment="1">
      <alignment horizontal="center" vertical="center" wrapText="1"/>
    </xf>
    <xf numFmtId="0" fontId="17" fillId="0" borderId="2" xfId="12" applyFont="1" applyFill="1" applyBorder="1" applyAlignment="1">
      <alignment horizontal="center" vertical="center" wrapText="1"/>
    </xf>
    <xf numFmtId="0" fontId="17" fillId="0" borderId="3" xfId="12" applyFont="1" applyFill="1" applyBorder="1" applyAlignment="1">
      <alignment horizontal="center" vertical="center" wrapText="1"/>
    </xf>
    <xf numFmtId="0" fontId="17" fillId="0" borderId="4" xfId="12" applyFont="1" applyFill="1" applyBorder="1" applyAlignment="1">
      <alignment horizontal="center" vertical="center" wrapText="1"/>
    </xf>
    <xf numFmtId="0" fontId="19" fillId="0" borderId="3" xfId="0" applyFont="1" applyFill="1" applyBorder="1" applyAlignment="1">
      <alignment horizontal="center" vertical="center" wrapText="1"/>
    </xf>
    <xf numFmtId="0" fontId="19" fillId="0" borderId="4" xfId="0"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21" fillId="0" borderId="1" xfId="0" applyFont="1" applyFill="1" applyBorder="1" applyAlignment="1">
      <alignment horizontal="left" vertical="center" wrapText="1"/>
    </xf>
    <xf numFmtId="0" fontId="41" fillId="2" borderId="2" xfId="0" applyFont="1" applyFill="1" applyBorder="1" applyAlignment="1">
      <alignment vertical="center" wrapText="1"/>
    </xf>
    <xf numFmtId="0" fontId="41" fillId="2" borderId="3" xfId="0" applyFont="1" applyFill="1" applyBorder="1" applyAlignment="1">
      <alignment vertical="center" wrapText="1"/>
    </xf>
    <xf numFmtId="0" fontId="41" fillId="2" borderId="4" xfId="0" applyFont="1" applyFill="1" applyBorder="1" applyAlignment="1">
      <alignment vertical="center" wrapText="1"/>
    </xf>
    <xf numFmtId="0" fontId="8"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17" fillId="0" borderId="2" xfId="0" applyFont="1" applyFill="1" applyBorder="1" applyAlignment="1">
      <alignment horizontal="center" vertical="center" wrapText="1"/>
    </xf>
    <xf numFmtId="0" fontId="17" fillId="0" borderId="3" xfId="0" applyFont="1" applyFill="1" applyBorder="1" applyAlignment="1">
      <alignment horizontal="center" vertical="center" wrapText="1"/>
    </xf>
    <xf numFmtId="0" fontId="17" fillId="0" borderId="4" xfId="0" applyFont="1" applyFill="1" applyBorder="1" applyAlignment="1">
      <alignment horizontal="center" vertical="center" wrapText="1"/>
    </xf>
    <xf numFmtId="49" fontId="17" fillId="0" borderId="1" xfId="0" applyNumberFormat="1" applyFont="1" applyFill="1" applyBorder="1" applyAlignment="1">
      <alignment horizontal="center" vertical="center" wrapText="1"/>
    </xf>
    <xf numFmtId="0" fontId="21" fillId="0" borderId="1" xfId="0" applyFont="1" applyFill="1" applyBorder="1" applyAlignment="1">
      <alignment horizontal="center" vertical="center" wrapText="1"/>
    </xf>
    <xf numFmtId="0" fontId="42" fillId="0" borderId="1"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41" fillId="0" borderId="2" xfId="0" applyFont="1" applyFill="1" applyBorder="1" applyAlignment="1">
      <alignment horizontal="center" vertical="center" wrapText="1"/>
    </xf>
    <xf numFmtId="0" fontId="41" fillId="0" borderId="3" xfId="0" applyFont="1" applyFill="1" applyBorder="1" applyAlignment="1">
      <alignment horizontal="center" vertical="center" wrapText="1"/>
    </xf>
    <xf numFmtId="0" fontId="41" fillId="0" borderId="4" xfId="0" applyFont="1" applyFill="1" applyBorder="1" applyAlignment="1">
      <alignment horizontal="center" vertical="center" wrapText="1"/>
    </xf>
    <xf numFmtId="0" fontId="7" fillId="0" borderId="2"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4" xfId="0" applyFont="1" applyFill="1" applyBorder="1" applyAlignment="1">
      <alignment horizontal="center" vertical="center"/>
    </xf>
    <xf numFmtId="0" fontId="5" fillId="0" borderId="2" xfId="0" applyFont="1" applyFill="1"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8" fillId="0" borderId="1" xfId="15" applyFont="1" applyFill="1" applyBorder="1" applyAlignment="1">
      <alignment horizontal="center" vertical="center" wrapText="1"/>
    </xf>
    <xf numFmtId="0" fontId="8" fillId="0" borderId="1" xfId="0" applyFont="1" applyFill="1" applyBorder="1" applyAlignment="1">
      <alignment horizontal="center" vertical="center" wrapText="1"/>
    </xf>
    <xf numFmtId="0" fontId="5" fillId="0" borderId="2" xfId="15" applyFont="1" applyFill="1"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21" fillId="0" borderId="2" xfId="15" applyFont="1" applyFill="1" applyBorder="1" applyAlignment="1">
      <alignment horizontal="center" vertical="center" wrapText="1"/>
    </xf>
    <xf numFmtId="0" fontId="21" fillId="0" borderId="3" xfId="15" applyFont="1" applyFill="1" applyBorder="1" applyAlignment="1">
      <alignment horizontal="center" vertical="center" wrapText="1"/>
    </xf>
    <xf numFmtId="0" fontId="21" fillId="0" borderId="4" xfId="15" applyFont="1" applyFill="1" applyBorder="1" applyAlignment="1">
      <alignment horizontal="center" vertical="center" wrapText="1"/>
    </xf>
    <xf numFmtId="0" fontId="23" fillId="0" borderId="2" xfId="15" applyFont="1" applyFill="1" applyBorder="1" applyAlignment="1">
      <alignment horizontal="center" vertical="center" wrapText="1"/>
    </xf>
    <xf numFmtId="0" fontId="23" fillId="0" borderId="3" xfId="15" applyFont="1" applyFill="1" applyBorder="1" applyAlignment="1">
      <alignment horizontal="center" vertical="center" wrapText="1"/>
    </xf>
    <xf numFmtId="0" fontId="23" fillId="0" borderId="4" xfId="15" applyFont="1" applyFill="1" applyBorder="1" applyAlignment="1">
      <alignment horizontal="center" vertical="center" wrapText="1"/>
    </xf>
    <xf numFmtId="0" fontId="23" fillId="0" borderId="2" xfId="0" applyFont="1" applyFill="1" applyBorder="1" applyAlignment="1">
      <alignment vertical="center" wrapText="1"/>
    </xf>
    <xf numFmtId="0" fontId="23" fillId="0" borderId="3" xfId="0" applyFont="1" applyFill="1" applyBorder="1" applyAlignment="1">
      <alignment vertical="center" wrapText="1"/>
    </xf>
    <xf numFmtId="0" fontId="23" fillId="0" borderId="4" xfId="0" applyFont="1" applyFill="1" applyBorder="1" applyAlignment="1">
      <alignment vertical="center" wrapText="1"/>
    </xf>
    <xf numFmtId="0" fontId="5" fillId="0" borderId="2" xfId="18" applyFont="1" applyFill="1" applyBorder="1" applyAlignment="1">
      <alignment horizontal="center" vertical="center" wrapText="1"/>
    </xf>
    <xf numFmtId="0" fontId="5" fillId="0" borderId="3" xfId="18" applyFont="1" applyFill="1" applyBorder="1" applyAlignment="1">
      <alignment horizontal="center" vertical="center" wrapText="1"/>
    </xf>
    <xf numFmtId="0" fontId="5" fillId="0" borderId="4" xfId="18" applyFont="1" applyFill="1" applyBorder="1" applyAlignment="1">
      <alignment horizontal="center" vertical="center" wrapText="1"/>
    </xf>
    <xf numFmtId="0" fontId="8" fillId="0" borderId="2" xfId="7" applyFont="1" applyFill="1" applyBorder="1" applyAlignment="1">
      <alignment horizontal="center" vertical="center" wrapText="1"/>
    </xf>
    <xf numFmtId="0" fontId="8" fillId="0" borderId="3" xfId="7" applyFont="1" applyFill="1" applyBorder="1" applyAlignment="1">
      <alignment horizontal="center" vertical="center" wrapText="1"/>
    </xf>
    <xf numFmtId="0" fontId="8" fillId="0" borderId="4" xfId="7" applyFont="1" applyFill="1" applyBorder="1" applyAlignment="1">
      <alignment horizontal="center" vertical="center" wrapText="1"/>
    </xf>
    <xf numFmtId="0" fontId="5" fillId="0" borderId="2" xfId="7" applyFont="1" applyFill="1" applyBorder="1" applyAlignment="1">
      <alignment horizontal="center" vertical="center" wrapText="1"/>
    </xf>
    <xf numFmtId="0" fontId="5" fillId="0" borderId="3" xfId="7" applyFont="1" applyFill="1" applyBorder="1" applyAlignment="1">
      <alignment horizontal="center" vertical="center" wrapText="1"/>
    </xf>
    <xf numFmtId="0" fontId="5" fillId="0" borderId="4" xfId="7" applyFont="1" applyFill="1" applyBorder="1" applyAlignment="1">
      <alignment horizontal="center" vertical="center" wrapText="1"/>
    </xf>
    <xf numFmtId="0" fontId="15" fillId="0" borderId="2" xfId="0" applyFont="1" applyFill="1" applyBorder="1" applyAlignment="1">
      <alignment horizontal="center" vertical="center" wrapText="1"/>
    </xf>
    <xf numFmtId="0" fontId="19" fillId="0" borderId="1" xfId="0" applyFont="1" applyFill="1" applyBorder="1" applyAlignment="1">
      <alignment horizontal="center" vertical="center" wrapText="1"/>
    </xf>
    <xf numFmtId="49" fontId="21" fillId="0" borderId="2" xfId="0"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0" fontId="23" fillId="0" borderId="3" xfId="0" applyFont="1" applyFill="1" applyBorder="1" applyAlignment="1">
      <alignment horizontal="left" vertical="center" wrapText="1"/>
    </xf>
    <xf numFmtId="0" fontId="23" fillId="0" borderId="4" xfId="0" applyFont="1" applyFill="1" applyBorder="1" applyAlignment="1">
      <alignment horizontal="left" vertical="center" wrapText="1"/>
    </xf>
    <xf numFmtId="0" fontId="23" fillId="0" borderId="2" xfId="0" applyFont="1" applyFill="1" applyBorder="1" applyAlignment="1">
      <alignment horizontal="left" vertical="center" wrapText="1"/>
    </xf>
    <xf numFmtId="0" fontId="23" fillId="0" borderId="1" xfId="0" applyFont="1" applyFill="1" applyBorder="1" applyAlignment="1">
      <alignment horizontal="left" vertical="center" wrapText="1"/>
    </xf>
    <xf numFmtId="49" fontId="21" fillId="0" borderId="2" xfId="0" applyNumberFormat="1" applyFont="1" applyFill="1" applyBorder="1" applyAlignment="1">
      <alignment horizontal="left" vertical="center" wrapText="1"/>
    </xf>
    <xf numFmtId="49" fontId="21" fillId="0" borderId="3" xfId="0" applyNumberFormat="1" applyFont="1" applyFill="1" applyBorder="1" applyAlignment="1">
      <alignment horizontal="left" vertical="center" wrapText="1"/>
    </xf>
    <xf numFmtId="49" fontId="21" fillId="0" borderId="4" xfId="0" applyNumberFormat="1" applyFont="1" applyFill="1" applyBorder="1" applyAlignment="1">
      <alignment horizontal="left" vertical="center" wrapText="1"/>
    </xf>
    <xf numFmtId="0" fontId="21" fillId="0" borderId="2" xfId="0" applyFont="1" applyFill="1" applyBorder="1" applyAlignment="1">
      <alignment horizontal="left" vertical="center" wrapText="1"/>
    </xf>
    <xf numFmtId="0" fontId="21" fillId="0" borderId="3" xfId="0" applyFont="1" applyFill="1" applyBorder="1" applyAlignment="1">
      <alignment horizontal="left" vertical="center" wrapText="1"/>
    </xf>
    <xf numFmtId="0" fontId="21" fillId="0" borderId="4" xfId="0" applyFont="1" applyFill="1" applyBorder="1" applyAlignment="1">
      <alignment horizontal="left" vertical="center" wrapText="1"/>
    </xf>
    <xf numFmtId="0" fontId="23" fillId="0" borderId="2" xfId="0" applyFont="1" applyFill="1" applyBorder="1" applyAlignment="1">
      <alignment horizontal="center" vertical="center" wrapText="1"/>
    </xf>
    <xf numFmtId="0" fontId="0" fillId="0" borderId="3" xfId="0" applyFont="1" applyBorder="1" applyAlignment="1">
      <alignment horizontal="center" vertical="center" wrapText="1"/>
    </xf>
    <xf numFmtId="0" fontId="23" fillId="0" borderId="3" xfId="0" applyFont="1" applyFill="1" applyBorder="1" applyAlignment="1">
      <alignment horizontal="center" vertical="center" wrapText="1"/>
    </xf>
    <xf numFmtId="0" fontId="23" fillId="0" borderId="4" xfId="0" applyFont="1" applyFill="1" applyBorder="1" applyAlignment="1">
      <alignment horizontal="center" vertical="center" wrapText="1"/>
    </xf>
    <xf numFmtId="49" fontId="21" fillId="0" borderId="1" xfId="0" applyNumberFormat="1" applyFont="1" applyFill="1" applyBorder="1" applyAlignment="1">
      <alignment horizontal="left" vertical="center" wrapText="1"/>
    </xf>
    <xf numFmtId="0" fontId="19" fillId="0" borderId="1" xfId="0" applyFont="1" applyFill="1" applyBorder="1" applyAlignment="1">
      <alignment horizontal="left" vertical="center" wrapText="1"/>
    </xf>
    <xf numFmtId="0" fontId="19" fillId="0" borderId="2" xfId="0" applyFont="1" applyFill="1" applyBorder="1" applyAlignment="1">
      <alignment horizontal="center" vertical="center" wrapText="1"/>
    </xf>
    <xf numFmtId="49" fontId="21" fillId="0" borderId="1" xfId="0" applyNumberFormat="1" applyFont="1" applyFill="1" applyBorder="1" applyAlignment="1">
      <alignment horizontal="center" vertical="center" wrapText="1"/>
    </xf>
    <xf numFmtId="0" fontId="21" fillId="0" borderId="2" xfId="0" applyFont="1" applyFill="1" applyBorder="1" applyAlignment="1">
      <alignment horizontal="center" vertical="center" wrapText="1"/>
    </xf>
    <xf numFmtId="0" fontId="0" fillId="0" borderId="4" xfId="0" applyFont="1" applyBorder="1" applyAlignment="1">
      <alignment horizontal="center" vertical="center" wrapText="1"/>
    </xf>
    <xf numFmtId="0" fontId="0" fillId="0" borderId="3" xfId="0" applyFont="1" applyBorder="1">
      <alignment vertical="center"/>
    </xf>
    <xf numFmtId="0" fontId="0" fillId="0" borderId="4" xfId="0" applyFont="1" applyBorder="1">
      <alignment vertical="center"/>
    </xf>
    <xf numFmtId="0" fontId="21" fillId="0" borderId="9" xfId="0" applyFont="1" applyFill="1" applyBorder="1" applyAlignment="1">
      <alignment horizontal="center" vertical="center" wrapText="1"/>
    </xf>
    <xf numFmtId="0" fontId="21" fillId="0" borderId="10" xfId="0" applyFont="1" applyFill="1" applyBorder="1" applyAlignment="1">
      <alignment horizontal="center" vertical="center" wrapText="1"/>
    </xf>
    <xf numFmtId="0" fontId="21" fillId="0" borderId="3" xfId="0" applyFont="1" applyFill="1" applyBorder="1" applyAlignment="1">
      <alignment horizontal="center" vertical="center" wrapText="1"/>
    </xf>
    <xf numFmtId="0" fontId="8" fillId="0" borderId="2" xfId="15" applyFont="1" applyFill="1" applyBorder="1" applyAlignment="1">
      <alignment horizontal="center" vertical="center" wrapText="1"/>
    </xf>
    <xf numFmtId="0" fontId="17" fillId="0" borderId="1" xfId="0" applyFont="1" applyFill="1" applyBorder="1" applyAlignment="1">
      <alignment horizontal="left" vertical="center" wrapText="1"/>
    </xf>
    <xf numFmtId="0" fontId="0" fillId="0" borderId="1" xfId="0" applyFill="1" applyBorder="1" applyAlignment="1">
      <alignment horizontal="left" vertical="center" wrapText="1"/>
    </xf>
    <xf numFmtId="0" fontId="17" fillId="6" borderId="1" xfId="0" applyFont="1" applyFill="1" applyBorder="1" applyAlignment="1">
      <alignment horizontal="left" vertical="center" wrapText="1"/>
    </xf>
    <xf numFmtId="0" fontId="14" fillId="0" borderId="2"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8" fillId="0" borderId="2" xfId="0" applyFont="1" applyFill="1" applyBorder="1" applyAlignment="1">
      <alignment horizontal="center" vertical="center"/>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6" fillId="0" borderId="5" xfId="0" applyFont="1" applyFill="1" applyBorder="1" applyAlignment="1">
      <alignment horizontal="left" vertical="center" wrapText="1"/>
    </xf>
    <xf numFmtId="0" fontId="6" fillId="0" borderId="6" xfId="0" applyFont="1" applyFill="1" applyBorder="1" applyAlignment="1">
      <alignment horizontal="left" vertical="center" wrapText="1"/>
    </xf>
    <xf numFmtId="0" fontId="3" fillId="0" borderId="6" xfId="0" applyFont="1" applyFill="1" applyBorder="1" applyAlignment="1">
      <alignment horizontal="left" vertical="center" wrapText="1"/>
    </xf>
    <xf numFmtId="0" fontId="3" fillId="0" borderId="7"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10" fillId="0" borderId="2" xfId="7" applyFont="1" applyFill="1" applyBorder="1" applyAlignment="1">
      <alignment horizontal="center" vertical="center" wrapText="1"/>
    </xf>
    <xf numFmtId="0" fontId="10" fillId="0" borderId="3" xfId="7" applyFont="1" applyFill="1" applyBorder="1" applyAlignment="1">
      <alignment horizontal="center" vertical="center" wrapText="1"/>
    </xf>
    <xf numFmtId="0" fontId="10" fillId="0" borderId="4" xfId="7"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18" fillId="0" borderId="0" xfId="0" applyFont="1">
      <alignment vertical="center"/>
    </xf>
  </cellXfs>
  <cellStyles count="27">
    <cellStyle name="0,0_x000d__x000a_NA_x000d__x000a_" xfId="5"/>
    <cellStyle name="0,0_x000d__x000a_NA_x000d__x000a_ 2" xfId="14"/>
    <cellStyle name="Normal 2" xfId="10"/>
    <cellStyle name="常规" xfId="0" builtinId="0"/>
    <cellStyle name="常规 2" xfId="15"/>
    <cellStyle name="常规 2 2" xfId="12"/>
    <cellStyle name="常规 2 2 2" xfId="7"/>
    <cellStyle name="常规 2 2 2 2" xfId="1"/>
    <cellStyle name="常规 2 2 2 2 9 2" xfId="6"/>
    <cellStyle name="常规 2 2 3" xfId="8"/>
    <cellStyle name="常规 2 3" xfId="13"/>
    <cellStyle name="常规 3" xfId="16"/>
    <cellStyle name="常规 3 2" xfId="9"/>
    <cellStyle name="常规 3 2 2" xfId="4"/>
    <cellStyle name="常规 3 3" xfId="11"/>
    <cellStyle name="常规 4" xfId="17"/>
    <cellStyle name="常规 4 2" xfId="18"/>
    <cellStyle name="常规 4 3" xfId="19"/>
    <cellStyle name="常规 5" xfId="20"/>
    <cellStyle name="常规 5 2" xfId="3"/>
    <cellStyle name="常规 6" xfId="2"/>
    <cellStyle name="常规_NRM-Mgw(v3.0.0)_20081219r1-中兴答复r1" xfId="21"/>
    <cellStyle name="货币 2" xfId="22"/>
    <cellStyle name="货币 2 2" xfId="23"/>
    <cellStyle name="货币 2 2 2" xfId="24"/>
    <cellStyle name="样式 1" xfId="25"/>
    <cellStyle name="样式 1 2" xfId="26"/>
  </cellStyles>
  <dxfs count="2">
    <dxf>
      <font>
        <b/>
        <i val="0"/>
      </font>
      <fill>
        <patternFill patternType="solid">
          <bgColor rgb="FFD7D7D7"/>
        </patternFill>
      </fill>
    </dxf>
    <dxf>
      <font>
        <b val="0"/>
        <i val="0"/>
      </font>
      <fill>
        <patternFill patternType="none"/>
      </fill>
    </dxf>
  </dxfs>
  <tableStyles count="1" defaultTableStyle="TableStyleMedium9" defaultPivotStyle="PivotStyleLight16">
    <tableStyle name="MySqlDefault" pivot="0" table="0" count="2">
      <tableStyleElement type="wholeTable" dxfId="1"/>
      <tableStyleElement type="headerRow" dxfId="0"/>
    </tableStyle>
  </tableStyles>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extraClrSchemeLst/>
</a:theme>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filterMode="1"/>
  <dimension ref="A1:M72"/>
  <sheetViews>
    <sheetView workbookViewId="0">
      <selection activeCell="E5" sqref="E5"/>
    </sheetView>
  </sheetViews>
  <sheetFormatPr defaultColWidth="9" defaultRowHeight="21"/>
  <cols>
    <col min="1" max="1" width="9" style="336"/>
    <col min="2" max="2" width="15.1796875" style="337" customWidth="1"/>
    <col min="3" max="3" width="19.90625" style="338" customWidth="1"/>
    <col min="4" max="4" width="15.90625" style="337" customWidth="1"/>
    <col min="5" max="5" width="12.6328125" style="337" customWidth="1"/>
    <col min="6" max="6" width="9" style="339"/>
    <col min="7" max="7" width="13" style="336" customWidth="1"/>
    <col min="8" max="11" width="9" style="336"/>
    <col min="12" max="12" width="27.1796875" style="337" customWidth="1"/>
    <col min="13" max="16384" width="9" style="336"/>
  </cols>
  <sheetData>
    <row r="1" spans="1:13" ht="65.150000000000006" customHeight="1">
      <c r="A1" s="340" t="s">
        <v>0</v>
      </c>
      <c r="B1" s="340" t="s">
        <v>1</v>
      </c>
      <c r="C1" s="340" t="s">
        <v>2</v>
      </c>
      <c r="D1" s="340" t="s">
        <v>3</v>
      </c>
      <c r="E1" s="340" t="s">
        <v>4</v>
      </c>
      <c r="F1" s="341" t="s">
        <v>5</v>
      </c>
      <c r="G1" s="340" t="s">
        <v>6</v>
      </c>
      <c r="H1" s="340" t="s">
        <v>7</v>
      </c>
      <c r="I1" s="340" t="s">
        <v>8</v>
      </c>
      <c r="J1" s="340" t="s">
        <v>9</v>
      </c>
      <c r="K1" s="340" t="s">
        <v>10</v>
      </c>
      <c r="L1" s="340" t="s">
        <v>11</v>
      </c>
      <c r="M1" s="340" t="s">
        <v>12</v>
      </c>
    </row>
    <row r="2" spans="1:13" ht="65.150000000000006" customHeight="1">
      <c r="A2" s="340" t="s">
        <v>13</v>
      </c>
      <c r="B2" s="340" t="s">
        <v>14</v>
      </c>
      <c r="C2" s="340"/>
      <c r="D2" s="340"/>
      <c r="E2" s="340" t="s">
        <v>15</v>
      </c>
      <c r="F2" s="341"/>
      <c r="G2" s="340"/>
      <c r="H2" s="340" t="s">
        <v>16</v>
      </c>
      <c r="I2" s="340" t="s">
        <v>17</v>
      </c>
      <c r="J2" s="340" t="s">
        <v>18</v>
      </c>
      <c r="K2" s="340" t="s">
        <v>18</v>
      </c>
      <c r="L2" s="340" t="s">
        <v>19</v>
      </c>
      <c r="M2" s="340"/>
    </row>
    <row r="3" spans="1:13" ht="65.150000000000006" customHeight="1">
      <c r="A3" s="342"/>
      <c r="B3" s="343" t="s">
        <v>20</v>
      </c>
      <c r="C3" s="344" t="s">
        <v>21</v>
      </c>
      <c r="D3" s="344" t="s">
        <v>22</v>
      </c>
      <c r="E3" s="343"/>
      <c r="F3" s="345"/>
      <c r="G3" s="344" t="s">
        <v>23</v>
      </c>
      <c r="H3" s="346"/>
      <c r="I3" s="346" t="s">
        <v>24</v>
      </c>
      <c r="J3" s="346"/>
      <c r="K3" s="346"/>
      <c r="L3" s="353" t="s">
        <v>25</v>
      </c>
      <c r="M3" s="346"/>
    </row>
    <row r="4" spans="1:13" ht="65.150000000000006" customHeight="1">
      <c r="A4" s="346"/>
      <c r="B4" s="343" t="s">
        <v>20</v>
      </c>
      <c r="C4" s="344" t="s">
        <v>26</v>
      </c>
      <c r="D4" s="344" t="s">
        <v>27</v>
      </c>
      <c r="E4" s="343"/>
      <c r="F4" s="345"/>
      <c r="G4" s="344" t="s">
        <v>28</v>
      </c>
      <c r="H4" s="346"/>
      <c r="I4" s="346" t="s">
        <v>24</v>
      </c>
      <c r="J4" s="346"/>
      <c r="K4" s="346"/>
      <c r="L4" s="354" t="s">
        <v>29</v>
      </c>
      <c r="M4" s="346"/>
    </row>
    <row r="5" spans="1:13" ht="65.150000000000006" hidden="1" customHeight="1">
      <c r="A5" s="342" t="s">
        <v>30</v>
      </c>
      <c r="B5" s="343" t="s">
        <v>20</v>
      </c>
      <c r="C5" s="344" t="s">
        <v>31</v>
      </c>
      <c r="D5" s="344" t="s">
        <v>32</v>
      </c>
      <c r="E5" s="343"/>
      <c r="F5" s="345"/>
      <c r="G5" s="344" t="s">
        <v>33</v>
      </c>
      <c r="H5" s="346"/>
      <c r="I5" s="346"/>
      <c r="J5" s="346"/>
      <c r="K5" s="346"/>
      <c r="L5" s="354" t="s">
        <v>34</v>
      </c>
      <c r="M5" s="346"/>
    </row>
    <row r="6" spans="1:13" ht="65.150000000000006" hidden="1" customHeight="1">
      <c r="A6" s="342" t="s">
        <v>30</v>
      </c>
      <c r="B6" s="343" t="s">
        <v>20</v>
      </c>
      <c r="C6" s="344" t="s">
        <v>35</v>
      </c>
      <c r="D6" s="344" t="s">
        <v>36</v>
      </c>
      <c r="E6" s="343"/>
      <c r="F6" s="345"/>
      <c r="G6" s="344" t="s">
        <v>28</v>
      </c>
      <c r="H6" s="346"/>
      <c r="I6" s="346"/>
      <c r="J6" s="346"/>
      <c r="K6" s="346"/>
      <c r="L6" s="354" t="s">
        <v>37</v>
      </c>
      <c r="M6" s="346"/>
    </row>
    <row r="7" spans="1:13" ht="65.150000000000006" customHeight="1">
      <c r="A7" s="346"/>
      <c r="B7" s="343" t="s">
        <v>20</v>
      </c>
      <c r="C7" s="344" t="s">
        <v>38</v>
      </c>
      <c r="D7" s="344" t="s">
        <v>39</v>
      </c>
      <c r="E7" s="343"/>
      <c r="F7" s="345"/>
      <c r="G7" s="344" t="s">
        <v>23</v>
      </c>
      <c r="H7" s="346"/>
      <c r="I7" s="346" t="s">
        <v>24</v>
      </c>
      <c r="J7" s="346"/>
      <c r="K7" s="346"/>
      <c r="L7" s="354" t="s">
        <v>40</v>
      </c>
      <c r="M7" s="346"/>
    </row>
    <row r="8" spans="1:13" ht="65.150000000000006" customHeight="1">
      <c r="A8" s="346"/>
      <c r="B8" s="343" t="s">
        <v>20</v>
      </c>
      <c r="C8" s="344" t="s">
        <v>41</v>
      </c>
      <c r="D8" s="344" t="s">
        <v>39</v>
      </c>
      <c r="E8" s="343"/>
      <c r="F8" s="345"/>
      <c r="G8" s="344" t="s">
        <v>23</v>
      </c>
      <c r="H8" s="346"/>
      <c r="I8" s="346" t="s">
        <v>24</v>
      </c>
      <c r="J8" s="346"/>
      <c r="K8" s="346"/>
      <c r="L8" s="354" t="s">
        <v>42</v>
      </c>
      <c r="M8" s="346"/>
    </row>
    <row r="9" spans="1:13" ht="65.150000000000006" hidden="1" customHeight="1">
      <c r="A9" s="342" t="s">
        <v>30</v>
      </c>
      <c r="B9" s="343" t="s">
        <v>20</v>
      </c>
      <c r="C9" s="344" t="s">
        <v>43</v>
      </c>
      <c r="D9" s="344" t="s">
        <v>39</v>
      </c>
      <c r="E9" s="343"/>
      <c r="F9" s="345"/>
      <c r="G9" s="344" t="s">
        <v>33</v>
      </c>
      <c r="H9" s="346"/>
      <c r="I9" s="346"/>
      <c r="J9" s="346"/>
      <c r="K9" s="346"/>
      <c r="L9" s="354" t="s">
        <v>44</v>
      </c>
      <c r="M9" s="346"/>
    </row>
    <row r="10" spans="1:13" ht="65.150000000000006" customHeight="1">
      <c r="A10" s="346"/>
      <c r="B10" s="343" t="s">
        <v>20</v>
      </c>
      <c r="C10" s="344" t="s">
        <v>45</v>
      </c>
      <c r="D10" s="344" t="s">
        <v>46</v>
      </c>
      <c r="E10" s="343"/>
      <c r="F10" s="345"/>
      <c r="G10" s="344" t="s">
        <v>23</v>
      </c>
      <c r="H10" s="346"/>
      <c r="I10" s="346" t="s">
        <v>24</v>
      </c>
      <c r="J10" s="346"/>
      <c r="K10" s="346"/>
      <c r="L10" s="355" t="s">
        <v>47</v>
      </c>
      <c r="M10" s="346"/>
    </row>
    <row r="11" spans="1:13" ht="65.150000000000006" customHeight="1">
      <c r="A11" s="346"/>
      <c r="B11" s="343" t="s">
        <v>20</v>
      </c>
      <c r="C11" s="344" t="s">
        <v>48</v>
      </c>
      <c r="D11" s="344" t="s">
        <v>49</v>
      </c>
      <c r="E11" s="343"/>
      <c r="F11" s="345"/>
      <c r="G11" s="344" t="s">
        <v>23</v>
      </c>
      <c r="H11" s="346"/>
      <c r="I11" s="346" t="s">
        <v>24</v>
      </c>
      <c r="J11" s="346"/>
      <c r="K11" s="346"/>
      <c r="L11" s="355" t="s">
        <v>50</v>
      </c>
      <c r="M11" s="346"/>
    </row>
    <row r="12" spans="1:13" ht="65.150000000000006" hidden="1" customHeight="1">
      <c r="A12" s="342" t="s">
        <v>30</v>
      </c>
      <c r="B12" s="343" t="s">
        <v>20</v>
      </c>
      <c r="C12" s="344" t="s">
        <v>51</v>
      </c>
      <c r="D12" s="344" t="s">
        <v>52</v>
      </c>
      <c r="E12" s="343"/>
      <c r="F12" s="345"/>
      <c r="G12" s="344" t="s">
        <v>33</v>
      </c>
      <c r="H12" s="346"/>
      <c r="I12" s="346"/>
      <c r="J12" s="346"/>
      <c r="K12" s="346"/>
      <c r="L12" s="355" t="s">
        <v>53</v>
      </c>
      <c r="M12" s="346"/>
    </row>
    <row r="13" spans="1:13" ht="65.150000000000006" customHeight="1">
      <c r="A13" s="346"/>
      <c r="B13" s="343" t="s">
        <v>20</v>
      </c>
      <c r="C13" s="344" t="s">
        <v>54</v>
      </c>
      <c r="D13" s="344" t="s">
        <v>55</v>
      </c>
      <c r="E13" s="343"/>
      <c r="F13" s="345"/>
      <c r="G13" s="344" t="s">
        <v>56</v>
      </c>
      <c r="H13" s="346"/>
      <c r="I13" s="346" t="s">
        <v>57</v>
      </c>
      <c r="J13" s="346"/>
      <c r="K13" s="346"/>
      <c r="L13" s="355" t="s">
        <v>55</v>
      </c>
      <c r="M13" s="346"/>
    </row>
    <row r="14" spans="1:13" ht="65.150000000000006" customHeight="1">
      <c r="A14" s="346"/>
      <c r="B14" s="343" t="s">
        <v>20</v>
      </c>
      <c r="C14" s="344" t="s">
        <v>58</v>
      </c>
      <c r="D14" s="344" t="s">
        <v>59</v>
      </c>
      <c r="E14" s="343"/>
      <c r="F14" s="345"/>
      <c r="G14" s="344" t="s">
        <v>60</v>
      </c>
      <c r="H14" s="346"/>
      <c r="I14" s="346" t="s">
        <v>57</v>
      </c>
      <c r="J14" s="346"/>
      <c r="K14" s="346"/>
      <c r="L14" s="355" t="s">
        <v>61</v>
      </c>
      <c r="M14" s="346"/>
    </row>
    <row r="15" spans="1:13" ht="65.150000000000006" customHeight="1">
      <c r="A15" s="346"/>
      <c r="B15" s="343" t="s">
        <v>20</v>
      </c>
      <c r="C15" s="344" t="s">
        <v>62</v>
      </c>
      <c r="D15" s="344" t="s">
        <v>63</v>
      </c>
      <c r="E15" s="343" t="s">
        <v>64</v>
      </c>
      <c r="F15" s="345" t="s">
        <v>65</v>
      </c>
      <c r="G15" s="344" t="s">
        <v>28</v>
      </c>
      <c r="H15" s="346"/>
      <c r="I15" s="346" t="s">
        <v>24</v>
      </c>
      <c r="J15" s="346"/>
      <c r="K15" s="346"/>
      <c r="L15" s="354" t="s">
        <v>66</v>
      </c>
      <c r="M15" s="346"/>
    </row>
    <row r="16" spans="1:13" ht="65.150000000000006" customHeight="1">
      <c r="A16" s="346"/>
      <c r="B16" s="343" t="s">
        <v>20</v>
      </c>
      <c r="C16" s="344" t="s">
        <v>67</v>
      </c>
      <c r="D16" s="344" t="s">
        <v>68</v>
      </c>
      <c r="E16" s="343" t="s">
        <v>69</v>
      </c>
      <c r="F16" s="345" t="s">
        <v>70</v>
      </c>
      <c r="G16" s="344" t="s">
        <v>71</v>
      </c>
      <c r="H16" s="346"/>
      <c r="I16" s="346" t="s">
        <v>24</v>
      </c>
      <c r="J16" s="346"/>
      <c r="K16" s="346"/>
      <c r="L16" s="343" t="s">
        <v>72</v>
      </c>
      <c r="M16" s="346"/>
    </row>
    <row r="17" spans="1:13" ht="65.150000000000006" customHeight="1">
      <c r="A17" s="346"/>
      <c r="B17" s="343" t="s">
        <v>20</v>
      </c>
      <c r="C17" s="344" t="s">
        <v>73</v>
      </c>
      <c r="D17" s="344" t="s">
        <v>74</v>
      </c>
      <c r="E17" s="343" t="s">
        <v>75</v>
      </c>
      <c r="F17" s="345" t="s">
        <v>76</v>
      </c>
      <c r="G17" s="344" t="s">
        <v>28</v>
      </c>
      <c r="H17" s="346"/>
      <c r="I17" s="346" t="s">
        <v>24</v>
      </c>
      <c r="J17" s="346"/>
      <c r="K17" s="346"/>
      <c r="L17" s="350" t="s">
        <v>77</v>
      </c>
      <c r="M17" s="346"/>
    </row>
    <row r="18" spans="1:13" ht="65.150000000000006" customHeight="1">
      <c r="A18" s="346"/>
      <c r="B18" s="343" t="s">
        <v>20</v>
      </c>
      <c r="C18" s="344" t="s">
        <v>78</v>
      </c>
      <c r="D18" s="344" t="s">
        <v>79</v>
      </c>
      <c r="E18" s="343" t="s">
        <v>80</v>
      </c>
      <c r="F18" s="345" t="s">
        <v>81</v>
      </c>
      <c r="G18" s="344" t="s">
        <v>28</v>
      </c>
      <c r="H18" s="346"/>
      <c r="I18" s="346" t="s">
        <v>24</v>
      </c>
      <c r="J18" s="346"/>
      <c r="K18" s="346"/>
      <c r="L18" s="343" t="s">
        <v>82</v>
      </c>
      <c r="M18" s="346"/>
    </row>
    <row r="19" spans="1:13" ht="65.150000000000006" customHeight="1">
      <c r="A19" s="346"/>
      <c r="B19" s="343" t="s">
        <v>20</v>
      </c>
      <c r="C19" s="344" t="s">
        <v>83</v>
      </c>
      <c r="D19" s="344" t="s">
        <v>84</v>
      </c>
      <c r="E19" s="343"/>
      <c r="F19" s="345"/>
      <c r="G19" s="344" t="s">
        <v>28</v>
      </c>
      <c r="H19" s="346"/>
      <c r="I19" s="346" t="s">
        <v>24</v>
      </c>
      <c r="J19" s="346"/>
      <c r="K19" s="346"/>
      <c r="L19" s="350" t="s">
        <v>85</v>
      </c>
      <c r="M19" s="346"/>
    </row>
    <row r="20" spans="1:13" ht="65.150000000000006" hidden="1" customHeight="1">
      <c r="A20" s="342" t="s">
        <v>30</v>
      </c>
      <c r="B20" s="343" t="s">
        <v>20</v>
      </c>
      <c r="C20" s="344" t="s">
        <v>86</v>
      </c>
      <c r="D20" s="344" t="s">
        <v>87</v>
      </c>
      <c r="E20" s="343"/>
      <c r="F20" s="345"/>
      <c r="G20" s="344" t="s">
        <v>33</v>
      </c>
      <c r="H20" s="346"/>
      <c r="I20" s="346"/>
      <c r="J20" s="346"/>
      <c r="K20" s="346"/>
      <c r="L20" s="356" t="s">
        <v>88</v>
      </c>
      <c r="M20" s="346"/>
    </row>
    <row r="21" spans="1:13" ht="65.150000000000006" hidden="1" customHeight="1">
      <c r="A21" s="342" t="s">
        <v>30</v>
      </c>
      <c r="B21" s="343" t="s">
        <v>20</v>
      </c>
      <c r="C21" s="344" t="s">
        <v>89</v>
      </c>
      <c r="D21" s="344" t="s">
        <v>90</v>
      </c>
      <c r="E21" s="343"/>
      <c r="F21" s="345"/>
      <c r="G21" s="344" t="s">
        <v>28</v>
      </c>
      <c r="H21" s="346"/>
      <c r="I21" s="346"/>
      <c r="J21" s="346"/>
      <c r="K21" s="346"/>
      <c r="L21" s="356" t="s">
        <v>91</v>
      </c>
      <c r="M21" s="346"/>
    </row>
    <row r="22" spans="1:13" ht="65.150000000000006" customHeight="1">
      <c r="A22" s="346"/>
      <c r="B22" s="343" t="s">
        <v>20</v>
      </c>
      <c r="C22" s="344" t="s">
        <v>92</v>
      </c>
      <c r="D22" s="344" t="s">
        <v>93</v>
      </c>
      <c r="E22" s="343"/>
      <c r="F22" s="345"/>
      <c r="G22" s="344" t="s">
        <v>33</v>
      </c>
      <c r="H22" s="346"/>
      <c r="I22" s="346" t="s">
        <v>57</v>
      </c>
      <c r="J22" s="346"/>
      <c r="K22" s="346"/>
      <c r="L22" s="357" t="s">
        <v>94</v>
      </c>
      <c r="M22" s="346"/>
    </row>
    <row r="23" spans="1:13" ht="65.150000000000006" customHeight="1">
      <c r="A23" s="346"/>
      <c r="B23" s="343" t="s">
        <v>20</v>
      </c>
      <c r="C23" s="344" t="s">
        <v>95</v>
      </c>
      <c r="D23" s="347" t="s">
        <v>96</v>
      </c>
      <c r="E23" s="343"/>
      <c r="F23" s="345"/>
      <c r="G23" s="344" t="s">
        <v>28</v>
      </c>
      <c r="H23" s="346"/>
      <c r="I23" s="346" t="s">
        <v>24</v>
      </c>
      <c r="J23" s="346"/>
      <c r="K23" s="346"/>
      <c r="L23" s="343" t="s">
        <v>97</v>
      </c>
      <c r="M23" s="346"/>
    </row>
    <row r="24" spans="1:13" ht="65.150000000000006" customHeight="1">
      <c r="A24" s="346"/>
      <c r="B24" s="343" t="s">
        <v>20</v>
      </c>
      <c r="C24" s="348" t="s">
        <v>98</v>
      </c>
      <c r="D24" s="344" t="s">
        <v>99</v>
      </c>
      <c r="E24" s="343" t="s">
        <v>100</v>
      </c>
      <c r="F24" s="345"/>
      <c r="G24" s="344" t="s">
        <v>101</v>
      </c>
      <c r="H24" s="346"/>
      <c r="I24" s="346" t="s">
        <v>24</v>
      </c>
      <c r="J24" s="346"/>
      <c r="K24" s="346"/>
      <c r="L24" s="354" t="s">
        <v>102</v>
      </c>
      <c r="M24" s="346"/>
    </row>
    <row r="25" spans="1:13" ht="65.150000000000006" customHeight="1">
      <c r="A25" s="346"/>
      <c r="B25" s="343" t="s">
        <v>103</v>
      </c>
      <c r="C25" s="344" t="s">
        <v>104</v>
      </c>
      <c r="D25" s="344" t="s">
        <v>105</v>
      </c>
      <c r="E25" s="343" t="s">
        <v>106</v>
      </c>
      <c r="F25" s="345"/>
      <c r="G25" s="349" t="s">
        <v>28</v>
      </c>
      <c r="H25" s="346"/>
      <c r="I25" s="346" t="s">
        <v>24</v>
      </c>
      <c r="J25" s="346"/>
      <c r="K25" s="346"/>
      <c r="L25" s="343" t="s">
        <v>107</v>
      </c>
      <c r="M25" s="346"/>
    </row>
    <row r="26" spans="1:13" ht="90.75" customHeight="1">
      <c r="A26" s="346"/>
      <c r="B26" s="343" t="s">
        <v>103</v>
      </c>
      <c r="C26" s="344" t="s">
        <v>108</v>
      </c>
      <c r="D26" s="344" t="s">
        <v>109</v>
      </c>
      <c r="E26" s="343" t="s">
        <v>69</v>
      </c>
      <c r="F26" s="345" t="s">
        <v>70</v>
      </c>
      <c r="G26" s="344" t="s">
        <v>71</v>
      </c>
      <c r="H26" s="346"/>
      <c r="I26" s="346" t="s">
        <v>24</v>
      </c>
      <c r="J26" s="346"/>
      <c r="K26" s="346"/>
      <c r="L26" s="343" t="s">
        <v>110</v>
      </c>
      <c r="M26" s="346"/>
    </row>
    <row r="27" spans="1:13" ht="95.25" customHeight="1">
      <c r="A27" s="346"/>
      <c r="B27" s="343" t="s">
        <v>103</v>
      </c>
      <c r="C27" s="344" t="s">
        <v>111</v>
      </c>
      <c r="D27" s="344" t="s">
        <v>112</v>
      </c>
      <c r="E27" s="343" t="s">
        <v>69</v>
      </c>
      <c r="F27" s="345" t="s">
        <v>70</v>
      </c>
      <c r="G27" s="344" t="s">
        <v>71</v>
      </c>
      <c r="H27" s="346"/>
      <c r="I27" s="346" t="s">
        <v>24</v>
      </c>
      <c r="J27" s="346"/>
      <c r="K27" s="346"/>
      <c r="L27" s="343" t="s">
        <v>113</v>
      </c>
      <c r="M27" s="346"/>
    </row>
    <row r="28" spans="1:13" ht="86.25" customHeight="1">
      <c r="A28" s="346"/>
      <c r="B28" s="343" t="s">
        <v>103</v>
      </c>
      <c r="C28" s="344" t="s">
        <v>114</v>
      </c>
      <c r="D28" s="344" t="s">
        <v>115</v>
      </c>
      <c r="E28" s="343" t="s">
        <v>69</v>
      </c>
      <c r="F28" s="345" t="s">
        <v>70</v>
      </c>
      <c r="G28" s="344" t="s">
        <v>71</v>
      </c>
      <c r="H28" s="346"/>
      <c r="I28" s="346" t="s">
        <v>24</v>
      </c>
      <c r="J28" s="346"/>
      <c r="K28" s="346"/>
      <c r="L28" s="343" t="s">
        <v>116</v>
      </c>
      <c r="M28" s="346"/>
    </row>
    <row r="29" spans="1:13" ht="90.75" customHeight="1">
      <c r="A29" s="346"/>
      <c r="B29" s="343" t="s">
        <v>103</v>
      </c>
      <c r="C29" s="344" t="s">
        <v>117</v>
      </c>
      <c r="D29" s="344" t="s">
        <v>118</v>
      </c>
      <c r="E29" s="343" t="s">
        <v>69</v>
      </c>
      <c r="F29" s="345" t="s">
        <v>70</v>
      </c>
      <c r="G29" s="344" t="s">
        <v>71</v>
      </c>
      <c r="H29" s="346"/>
      <c r="I29" s="346" t="s">
        <v>24</v>
      </c>
      <c r="J29" s="346"/>
      <c r="K29" s="346"/>
      <c r="L29" s="343" t="s">
        <v>119</v>
      </c>
      <c r="M29" s="346"/>
    </row>
    <row r="30" spans="1:13" ht="93.75" customHeight="1">
      <c r="A30" s="346"/>
      <c r="B30" s="343" t="s">
        <v>103</v>
      </c>
      <c r="C30" s="344" t="s">
        <v>120</v>
      </c>
      <c r="D30" s="344" t="s">
        <v>121</v>
      </c>
      <c r="E30" s="343" t="s">
        <v>69</v>
      </c>
      <c r="F30" s="345" t="s">
        <v>122</v>
      </c>
      <c r="G30" s="344" t="s">
        <v>71</v>
      </c>
      <c r="H30" s="346"/>
      <c r="I30" s="346" t="s">
        <v>24</v>
      </c>
      <c r="J30" s="346"/>
      <c r="K30" s="346"/>
      <c r="L30" s="343" t="s">
        <v>123</v>
      </c>
      <c r="M30" s="346"/>
    </row>
    <row r="31" spans="1:13" ht="94.5" customHeight="1">
      <c r="A31" s="346"/>
      <c r="B31" s="343" t="s">
        <v>103</v>
      </c>
      <c r="C31" s="344" t="s">
        <v>124</v>
      </c>
      <c r="D31" s="344" t="s">
        <v>125</v>
      </c>
      <c r="E31" s="343" t="s">
        <v>69</v>
      </c>
      <c r="F31" s="345" t="s">
        <v>122</v>
      </c>
      <c r="G31" s="344" t="s">
        <v>71</v>
      </c>
      <c r="H31" s="346"/>
      <c r="I31" s="346" t="s">
        <v>24</v>
      </c>
      <c r="J31" s="346"/>
      <c r="K31" s="346"/>
      <c r="L31" s="343" t="s">
        <v>126</v>
      </c>
      <c r="M31" s="346"/>
    </row>
    <row r="32" spans="1:13" ht="93" customHeight="1">
      <c r="A32" s="346"/>
      <c r="B32" s="343" t="s">
        <v>103</v>
      </c>
      <c r="C32" s="344" t="s">
        <v>127</v>
      </c>
      <c r="D32" s="344" t="s">
        <v>128</v>
      </c>
      <c r="E32" s="343" t="s">
        <v>69</v>
      </c>
      <c r="F32" s="345" t="s">
        <v>122</v>
      </c>
      <c r="G32" s="344" t="s">
        <v>71</v>
      </c>
      <c r="H32" s="346"/>
      <c r="I32" s="346" t="s">
        <v>24</v>
      </c>
      <c r="J32" s="346"/>
      <c r="K32" s="346"/>
      <c r="L32" s="343" t="s">
        <v>129</v>
      </c>
      <c r="M32" s="346"/>
    </row>
    <row r="33" spans="1:13" ht="105.75" customHeight="1">
      <c r="A33" s="346"/>
      <c r="B33" s="343" t="s">
        <v>103</v>
      </c>
      <c r="C33" s="344" t="s">
        <v>130</v>
      </c>
      <c r="D33" s="344" t="s">
        <v>131</v>
      </c>
      <c r="E33" s="343" t="s">
        <v>69</v>
      </c>
      <c r="F33" s="345" t="s">
        <v>122</v>
      </c>
      <c r="G33" s="344" t="s">
        <v>71</v>
      </c>
      <c r="H33" s="346"/>
      <c r="I33" s="346" t="s">
        <v>24</v>
      </c>
      <c r="J33" s="346"/>
      <c r="K33" s="346"/>
      <c r="L33" s="343" t="s">
        <v>132</v>
      </c>
      <c r="M33" s="346"/>
    </row>
    <row r="34" spans="1:13" ht="65.150000000000006" hidden="1" customHeight="1">
      <c r="A34" s="342" t="s">
        <v>30</v>
      </c>
      <c r="B34" s="343" t="s">
        <v>103</v>
      </c>
      <c r="C34" s="344" t="s">
        <v>133</v>
      </c>
      <c r="D34" s="344" t="s">
        <v>134</v>
      </c>
      <c r="E34" s="343"/>
      <c r="F34" s="345"/>
      <c r="G34" s="349" t="s">
        <v>28</v>
      </c>
      <c r="H34" s="346"/>
      <c r="I34" s="346"/>
      <c r="J34" s="346"/>
      <c r="K34" s="346"/>
      <c r="L34" s="343" t="s">
        <v>135</v>
      </c>
      <c r="M34" s="346"/>
    </row>
    <row r="35" spans="1:13" ht="65.150000000000006" hidden="1" customHeight="1">
      <c r="A35" s="342" t="s">
        <v>30</v>
      </c>
      <c r="B35" s="343" t="s">
        <v>103</v>
      </c>
      <c r="C35" s="344" t="s">
        <v>136</v>
      </c>
      <c r="D35" s="344" t="s">
        <v>137</v>
      </c>
      <c r="E35" s="343"/>
      <c r="F35" s="345"/>
      <c r="G35" s="349" t="s">
        <v>28</v>
      </c>
      <c r="H35" s="346"/>
      <c r="I35" s="346"/>
      <c r="J35" s="346"/>
      <c r="K35" s="346"/>
      <c r="L35" s="343" t="s">
        <v>138</v>
      </c>
      <c r="M35" s="346"/>
    </row>
    <row r="36" spans="1:13" ht="65.150000000000006" customHeight="1">
      <c r="A36" s="342"/>
      <c r="B36" s="343" t="s">
        <v>103</v>
      </c>
      <c r="C36" s="350" t="s">
        <v>139</v>
      </c>
      <c r="D36" s="344" t="s">
        <v>140</v>
      </c>
      <c r="E36" s="343" t="s">
        <v>141</v>
      </c>
      <c r="F36" s="345" t="s">
        <v>142</v>
      </c>
      <c r="G36" s="349" t="s">
        <v>28</v>
      </c>
      <c r="H36" s="346"/>
      <c r="I36" s="346" t="s">
        <v>24</v>
      </c>
      <c r="J36" s="346"/>
      <c r="K36" s="346"/>
      <c r="L36" s="343" t="s">
        <v>143</v>
      </c>
      <c r="M36" s="346"/>
    </row>
    <row r="37" spans="1:13" ht="65.150000000000006" hidden="1" customHeight="1">
      <c r="A37" s="342" t="s">
        <v>30</v>
      </c>
      <c r="B37" s="343" t="s">
        <v>103</v>
      </c>
      <c r="C37" s="344" t="s">
        <v>144</v>
      </c>
      <c r="D37" s="344" t="s">
        <v>145</v>
      </c>
      <c r="E37" s="343"/>
      <c r="F37" s="345"/>
      <c r="G37" s="349" t="s">
        <v>28</v>
      </c>
      <c r="H37" s="346"/>
      <c r="I37" s="346"/>
      <c r="J37" s="346"/>
      <c r="K37" s="346"/>
      <c r="L37" s="343" t="s">
        <v>146</v>
      </c>
      <c r="M37" s="346"/>
    </row>
    <row r="38" spans="1:13" ht="158.25" customHeight="1">
      <c r="A38" s="346"/>
      <c r="B38" s="343" t="s">
        <v>103</v>
      </c>
      <c r="C38" s="350" t="s">
        <v>147</v>
      </c>
      <c r="D38" s="344" t="s">
        <v>148</v>
      </c>
      <c r="E38" s="343" t="s">
        <v>149</v>
      </c>
      <c r="F38" s="345" t="s">
        <v>150</v>
      </c>
      <c r="G38" s="349" t="s">
        <v>28</v>
      </c>
      <c r="H38" s="346"/>
      <c r="I38" s="346" t="s">
        <v>24</v>
      </c>
      <c r="J38" s="346"/>
      <c r="K38" s="346"/>
      <c r="L38" s="343" t="s">
        <v>151</v>
      </c>
      <c r="M38" s="346"/>
    </row>
    <row r="39" spans="1:13" ht="65.150000000000006" hidden="1" customHeight="1">
      <c r="A39" s="342" t="s">
        <v>30</v>
      </c>
      <c r="B39" s="343" t="s">
        <v>103</v>
      </c>
      <c r="C39" s="344" t="s">
        <v>152</v>
      </c>
      <c r="D39" s="344" t="s">
        <v>153</v>
      </c>
      <c r="E39" s="343"/>
      <c r="F39" s="345"/>
      <c r="G39" s="346"/>
      <c r="H39" s="346"/>
      <c r="I39" s="346"/>
      <c r="J39" s="346"/>
      <c r="K39" s="346"/>
      <c r="L39" s="343" t="s">
        <v>154</v>
      </c>
      <c r="M39" s="346"/>
    </row>
    <row r="40" spans="1:13" ht="87" hidden="1" customHeight="1">
      <c r="A40" s="342" t="s">
        <v>30</v>
      </c>
      <c r="B40" s="343" t="s">
        <v>103</v>
      </c>
      <c r="C40" s="347" t="s">
        <v>155</v>
      </c>
      <c r="D40" s="344" t="s">
        <v>156</v>
      </c>
      <c r="E40" s="343" t="s">
        <v>157</v>
      </c>
      <c r="F40" s="345" t="s">
        <v>158</v>
      </c>
      <c r="G40" s="349" t="s">
        <v>28</v>
      </c>
      <c r="H40" s="346"/>
      <c r="I40" s="346"/>
      <c r="J40" s="346"/>
      <c r="K40" s="346"/>
      <c r="L40" s="343" t="s">
        <v>159</v>
      </c>
      <c r="M40" s="346"/>
    </row>
    <row r="41" spans="1:13" ht="87" hidden="1" customHeight="1">
      <c r="A41" s="342" t="s">
        <v>30</v>
      </c>
      <c r="B41" s="343" t="s">
        <v>103</v>
      </c>
      <c r="C41" s="351" t="s">
        <v>160</v>
      </c>
      <c r="D41" s="344" t="s">
        <v>161</v>
      </c>
      <c r="E41" s="343" t="s">
        <v>69</v>
      </c>
      <c r="F41" s="345" t="s">
        <v>122</v>
      </c>
      <c r="G41" s="349"/>
      <c r="H41" s="346"/>
      <c r="I41" s="346"/>
      <c r="J41" s="346"/>
      <c r="K41" s="346"/>
      <c r="L41" s="343" t="s">
        <v>162</v>
      </c>
      <c r="M41" s="346"/>
    </row>
    <row r="42" spans="1:13" ht="153" customHeight="1">
      <c r="A42" s="346"/>
      <c r="B42" s="343" t="s">
        <v>163</v>
      </c>
      <c r="C42" s="344" t="s">
        <v>164</v>
      </c>
      <c r="D42" s="347" t="s">
        <v>165</v>
      </c>
      <c r="E42" s="343" t="s">
        <v>100</v>
      </c>
      <c r="F42" s="345" t="s">
        <v>166</v>
      </c>
      <c r="G42" s="349" t="s">
        <v>28</v>
      </c>
      <c r="H42" s="346"/>
      <c r="I42" s="346" t="s">
        <v>24</v>
      </c>
      <c r="J42" s="346"/>
      <c r="K42" s="346"/>
      <c r="L42" s="343" t="s">
        <v>167</v>
      </c>
      <c r="M42" s="346"/>
    </row>
    <row r="43" spans="1:13" ht="65.150000000000006" hidden="1" customHeight="1">
      <c r="A43" s="342" t="s">
        <v>30</v>
      </c>
      <c r="B43" s="343" t="s">
        <v>163</v>
      </c>
      <c r="C43" s="344" t="s">
        <v>168</v>
      </c>
      <c r="D43" s="347" t="s">
        <v>169</v>
      </c>
      <c r="E43" s="343"/>
      <c r="F43" s="345"/>
      <c r="G43" s="346"/>
      <c r="H43" s="346"/>
      <c r="I43" s="346"/>
      <c r="J43" s="346"/>
      <c r="K43" s="346"/>
      <c r="L43" s="343"/>
      <c r="M43" s="346"/>
    </row>
    <row r="44" spans="1:13" ht="65.150000000000006" hidden="1" customHeight="1">
      <c r="A44" s="342" t="s">
        <v>30</v>
      </c>
      <c r="B44" s="343" t="s">
        <v>163</v>
      </c>
      <c r="C44" s="344" t="s">
        <v>170</v>
      </c>
      <c r="D44" s="347" t="s">
        <v>171</v>
      </c>
      <c r="E44" s="343"/>
      <c r="F44" s="345"/>
      <c r="G44" s="346"/>
      <c r="H44" s="346"/>
      <c r="I44" s="346"/>
      <c r="J44" s="346"/>
      <c r="K44" s="346"/>
      <c r="L44" s="343"/>
      <c r="M44" s="346"/>
    </row>
    <row r="45" spans="1:13" ht="65.150000000000006" hidden="1" customHeight="1">
      <c r="A45" s="342" t="s">
        <v>30</v>
      </c>
      <c r="B45" s="343" t="s">
        <v>163</v>
      </c>
      <c r="C45" s="344" t="s">
        <v>172</v>
      </c>
      <c r="D45" s="347" t="s">
        <v>173</v>
      </c>
      <c r="E45" s="343"/>
      <c r="F45" s="345"/>
      <c r="G45" s="346"/>
      <c r="H45" s="346"/>
      <c r="I45" s="346"/>
      <c r="J45" s="346"/>
      <c r="K45" s="346"/>
      <c r="L45" s="343"/>
      <c r="M45" s="346"/>
    </row>
    <row r="46" spans="1:13" ht="65.150000000000006" hidden="1" customHeight="1">
      <c r="A46" s="342" t="s">
        <v>30</v>
      </c>
      <c r="B46" s="343" t="s">
        <v>163</v>
      </c>
      <c r="C46" s="344" t="s">
        <v>174</v>
      </c>
      <c r="D46" s="347" t="s">
        <v>175</v>
      </c>
      <c r="E46" s="343"/>
      <c r="F46" s="345"/>
      <c r="G46" s="346"/>
      <c r="H46" s="346"/>
      <c r="I46" s="346"/>
      <c r="J46" s="346"/>
      <c r="K46" s="346"/>
      <c r="L46" s="343"/>
      <c r="M46" s="346"/>
    </row>
    <row r="47" spans="1:13" ht="65.150000000000006" hidden="1" customHeight="1">
      <c r="A47" s="342" t="s">
        <v>30</v>
      </c>
      <c r="B47" s="343" t="s">
        <v>163</v>
      </c>
      <c r="C47" s="344" t="s">
        <v>176</v>
      </c>
      <c r="D47" s="347" t="s">
        <v>177</v>
      </c>
      <c r="E47" s="343"/>
      <c r="F47" s="345"/>
      <c r="G47" s="346"/>
      <c r="H47" s="346"/>
      <c r="I47" s="346"/>
      <c r="J47" s="346"/>
      <c r="K47" s="346"/>
      <c r="L47" s="343"/>
      <c r="M47" s="346"/>
    </row>
    <row r="48" spans="1:13" ht="65.150000000000006" hidden="1" customHeight="1">
      <c r="A48" s="342" t="s">
        <v>30</v>
      </c>
      <c r="B48" s="343" t="s">
        <v>163</v>
      </c>
      <c r="C48" s="344" t="s">
        <v>178</v>
      </c>
      <c r="D48" s="347" t="s">
        <v>179</v>
      </c>
      <c r="E48" s="343"/>
      <c r="F48" s="345"/>
      <c r="G48" s="346"/>
      <c r="H48" s="346"/>
      <c r="I48" s="346"/>
      <c r="J48" s="346"/>
      <c r="K48" s="346"/>
      <c r="L48" s="343"/>
      <c r="M48" s="346"/>
    </row>
    <row r="49" spans="1:13" ht="65.150000000000006" customHeight="1">
      <c r="A49" s="346"/>
      <c r="B49" s="343" t="s">
        <v>163</v>
      </c>
      <c r="C49" s="344" t="s">
        <v>180</v>
      </c>
      <c r="D49" s="347" t="s">
        <v>181</v>
      </c>
      <c r="E49" s="343"/>
      <c r="F49" s="345"/>
      <c r="G49" s="344" t="s">
        <v>182</v>
      </c>
      <c r="H49" s="346"/>
      <c r="I49" s="346" t="s">
        <v>24</v>
      </c>
      <c r="J49" s="346"/>
      <c r="K49" s="346"/>
      <c r="L49" s="355" t="s">
        <v>183</v>
      </c>
      <c r="M49" s="346"/>
    </row>
    <row r="50" spans="1:13" ht="65.150000000000006" hidden="1" customHeight="1">
      <c r="A50" s="342" t="s">
        <v>30</v>
      </c>
      <c r="B50" s="343" t="s">
        <v>163</v>
      </c>
      <c r="C50" s="344" t="s">
        <v>184</v>
      </c>
      <c r="D50" s="347" t="s">
        <v>185</v>
      </c>
      <c r="E50" s="343"/>
      <c r="F50" s="345"/>
      <c r="G50" s="346"/>
      <c r="H50" s="346"/>
      <c r="I50" s="346"/>
      <c r="J50" s="346"/>
      <c r="K50" s="346"/>
      <c r="L50" s="343"/>
      <c r="M50" s="346"/>
    </row>
    <row r="51" spans="1:13" ht="65.150000000000006" hidden="1" customHeight="1">
      <c r="A51" s="342" t="s">
        <v>30</v>
      </c>
      <c r="B51" s="343" t="s">
        <v>163</v>
      </c>
      <c r="C51" s="344" t="s">
        <v>186</v>
      </c>
      <c r="D51" s="347" t="s">
        <v>187</v>
      </c>
      <c r="E51" s="343"/>
      <c r="F51" s="345"/>
      <c r="G51" s="346"/>
      <c r="H51" s="346"/>
      <c r="I51" s="346"/>
      <c r="J51" s="346"/>
      <c r="K51" s="346"/>
      <c r="L51" s="343"/>
      <c r="M51" s="346"/>
    </row>
    <row r="52" spans="1:13" ht="65.150000000000006" hidden="1" customHeight="1">
      <c r="A52" s="342" t="s">
        <v>30</v>
      </c>
      <c r="B52" s="343" t="s">
        <v>163</v>
      </c>
      <c r="C52" s="344" t="s">
        <v>188</v>
      </c>
      <c r="D52" s="347" t="s">
        <v>189</v>
      </c>
      <c r="E52" s="343"/>
      <c r="F52" s="345"/>
      <c r="G52" s="346"/>
      <c r="H52" s="346"/>
      <c r="I52" s="346"/>
      <c r="J52" s="346"/>
      <c r="K52" s="346"/>
      <c r="L52" s="343"/>
      <c r="M52" s="346"/>
    </row>
    <row r="53" spans="1:13" ht="65.150000000000006" hidden="1" customHeight="1">
      <c r="A53" s="342" t="s">
        <v>30</v>
      </c>
      <c r="B53" s="343" t="s">
        <v>190</v>
      </c>
      <c r="C53" s="344" t="s">
        <v>191</v>
      </c>
      <c r="D53" s="352" t="s">
        <v>192</v>
      </c>
      <c r="E53" s="343"/>
      <c r="F53" s="345"/>
      <c r="G53" s="346"/>
      <c r="H53" s="346"/>
      <c r="I53" s="346"/>
      <c r="J53" s="346"/>
      <c r="K53" s="346"/>
      <c r="L53" s="343"/>
      <c r="M53" s="346"/>
    </row>
    <row r="54" spans="1:13" ht="65.150000000000006" hidden="1" customHeight="1">
      <c r="A54" s="342" t="s">
        <v>30</v>
      </c>
      <c r="B54" s="343" t="s">
        <v>190</v>
      </c>
      <c r="C54" s="344" t="s">
        <v>193</v>
      </c>
      <c r="D54" s="352" t="s">
        <v>194</v>
      </c>
      <c r="E54" s="343"/>
      <c r="F54" s="345"/>
      <c r="G54" s="346"/>
      <c r="H54" s="346"/>
      <c r="I54" s="346"/>
      <c r="J54" s="346"/>
      <c r="K54" s="346"/>
      <c r="L54" s="343"/>
      <c r="M54" s="346"/>
    </row>
    <row r="55" spans="1:13" ht="65.150000000000006" hidden="1" customHeight="1">
      <c r="A55" s="342" t="s">
        <v>30</v>
      </c>
      <c r="B55" s="343" t="s">
        <v>190</v>
      </c>
      <c r="C55" s="344" t="s">
        <v>195</v>
      </c>
      <c r="D55" s="352" t="s">
        <v>196</v>
      </c>
      <c r="E55" s="343"/>
      <c r="F55" s="345"/>
      <c r="G55" s="346"/>
      <c r="H55" s="346"/>
      <c r="I55" s="346"/>
      <c r="J55" s="346"/>
      <c r="K55" s="346"/>
      <c r="L55" s="343"/>
      <c r="M55" s="346"/>
    </row>
    <row r="56" spans="1:13" ht="65.150000000000006" hidden="1" customHeight="1">
      <c r="A56" s="342" t="s">
        <v>30</v>
      </c>
      <c r="B56" s="343" t="s">
        <v>190</v>
      </c>
      <c r="C56" s="344" t="s">
        <v>197</v>
      </c>
      <c r="D56" s="352" t="s">
        <v>198</v>
      </c>
      <c r="E56" s="343"/>
      <c r="F56" s="345"/>
      <c r="G56" s="346"/>
      <c r="H56" s="346"/>
      <c r="I56" s="346"/>
      <c r="J56" s="346"/>
      <c r="K56" s="346"/>
      <c r="L56" s="343"/>
      <c r="M56" s="346"/>
    </row>
    <row r="57" spans="1:13" ht="65.150000000000006" hidden="1" customHeight="1">
      <c r="A57" s="342" t="s">
        <v>30</v>
      </c>
      <c r="B57" s="343" t="s">
        <v>190</v>
      </c>
      <c r="C57" s="344" t="s">
        <v>199</v>
      </c>
      <c r="D57" s="352" t="s">
        <v>200</v>
      </c>
      <c r="E57" s="343"/>
      <c r="F57" s="345"/>
      <c r="G57" s="346"/>
      <c r="H57" s="346"/>
      <c r="I57" s="346"/>
      <c r="J57" s="346"/>
      <c r="K57" s="346"/>
      <c r="L57" s="343"/>
      <c r="M57" s="346"/>
    </row>
    <row r="58" spans="1:13" ht="65.150000000000006" hidden="1" customHeight="1">
      <c r="A58" s="342" t="s">
        <v>30</v>
      </c>
      <c r="B58" s="343" t="s">
        <v>190</v>
      </c>
      <c r="C58" s="344" t="s">
        <v>201</v>
      </c>
      <c r="D58" s="352" t="s">
        <v>202</v>
      </c>
      <c r="E58" s="343"/>
      <c r="F58" s="345"/>
      <c r="G58" s="346"/>
      <c r="H58" s="346"/>
      <c r="I58" s="346"/>
      <c r="J58" s="346"/>
      <c r="K58" s="346"/>
      <c r="L58" s="343"/>
      <c r="M58" s="346"/>
    </row>
    <row r="59" spans="1:13" ht="65.150000000000006" customHeight="1">
      <c r="A59" s="346"/>
      <c r="B59" s="343" t="s">
        <v>190</v>
      </c>
      <c r="C59" s="344" t="s">
        <v>203</v>
      </c>
      <c r="D59" s="352" t="s">
        <v>204</v>
      </c>
      <c r="E59" s="343" t="s">
        <v>205</v>
      </c>
      <c r="F59" s="345" t="s">
        <v>206</v>
      </c>
      <c r="G59" s="349" t="s">
        <v>28</v>
      </c>
      <c r="H59" s="346"/>
      <c r="I59" s="346" t="s">
        <v>24</v>
      </c>
      <c r="J59" s="346"/>
      <c r="K59" s="346"/>
      <c r="L59" s="343" t="s">
        <v>207</v>
      </c>
      <c r="M59" s="346"/>
    </row>
    <row r="60" spans="1:13" ht="145.5" customHeight="1">
      <c r="A60" s="346"/>
      <c r="B60" s="343" t="s">
        <v>190</v>
      </c>
      <c r="C60" s="344" t="s">
        <v>208</v>
      </c>
      <c r="D60" s="352" t="s">
        <v>209</v>
      </c>
      <c r="E60" s="343" t="s">
        <v>69</v>
      </c>
      <c r="F60" s="345" t="s">
        <v>70</v>
      </c>
      <c r="G60" s="346" t="s">
        <v>71</v>
      </c>
      <c r="H60" s="346"/>
      <c r="I60" s="346" t="s">
        <v>24</v>
      </c>
      <c r="J60" s="346"/>
      <c r="K60" s="346"/>
      <c r="L60" s="343" t="s">
        <v>210</v>
      </c>
      <c r="M60" s="346"/>
    </row>
    <row r="61" spans="1:13" ht="65.150000000000006" customHeight="1">
      <c r="A61" s="346"/>
      <c r="B61" s="343" t="s">
        <v>190</v>
      </c>
      <c r="C61" s="344" t="s">
        <v>211</v>
      </c>
      <c r="D61" s="352" t="s">
        <v>212</v>
      </c>
      <c r="E61" s="343"/>
      <c r="F61" s="345"/>
      <c r="G61" s="344" t="s">
        <v>213</v>
      </c>
      <c r="H61" s="346"/>
      <c r="I61" s="346" t="s">
        <v>24</v>
      </c>
      <c r="J61" s="346"/>
      <c r="K61" s="346"/>
      <c r="L61" s="343" t="s">
        <v>214</v>
      </c>
      <c r="M61" s="346"/>
    </row>
    <row r="62" spans="1:13" ht="65.150000000000006" customHeight="1">
      <c r="A62" s="346"/>
      <c r="B62" s="343" t="s">
        <v>190</v>
      </c>
      <c r="C62" s="344" t="s">
        <v>215</v>
      </c>
      <c r="D62" s="352" t="s">
        <v>216</v>
      </c>
      <c r="E62" s="343"/>
      <c r="F62" s="345"/>
      <c r="G62" s="344" t="s">
        <v>217</v>
      </c>
      <c r="H62" s="346"/>
      <c r="I62" s="346" t="s">
        <v>24</v>
      </c>
      <c r="J62" s="346"/>
      <c r="K62" s="346"/>
      <c r="L62" s="343" t="s">
        <v>218</v>
      </c>
      <c r="M62" s="346"/>
    </row>
    <row r="63" spans="1:13" ht="65.150000000000006" hidden="1" customHeight="1">
      <c r="A63" s="342" t="s">
        <v>30</v>
      </c>
      <c r="B63" s="343" t="s">
        <v>190</v>
      </c>
      <c r="C63" s="344" t="s">
        <v>172</v>
      </c>
      <c r="D63" s="352" t="s">
        <v>219</v>
      </c>
      <c r="E63" s="343"/>
      <c r="F63" s="345"/>
      <c r="G63" s="346"/>
      <c r="H63" s="346"/>
      <c r="I63" s="346"/>
      <c r="J63" s="346"/>
      <c r="K63" s="346"/>
      <c r="L63" s="343"/>
      <c r="M63" s="346"/>
    </row>
    <row r="64" spans="1:13" ht="65.150000000000006" hidden="1" customHeight="1">
      <c r="A64" s="342" t="s">
        <v>30</v>
      </c>
      <c r="B64" s="343" t="s">
        <v>190</v>
      </c>
      <c r="C64" s="344" t="s">
        <v>174</v>
      </c>
      <c r="D64" s="352" t="s">
        <v>220</v>
      </c>
      <c r="E64" s="343"/>
      <c r="F64" s="345"/>
      <c r="G64" s="346"/>
      <c r="H64" s="346"/>
      <c r="I64" s="346"/>
      <c r="J64" s="346"/>
      <c r="K64" s="346"/>
      <c r="L64" s="343"/>
      <c r="M64" s="346"/>
    </row>
    <row r="65" spans="1:13" ht="65.150000000000006" hidden="1" customHeight="1">
      <c r="A65" s="342" t="s">
        <v>30</v>
      </c>
      <c r="B65" s="343" t="s">
        <v>190</v>
      </c>
      <c r="C65" s="344" t="s">
        <v>176</v>
      </c>
      <c r="D65" s="352" t="s">
        <v>177</v>
      </c>
      <c r="E65" s="343"/>
      <c r="F65" s="345"/>
      <c r="G65" s="346"/>
      <c r="H65" s="346"/>
      <c r="I65" s="346"/>
      <c r="J65" s="346"/>
      <c r="K65" s="346"/>
      <c r="L65" s="343"/>
      <c r="M65" s="346"/>
    </row>
    <row r="66" spans="1:13" ht="65.150000000000006" hidden="1" customHeight="1">
      <c r="A66" s="342" t="s">
        <v>30</v>
      </c>
      <c r="B66" s="343" t="s">
        <v>190</v>
      </c>
      <c r="C66" s="344" t="s">
        <v>186</v>
      </c>
      <c r="D66" s="352" t="s">
        <v>187</v>
      </c>
      <c r="E66" s="343"/>
      <c r="F66" s="345"/>
      <c r="G66" s="346"/>
      <c r="H66" s="346"/>
      <c r="I66" s="346"/>
      <c r="J66" s="346"/>
      <c r="K66" s="346"/>
      <c r="L66" s="343"/>
      <c r="M66" s="346"/>
    </row>
    <row r="67" spans="1:13" ht="65.150000000000006" hidden="1" customHeight="1">
      <c r="A67" s="342" t="s">
        <v>30</v>
      </c>
      <c r="B67" s="343" t="s">
        <v>190</v>
      </c>
      <c r="C67" s="344" t="s">
        <v>188</v>
      </c>
      <c r="D67" s="352" t="s">
        <v>189</v>
      </c>
      <c r="E67" s="343"/>
      <c r="F67" s="345"/>
      <c r="G67" s="346"/>
      <c r="H67" s="346"/>
      <c r="I67" s="346"/>
      <c r="J67" s="346"/>
      <c r="K67" s="346"/>
      <c r="L67" s="343"/>
      <c r="M67" s="346"/>
    </row>
    <row r="68" spans="1:13" ht="147" hidden="1">
      <c r="A68" s="358" t="s">
        <v>221</v>
      </c>
      <c r="B68" s="337" t="s">
        <v>222</v>
      </c>
    </row>
    <row r="69" spans="1:13" ht="147" hidden="1">
      <c r="A69" s="342" t="s">
        <v>221</v>
      </c>
      <c r="B69" s="337" t="s">
        <v>223</v>
      </c>
    </row>
    <row r="70" spans="1:13" ht="147" hidden="1">
      <c r="A70" s="342" t="s">
        <v>221</v>
      </c>
      <c r="B70" s="337" t="s">
        <v>224</v>
      </c>
    </row>
    <row r="71" spans="1:13" ht="147" hidden="1">
      <c r="A71" s="342" t="s">
        <v>221</v>
      </c>
      <c r="B71" s="337" t="s">
        <v>225</v>
      </c>
    </row>
    <row r="72" spans="1:13" ht="147" hidden="1">
      <c r="A72" s="342" t="s">
        <v>221</v>
      </c>
      <c r="B72" s="337" t="s">
        <v>226</v>
      </c>
    </row>
  </sheetData>
  <autoFilter ref="A2:M72">
    <filterColumn colId="0">
      <filters blank="1"/>
    </filterColumn>
    <extLst/>
  </autoFilter>
  <phoneticPr fontId="21" type="noConversion"/>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2:J23"/>
  <sheetViews>
    <sheetView tabSelected="1" topLeftCell="A19" zoomScale="110" zoomScaleNormal="110" workbookViewId="0">
      <selection activeCell="C26" sqref="C26"/>
    </sheetView>
  </sheetViews>
  <sheetFormatPr defaultColWidth="9" defaultRowHeight="14"/>
  <cols>
    <col min="1" max="1" width="6.1796875" customWidth="1"/>
    <col min="2" max="2" width="13.90625" customWidth="1"/>
    <col min="3" max="3" width="105.453125" customWidth="1"/>
    <col min="4" max="4" width="9.6328125" customWidth="1"/>
  </cols>
  <sheetData>
    <row r="2" spans="1:10" ht="24">
      <c r="C2" s="323" t="s">
        <v>227</v>
      </c>
      <c r="D2" s="323"/>
      <c r="E2" s="323"/>
      <c r="F2" s="323"/>
      <c r="G2" s="323"/>
      <c r="H2" s="323"/>
      <c r="I2" s="323"/>
      <c r="J2" s="323"/>
    </row>
    <row r="3" spans="1:10" ht="24">
      <c r="C3" s="323"/>
      <c r="D3" s="323"/>
      <c r="E3" s="323"/>
      <c r="F3" s="323"/>
      <c r="G3" s="323"/>
      <c r="H3" s="323"/>
      <c r="I3" s="323"/>
      <c r="J3" s="323"/>
    </row>
    <row r="4" spans="1:10">
      <c r="A4" s="324" t="s">
        <v>228</v>
      </c>
      <c r="B4" s="324" t="s">
        <v>229</v>
      </c>
      <c r="C4" s="324" t="s">
        <v>230</v>
      </c>
      <c r="D4" s="324" t="s">
        <v>231</v>
      </c>
    </row>
    <row r="5" spans="1:10">
      <c r="A5" s="325" t="s">
        <v>232</v>
      </c>
      <c r="B5" s="326">
        <v>42557</v>
      </c>
      <c r="C5" s="327" t="s">
        <v>233</v>
      </c>
      <c r="D5" s="325" t="s">
        <v>234</v>
      </c>
    </row>
    <row r="6" spans="1:10">
      <c r="A6" s="325" t="s">
        <v>235</v>
      </c>
      <c r="B6" s="326">
        <v>42579</v>
      </c>
      <c r="C6" s="327" t="s">
        <v>236</v>
      </c>
      <c r="D6" s="325" t="s">
        <v>234</v>
      </c>
    </row>
    <row r="7" spans="1:10">
      <c r="A7" s="328" t="s">
        <v>237</v>
      </c>
      <c r="B7" s="329">
        <v>42619</v>
      </c>
      <c r="C7" s="330" t="s">
        <v>238</v>
      </c>
      <c r="D7" s="325" t="s">
        <v>234</v>
      </c>
    </row>
    <row r="8" spans="1:10">
      <c r="A8" s="328" t="s">
        <v>239</v>
      </c>
      <c r="B8" s="329">
        <v>42642</v>
      </c>
      <c r="C8" s="330" t="s">
        <v>240</v>
      </c>
      <c r="D8" s="325" t="s">
        <v>234</v>
      </c>
    </row>
    <row r="9" spans="1:10">
      <c r="A9" s="328" t="s">
        <v>241</v>
      </c>
      <c r="B9" s="329">
        <v>42657</v>
      </c>
      <c r="C9" s="330" t="s">
        <v>242</v>
      </c>
      <c r="D9" s="325" t="s">
        <v>234</v>
      </c>
    </row>
    <row r="10" spans="1:10">
      <c r="A10" s="328" t="s">
        <v>243</v>
      </c>
      <c r="B10" s="326">
        <v>42660</v>
      </c>
      <c r="C10" s="327" t="s">
        <v>244</v>
      </c>
      <c r="D10" s="325" t="s">
        <v>234</v>
      </c>
    </row>
    <row r="11" spans="1:10">
      <c r="A11" s="328" t="s">
        <v>245</v>
      </c>
      <c r="B11" s="326">
        <v>42716</v>
      </c>
      <c r="C11" s="327" t="s">
        <v>246</v>
      </c>
      <c r="D11" s="325" t="s">
        <v>234</v>
      </c>
    </row>
    <row r="12" spans="1:10">
      <c r="A12" s="328" t="s">
        <v>247</v>
      </c>
      <c r="B12" s="326">
        <v>42727</v>
      </c>
      <c r="C12" s="327" t="s">
        <v>248</v>
      </c>
      <c r="D12" s="325" t="s">
        <v>234</v>
      </c>
    </row>
    <row r="13" spans="1:10">
      <c r="A13" s="328" t="s">
        <v>249</v>
      </c>
      <c r="B13" s="326">
        <v>42802</v>
      </c>
      <c r="C13" s="327" t="s">
        <v>250</v>
      </c>
      <c r="D13" s="325" t="s">
        <v>234</v>
      </c>
    </row>
    <row r="14" spans="1:10">
      <c r="A14" s="328" t="s">
        <v>251</v>
      </c>
      <c r="B14" s="326">
        <v>42944</v>
      </c>
      <c r="C14" s="327" t="s">
        <v>252</v>
      </c>
      <c r="D14" s="325" t="s">
        <v>234</v>
      </c>
    </row>
    <row r="15" spans="1:10">
      <c r="A15" s="328" t="s">
        <v>253</v>
      </c>
      <c r="B15" s="326">
        <v>42983</v>
      </c>
      <c r="C15" s="327" t="s">
        <v>254</v>
      </c>
      <c r="D15" s="325" t="s">
        <v>234</v>
      </c>
    </row>
    <row r="16" spans="1:10">
      <c r="A16" s="328" t="s">
        <v>255</v>
      </c>
      <c r="B16" s="326">
        <v>43242</v>
      </c>
      <c r="C16" s="327" t="s">
        <v>256</v>
      </c>
      <c r="D16" s="325" t="s">
        <v>234</v>
      </c>
    </row>
    <row r="17" spans="1:4">
      <c r="A17" s="328" t="s">
        <v>257</v>
      </c>
      <c r="B17" s="326">
        <v>44355</v>
      </c>
      <c r="C17" s="331" t="s">
        <v>258</v>
      </c>
      <c r="D17" s="325" t="s">
        <v>259</v>
      </c>
    </row>
    <row r="18" spans="1:4">
      <c r="A18" s="328"/>
      <c r="B18" s="326">
        <v>44356</v>
      </c>
      <c r="C18" s="332" t="s">
        <v>260</v>
      </c>
      <c r="D18" s="325" t="s">
        <v>259</v>
      </c>
    </row>
    <row r="19" spans="1:4" ht="39">
      <c r="B19" s="333">
        <v>44370</v>
      </c>
      <c r="C19" s="331" t="s">
        <v>261</v>
      </c>
    </row>
    <row r="20" spans="1:4" ht="42">
      <c r="A20" s="334" t="s">
        <v>262</v>
      </c>
      <c r="B20" s="333">
        <v>44375</v>
      </c>
      <c r="C20" s="306" t="s">
        <v>263</v>
      </c>
    </row>
    <row r="21" spans="1:4">
      <c r="A21" s="334" t="s">
        <v>264</v>
      </c>
      <c r="B21" s="333">
        <v>44377</v>
      </c>
      <c r="C21" s="335" t="s">
        <v>265</v>
      </c>
    </row>
    <row r="22" spans="1:4" ht="70">
      <c r="A22" s="334" t="s">
        <v>3301</v>
      </c>
      <c r="B22" s="333">
        <v>44385</v>
      </c>
      <c r="C22" s="360" t="s">
        <v>3318</v>
      </c>
    </row>
    <row r="23" spans="1:4">
      <c r="A23" s="334" t="s">
        <v>3319</v>
      </c>
      <c r="B23" s="333">
        <v>44398</v>
      </c>
      <c r="C23" s="507" t="s">
        <v>3320</v>
      </c>
    </row>
  </sheetData>
  <phoneticPr fontId="2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2:J16"/>
  <sheetViews>
    <sheetView topLeftCell="B1" workbookViewId="0">
      <selection activeCell="B3" sqref="B3:I3"/>
    </sheetView>
  </sheetViews>
  <sheetFormatPr defaultColWidth="9" defaultRowHeight="14"/>
  <cols>
    <col min="2" max="2" width="11.453125" customWidth="1"/>
    <col min="3" max="3" width="3.453125" customWidth="1"/>
    <col min="4" max="4" width="13.90625" customWidth="1"/>
    <col min="5" max="5" width="16.6328125" style="307" customWidth="1"/>
    <col min="6" max="6" width="15.453125" style="28" customWidth="1"/>
    <col min="7" max="7" width="74.90625" customWidth="1"/>
    <col min="8" max="8" width="24.90625" customWidth="1"/>
    <col min="9" max="9" width="20.6328125" customWidth="1"/>
  </cols>
  <sheetData>
    <row r="2" spans="1:10">
      <c r="A2" s="307"/>
      <c r="B2" s="307"/>
      <c r="C2" s="307"/>
      <c r="D2" s="307"/>
      <c r="G2" s="307"/>
      <c r="H2" s="307"/>
      <c r="I2" s="307"/>
    </row>
    <row r="3" spans="1:10" ht="25.5">
      <c r="A3" s="307"/>
      <c r="B3" s="384" t="s">
        <v>266</v>
      </c>
      <c r="C3" s="384"/>
      <c r="D3" s="384"/>
      <c r="E3" s="384"/>
      <c r="F3" s="384"/>
      <c r="G3" s="384"/>
      <c r="H3" s="384"/>
      <c r="I3" s="384"/>
    </row>
    <row r="4" spans="1:10" ht="25.5">
      <c r="A4" s="307"/>
      <c r="B4" s="308"/>
      <c r="C4" s="308"/>
      <c r="D4" s="308"/>
      <c r="E4" s="309"/>
      <c r="F4" s="308"/>
      <c r="G4" s="308"/>
      <c r="H4" s="308"/>
      <c r="I4" s="308"/>
    </row>
    <row r="5" spans="1:10">
      <c r="A5" s="307"/>
      <c r="B5" s="385" t="s">
        <v>267</v>
      </c>
      <c r="C5" s="385"/>
      <c r="D5" s="385"/>
      <c r="E5" s="385"/>
      <c r="F5" s="385"/>
      <c r="G5" s="385"/>
      <c r="H5" s="385"/>
      <c r="I5" s="385"/>
    </row>
    <row r="6" spans="1:10" ht="29.25" customHeight="1">
      <c r="A6" s="307"/>
      <c r="B6" s="386" t="s">
        <v>266</v>
      </c>
      <c r="C6" s="387"/>
      <c r="D6" s="387"/>
      <c r="E6" s="387"/>
      <c r="F6" s="387"/>
      <c r="G6" s="387"/>
      <c r="H6" s="387"/>
      <c r="I6" s="387"/>
    </row>
    <row r="7" spans="1:10" ht="36.75" customHeight="1">
      <c r="A7" s="307"/>
      <c r="B7" s="377" t="s">
        <v>268</v>
      </c>
      <c r="C7" s="388"/>
      <c r="D7" s="389" t="s">
        <v>269</v>
      </c>
      <c r="E7" s="390"/>
      <c r="F7" s="390"/>
      <c r="G7" s="390"/>
      <c r="H7" s="390"/>
      <c r="I7" s="391"/>
    </row>
    <row r="8" spans="1:10">
      <c r="A8" s="307"/>
      <c r="B8" s="310"/>
      <c r="C8" s="310"/>
      <c r="D8" s="310"/>
      <c r="E8" s="311"/>
      <c r="F8" s="312"/>
      <c r="G8" s="310"/>
      <c r="H8" s="310"/>
      <c r="I8" s="310"/>
    </row>
    <row r="9" spans="1:10">
      <c r="A9" s="307"/>
      <c r="B9" s="310"/>
      <c r="C9" s="310"/>
      <c r="D9" s="310"/>
      <c r="E9" s="311"/>
      <c r="F9" s="312"/>
      <c r="G9" s="310"/>
      <c r="H9" s="310"/>
      <c r="I9" s="310"/>
    </row>
    <row r="10" spans="1:10">
      <c r="A10" s="307"/>
      <c r="B10" s="313" t="s">
        <v>270</v>
      </c>
      <c r="C10" s="314"/>
      <c r="D10" s="315" t="s">
        <v>228</v>
      </c>
      <c r="E10" s="313" t="s">
        <v>271</v>
      </c>
      <c r="F10" s="316" t="s">
        <v>272</v>
      </c>
      <c r="G10" s="316" t="s">
        <v>273</v>
      </c>
      <c r="H10" s="377" t="s">
        <v>274</v>
      </c>
      <c r="I10" s="378"/>
    </row>
    <row r="11" spans="1:10" ht="24" customHeight="1">
      <c r="A11" s="307"/>
      <c r="B11" s="379" t="s">
        <v>275</v>
      </c>
      <c r="C11" s="380"/>
      <c r="D11" s="317" t="s">
        <v>276</v>
      </c>
      <c r="E11" s="318" t="s">
        <v>277</v>
      </c>
      <c r="F11" s="319">
        <v>42535</v>
      </c>
      <c r="G11" s="320"/>
      <c r="H11" s="381"/>
      <c r="I11" s="382"/>
    </row>
    <row r="15" spans="1:10" ht="23">
      <c r="D15" s="321"/>
      <c r="E15" s="322"/>
      <c r="F15" s="321"/>
      <c r="G15" s="321" t="s">
        <v>278</v>
      </c>
      <c r="H15" s="321"/>
      <c r="I15" s="321"/>
      <c r="J15" s="321"/>
    </row>
    <row r="16" spans="1:10" ht="23">
      <c r="D16" s="383"/>
      <c r="E16" s="383"/>
      <c r="F16" s="383"/>
      <c r="G16" s="383"/>
      <c r="H16" s="383"/>
      <c r="I16" s="383"/>
      <c r="J16" s="383"/>
    </row>
  </sheetData>
  <mergeCells count="9">
    <mergeCell ref="H10:I10"/>
    <mergeCell ref="B11:C11"/>
    <mergeCell ref="H11:I11"/>
    <mergeCell ref="D16:J16"/>
    <mergeCell ref="B3:I3"/>
    <mergeCell ref="B5:I5"/>
    <mergeCell ref="B6:I6"/>
    <mergeCell ref="B7:C7"/>
    <mergeCell ref="D7:I7"/>
  </mergeCells>
  <phoneticPr fontId="21" type="noConversion"/>
  <pageMargins left="0.69930555555555596" right="0.69930555555555596"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dimension ref="A1:H21"/>
  <sheetViews>
    <sheetView zoomScale="90" zoomScaleNormal="90" workbookViewId="0">
      <selection activeCell="B21" sqref="B21"/>
    </sheetView>
  </sheetViews>
  <sheetFormatPr defaultColWidth="9" defaultRowHeight="14"/>
  <cols>
    <col min="1" max="1" width="4.81640625" customWidth="1"/>
    <col min="2" max="2" width="103.7265625" customWidth="1"/>
    <col min="3" max="3" width="29.36328125" customWidth="1"/>
    <col min="4" max="7" width="10.36328125" customWidth="1"/>
    <col min="8" max="8" width="4.81640625" customWidth="1"/>
  </cols>
  <sheetData>
    <row r="1" spans="1:8">
      <c r="A1" s="298" t="s">
        <v>279</v>
      </c>
      <c r="B1" s="299" t="s">
        <v>280</v>
      </c>
      <c r="C1" s="299" t="s">
        <v>281</v>
      </c>
      <c r="D1" s="298" t="s">
        <v>282</v>
      </c>
      <c r="E1" s="298" t="s">
        <v>283</v>
      </c>
      <c r="F1" s="298" t="s">
        <v>284</v>
      </c>
      <c r="G1" s="298" t="s">
        <v>285</v>
      </c>
      <c r="H1" s="298" t="s">
        <v>286</v>
      </c>
    </row>
    <row r="2" spans="1:8">
      <c r="A2" s="300" t="s">
        <v>287</v>
      </c>
      <c r="B2" s="301" t="s">
        <v>288</v>
      </c>
      <c r="C2" s="302" t="s">
        <v>289</v>
      </c>
      <c r="D2" s="303">
        <f>COUNTIF(SA!$F:$F,"A")</f>
        <v>20</v>
      </c>
      <c r="E2" s="303">
        <f>COUNTIF(SA!$F:$F,"B")</f>
        <v>0</v>
      </c>
      <c r="F2" s="303">
        <f>COUNTIF(SA!$F:$F,"CA")</f>
        <v>0</v>
      </c>
      <c r="G2" s="303">
        <f>COUNTIF(SA!$F:$F,"CB")</f>
        <v>0</v>
      </c>
      <c r="H2" s="304">
        <f t="shared" ref="H2:H19" si="0">SUM($D2:$G2)</f>
        <v>20</v>
      </c>
    </row>
    <row r="3" spans="1:8">
      <c r="A3" s="300" t="s">
        <v>290</v>
      </c>
      <c r="B3" s="301" t="s">
        <v>291</v>
      </c>
      <c r="C3" s="302" t="s">
        <v>292</v>
      </c>
      <c r="D3" s="303">
        <f>COUNTIF(SB!$F:$F,"A")</f>
        <v>5</v>
      </c>
      <c r="E3" s="303">
        <f>COUNTIF(SB!$F:$F,"B")</f>
        <v>0</v>
      </c>
      <c r="F3" s="303">
        <f>COUNTIF(SB!$F:$F,"CA")</f>
        <v>0</v>
      </c>
      <c r="G3" s="303">
        <f>COUNTIF(SB!$F:$F,"CB")</f>
        <v>0</v>
      </c>
      <c r="H3" s="304">
        <f t="shared" si="0"/>
        <v>5</v>
      </c>
    </row>
    <row r="4" spans="1:8">
      <c r="A4" s="300" t="s">
        <v>293</v>
      </c>
      <c r="B4" s="301" t="s">
        <v>294</v>
      </c>
      <c r="C4" s="302" t="s">
        <v>295</v>
      </c>
      <c r="D4" s="303">
        <f>COUNTIF(SC!$F:$F,"A")</f>
        <v>19</v>
      </c>
      <c r="E4" s="303">
        <f>COUNTIF(SC!$F:$F,"B")</f>
        <v>0</v>
      </c>
      <c r="F4" s="303">
        <f>COUNTIF(SC!$F:$F,"CA")</f>
        <v>0</v>
      </c>
      <c r="G4" s="303">
        <f>COUNTIF(SC!$F:$F,"CB")</f>
        <v>0</v>
      </c>
      <c r="H4" s="304">
        <f t="shared" si="0"/>
        <v>19</v>
      </c>
    </row>
    <row r="5" spans="1:8">
      <c r="A5" s="300" t="s">
        <v>296</v>
      </c>
      <c r="B5" s="301" t="s">
        <v>297</v>
      </c>
      <c r="C5" s="302" t="s">
        <v>298</v>
      </c>
      <c r="D5" s="303">
        <f>COUNTIF(SD!$F:$F,"A")</f>
        <v>55</v>
      </c>
      <c r="E5" s="303">
        <f>COUNTIF(SD!$F:$F,"B")</f>
        <v>0</v>
      </c>
      <c r="F5" s="303">
        <f>COUNTIF(SD!$F:$F,"CA")</f>
        <v>0</v>
      </c>
      <c r="G5" s="303">
        <f>COUNTIF(SD!$F:$F,"CB")</f>
        <v>0</v>
      </c>
      <c r="H5" s="304">
        <f t="shared" si="0"/>
        <v>55</v>
      </c>
    </row>
    <row r="6" spans="1:8">
      <c r="A6" s="300" t="s">
        <v>299</v>
      </c>
      <c r="B6" s="301" t="s">
        <v>300</v>
      </c>
      <c r="C6" s="302" t="s">
        <v>301</v>
      </c>
      <c r="D6" s="303">
        <f>COUNTIF(SE!$F:$F,"A")</f>
        <v>5</v>
      </c>
      <c r="E6" s="303">
        <f>COUNTIF(SE!$F:$F,"B")</f>
        <v>0</v>
      </c>
      <c r="F6" s="303">
        <f>COUNTIF(SE!$F:$F,"CA")</f>
        <v>0</v>
      </c>
      <c r="G6" s="303">
        <f>COUNTIF(SE!$F:$F,"CB")</f>
        <v>0</v>
      </c>
      <c r="H6" s="304">
        <f t="shared" si="0"/>
        <v>5</v>
      </c>
    </row>
    <row r="7" spans="1:8">
      <c r="A7" s="305" t="s">
        <v>302</v>
      </c>
      <c r="B7" s="301" t="s">
        <v>303</v>
      </c>
      <c r="C7" s="302" t="s">
        <v>304</v>
      </c>
      <c r="D7" s="303">
        <f>COUNTIF(SF!$F:$F,"A")</f>
        <v>37</v>
      </c>
      <c r="E7" s="303">
        <f>COUNTIF(SF!$F:$F,"B")</f>
        <v>0</v>
      </c>
      <c r="F7" s="303">
        <f>COUNTIF(SF!$F:$F,"CA")</f>
        <v>17</v>
      </c>
      <c r="G7" s="303">
        <f>COUNTIF(SF!$F:$F,"CB")</f>
        <v>0</v>
      </c>
      <c r="H7" s="304">
        <f t="shared" si="0"/>
        <v>54</v>
      </c>
    </row>
    <row r="8" spans="1:8">
      <c r="A8" s="305" t="s">
        <v>305</v>
      </c>
      <c r="B8" s="301" t="s">
        <v>306</v>
      </c>
      <c r="C8" s="302" t="s">
        <v>307</v>
      </c>
      <c r="D8" s="303">
        <f>COUNTIF(SG!$F:$F,"A")</f>
        <v>13</v>
      </c>
      <c r="E8" s="303">
        <f>COUNTIF(SG!$F:$F,"B")</f>
        <v>0</v>
      </c>
      <c r="F8" s="303">
        <f>COUNTIF(SG!$F:$F,"CA")</f>
        <v>0</v>
      </c>
      <c r="G8" s="303">
        <f>COUNTIF(SG!$F:$F,"CB")</f>
        <v>0</v>
      </c>
      <c r="H8" s="304">
        <f t="shared" si="0"/>
        <v>13</v>
      </c>
    </row>
    <row r="9" spans="1:8">
      <c r="A9" s="300" t="s">
        <v>308</v>
      </c>
      <c r="B9" s="301" t="s">
        <v>309</v>
      </c>
      <c r="C9" s="302" t="s">
        <v>310</v>
      </c>
      <c r="D9" s="303">
        <f>COUNTIF(SH!$F:$F,"A")</f>
        <v>65</v>
      </c>
      <c r="E9" s="303">
        <f>COUNTIF(SH!$F:$F,"B")</f>
        <v>0</v>
      </c>
      <c r="F9" s="303">
        <f>COUNTIF(SH!$F:$F,"CA")</f>
        <v>6</v>
      </c>
      <c r="G9" s="303">
        <f>COUNTIF(SH!$F:$F,"CB")</f>
        <v>0</v>
      </c>
      <c r="H9" s="304">
        <f t="shared" si="0"/>
        <v>71</v>
      </c>
    </row>
    <row r="10" spans="1:8">
      <c r="A10" s="300" t="s">
        <v>311</v>
      </c>
      <c r="B10" s="301" t="s">
        <v>312</v>
      </c>
      <c r="C10" s="302" t="s">
        <v>313</v>
      </c>
      <c r="D10" s="303">
        <f>COUNTIF(SI!$F:$F,"A")</f>
        <v>17</v>
      </c>
      <c r="E10" s="303">
        <f>COUNTIF(SI!$F:$F,"B")</f>
        <v>0</v>
      </c>
      <c r="F10" s="303">
        <f>COUNTIF(SI!$F:$F,"CA")</f>
        <v>10</v>
      </c>
      <c r="G10" s="303">
        <f>COUNTIF(SI!$F:$F,"CB")</f>
        <v>0</v>
      </c>
      <c r="H10" s="304">
        <f t="shared" si="0"/>
        <v>27</v>
      </c>
    </row>
    <row r="11" spans="1:8">
      <c r="A11" s="300" t="s">
        <v>314</v>
      </c>
      <c r="B11" s="301" t="s">
        <v>315</v>
      </c>
      <c r="C11" s="302" t="s">
        <v>316</v>
      </c>
      <c r="D11" s="303">
        <f>COUNTIF(SJ!$F:$F,"A")</f>
        <v>209</v>
      </c>
      <c r="E11" s="303">
        <f>COUNTIF(SJ!$F:$F,"B")</f>
        <v>33</v>
      </c>
      <c r="F11" s="303">
        <f>COUNTIF(SJ!$F:$F,"CA")</f>
        <v>74</v>
      </c>
      <c r="G11" s="303">
        <f>COUNTIF(SJ!$F:$F,"CB")</f>
        <v>11</v>
      </c>
      <c r="H11" s="304">
        <f t="shared" si="0"/>
        <v>327</v>
      </c>
    </row>
    <row r="12" spans="1:8">
      <c r="A12" s="300" t="s">
        <v>317</v>
      </c>
      <c r="B12" s="301" t="s">
        <v>318</v>
      </c>
      <c r="C12" s="302" t="s">
        <v>319</v>
      </c>
      <c r="D12" s="303">
        <f>COUNTIF(SK!$F:$F,"A")</f>
        <v>17</v>
      </c>
      <c r="E12" s="303">
        <f>COUNTIF(SK!$F:$F,"B")</f>
        <v>3</v>
      </c>
      <c r="F12" s="303">
        <f>COUNTIF(SK!$F:$F,"CA")</f>
        <v>4</v>
      </c>
      <c r="G12" s="303">
        <f>COUNTIF(SK!$F:$F,"CB")</f>
        <v>1</v>
      </c>
      <c r="H12" s="304">
        <f t="shared" si="0"/>
        <v>25</v>
      </c>
    </row>
    <row r="13" spans="1:8">
      <c r="A13" s="300" t="s">
        <v>320</v>
      </c>
      <c r="B13" s="301" t="s">
        <v>321</v>
      </c>
      <c r="C13" s="302" t="s">
        <v>322</v>
      </c>
      <c r="D13" s="303">
        <f>COUNTIF(SL!$F:$F,"A")</f>
        <v>12</v>
      </c>
      <c r="E13" s="303">
        <f>COUNTIF(SL!$F:$F,"B")</f>
        <v>1</v>
      </c>
      <c r="F13" s="303">
        <f>COUNTIF(SL!$F:$F,"CA")</f>
        <v>0</v>
      </c>
      <c r="G13" s="303">
        <f>COUNTIF(SL!$F:$F,"CB")</f>
        <v>0</v>
      </c>
      <c r="H13" s="304">
        <f t="shared" si="0"/>
        <v>13</v>
      </c>
    </row>
    <row r="14" spans="1:8">
      <c r="A14" s="300" t="s">
        <v>323</v>
      </c>
      <c r="B14" s="301" t="s">
        <v>324</v>
      </c>
      <c r="C14" s="302" t="s">
        <v>325</v>
      </c>
      <c r="D14" s="303">
        <f>COUNTIF(SM!$F:$F,"A")</f>
        <v>9</v>
      </c>
      <c r="E14" s="303">
        <f>COUNTIF(SM!$F:$F,"B")</f>
        <v>0</v>
      </c>
      <c r="F14" s="303">
        <f>COUNTIF(SM!$F:$F,"CA")</f>
        <v>0</v>
      </c>
      <c r="G14" s="303">
        <f>COUNTIF(SM!$F:$F,"CB")</f>
        <v>0</v>
      </c>
      <c r="H14" s="304">
        <f t="shared" si="0"/>
        <v>9</v>
      </c>
    </row>
    <row r="15" spans="1:8">
      <c r="A15" s="305" t="s">
        <v>326</v>
      </c>
      <c r="B15" s="301" t="s">
        <v>327</v>
      </c>
      <c r="C15" s="302" t="s">
        <v>328</v>
      </c>
      <c r="D15" s="303">
        <f>COUNTIF(SN!$F:$F,"A")</f>
        <v>5</v>
      </c>
      <c r="E15" s="303">
        <f>COUNTIF(SN!$F:$F,"B")</f>
        <v>0</v>
      </c>
      <c r="F15" s="303">
        <f>COUNTIF(SN!$F:$F,"CA")</f>
        <v>3</v>
      </c>
      <c r="G15" s="303">
        <f>COUNTIF(SN!$F:$F,"CB")</f>
        <v>0</v>
      </c>
      <c r="H15" s="304">
        <f t="shared" si="0"/>
        <v>8</v>
      </c>
    </row>
    <row r="16" spans="1:8">
      <c r="A16" s="305" t="s">
        <v>329</v>
      </c>
      <c r="B16" s="301" t="s">
        <v>330</v>
      </c>
      <c r="C16" s="302" t="s">
        <v>331</v>
      </c>
      <c r="D16" s="303">
        <f>COUNTIF(SO!$F:$F,"A")</f>
        <v>0</v>
      </c>
      <c r="E16" s="303">
        <f>COUNTIF(SO!$F:$F,"B")</f>
        <v>0</v>
      </c>
      <c r="F16" s="303">
        <f>COUNTIF(SO!$F:$F,"CA")</f>
        <v>0</v>
      </c>
      <c r="G16" s="303">
        <f>COUNTIF(SO!$F:$F,"CB")</f>
        <v>3</v>
      </c>
      <c r="H16" s="304">
        <f t="shared" si="0"/>
        <v>3</v>
      </c>
    </row>
    <row r="17" spans="1:8">
      <c r="A17" s="300" t="s">
        <v>332</v>
      </c>
      <c r="B17" s="301" t="s">
        <v>333</v>
      </c>
      <c r="C17" s="302" t="s">
        <v>334</v>
      </c>
      <c r="D17" s="303">
        <f>COUNTIF(SP!$F:$F,"A")</f>
        <v>0</v>
      </c>
      <c r="E17" s="303">
        <f>COUNTIF(SP!$F:$F,"B")</f>
        <v>14</v>
      </c>
      <c r="F17" s="303">
        <f>COUNTIF(SP!$F:$F,"CA")</f>
        <v>0</v>
      </c>
      <c r="G17" s="303">
        <f>COUNTIF(SP!$F:$F,"CB")</f>
        <v>0</v>
      </c>
      <c r="H17" s="304">
        <f t="shared" si="0"/>
        <v>14</v>
      </c>
    </row>
    <row r="18" spans="1:8">
      <c r="A18" s="305" t="s">
        <v>335</v>
      </c>
      <c r="B18" s="301" t="s">
        <v>336</v>
      </c>
      <c r="C18" s="302" t="s">
        <v>337</v>
      </c>
      <c r="D18" s="303">
        <f>COUNTIF(SQ!$F:$F,"A")</f>
        <v>10</v>
      </c>
      <c r="E18" s="303">
        <f>COUNTIF(SQ!$F:$F,"B")</f>
        <v>0</v>
      </c>
      <c r="F18" s="303">
        <f>COUNTIF(SQ!$F:$F,"CA")</f>
        <v>0</v>
      </c>
      <c r="G18" s="303">
        <f>COUNTIF(SQ!$F:$F,"CB")</f>
        <v>0</v>
      </c>
      <c r="H18" s="304">
        <f t="shared" si="0"/>
        <v>10</v>
      </c>
    </row>
    <row r="19" spans="1:8">
      <c r="A19" s="305" t="s">
        <v>338</v>
      </c>
      <c r="B19" s="301" t="s">
        <v>339</v>
      </c>
      <c r="C19" s="301" t="s">
        <v>340</v>
      </c>
      <c r="D19" s="303">
        <f>COUNTIF(SR!$F:$F,"A")</f>
        <v>25</v>
      </c>
      <c r="E19" s="303">
        <f>COUNTIF(SR!$F:$F,"B")</f>
        <v>6</v>
      </c>
      <c r="F19" s="303">
        <f>COUNTIF(SR!$F:$F,"CA")</f>
        <v>0</v>
      </c>
      <c r="G19" s="303">
        <f>COUNTIF(SR!$F:$F,"CB")</f>
        <v>0</v>
      </c>
      <c r="H19" s="304">
        <f t="shared" si="0"/>
        <v>31</v>
      </c>
    </row>
    <row r="20" spans="1:8">
      <c r="A20" s="392" t="s">
        <v>341</v>
      </c>
      <c r="B20" s="393"/>
      <c r="C20" s="393"/>
      <c r="D20" s="304">
        <f>SUM(D2:D19)</f>
        <v>523</v>
      </c>
      <c r="E20" s="304">
        <f>SUM(E2:E19)</f>
        <v>57</v>
      </c>
      <c r="F20" s="304">
        <f>SUM(F2:F19)</f>
        <v>114</v>
      </c>
      <c r="G20" s="304">
        <f>SUM(G2:G19)</f>
        <v>15</v>
      </c>
      <c r="H20" s="304">
        <f>SUM(H2:H19)</f>
        <v>709</v>
      </c>
    </row>
    <row r="21" spans="1:8" ht="266">
      <c r="B21" s="306" t="s">
        <v>342</v>
      </c>
    </row>
  </sheetData>
  <mergeCells count="1">
    <mergeCell ref="A20:C20"/>
  </mergeCells>
  <phoneticPr fontId="2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21"/>
  <sheetViews>
    <sheetView workbookViewId="0">
      <pane xSplit="2" ySplit="1" topLeftCell="I14" activePane="bottomRight" state="frozen"/>
      <selection pane="topRight"/>
      <selection pane="bottomLeft"/>
      <selection pane="bottomRight" activeCell="J18" sqref="J18"/>
    </sheetView>
  </sheetViews>
  <sheetFormatPr defaultColWidth="48.08984375" defaultRowHeight="14.5"/>
  <cols>
    <col min="1" max="1" width="7.81640625" style="288" customWidth="1"/>
    <col min="2" max="2" width="48.90625" style="289" customWidth="1"/>
    <col min="3" max="3" width="42.7265625" style="289" customWidth="1"/>
    <col min="4" max="4" width="21.36328125" style="290" customWidth="1"/>
    <col min="5" max="5" width="10.453125" style="291" customWidth="1"/>
    <col min="6" max="6" width="6.36328125" style="291" customWidth="1"/>
    <col min="7" max="7" width="9.08984375" style="269" customWidth="1"/>
    <col min="8" max="8" width="17.1796875" style="289" customWidth="1"/>
    <col min="9" max="9" width="11.36328125" style="292" customWidth="1"/>
    <col min="10" max="10" width="20" style="291" customWidth="1"/>
    <col min="11" max="11" width="21.90625" style="291" customWidth="1"/>
    <col min="12" max="12" width="31.36328125" style="292" customWidth="1"/>
    <col min="13" max="13" width="20.453125" style="269" customWidth="1"/>
    <col min="14" max="16384" width="48.08984375" style="269"/>
  </cols>
  <sheetData>
    <row r="1" spans="1:13" s="48" customFormat="1" ht="13">
      <c r="A1" s="21" t="s">
        <v>343</v>
      </c>
      <c r="B1" s="21" t="s">
        <v>344</v>
      </c>
      <c r="C1" s="21" t="s">
        <v>345</v>
      </c>
      <c r="D1" s="293" t="s">
        <v>346</v>
      </c>
      <c r="E1" s="21" t="s">
        <v>347</v>
      </c>
      <c r="F1" s="21" t="s">
        <v>348</v>
      </c>
      <c r="G1" s="21" t="s">
        <v>349</v>
      </c>
      <c r="H1" s="294" t="s">
        <v>350</v>
      </c>
      <c r="I1" s="21" t="s">
        <v>8</v>
      </c>
      <c r="J1" s="51" t="s">
        <v>6</v>
      </c>
      <c r="K1" s="21" t="s">
        <v>351</v>
      </c>
      <c r="L1" s="21" t="s">
        <v>273</v>
      </c>
      <c r="M1" s="21" t="s">
        <v>352</v>
      </c>
    </row>
    <row r="2" spans="1:13" s="29" customFormat="1" ht="92" customHeight="1">
      <c r="A2" s="394" t="s">
        <v>289</v>
      </c>
      <c r="B2" s="295" t="s">
        <v>353</v>
      </c>
      <c r="C2" s="29" t="s">
        <v>354</v>
      </c>
      <c r="D2" s="29" t="s">
        <v>355</v>
      </c>
      <c r="E2" s="30" t="s">
        <v>356</v>
      </c>
      <c r="F2" s="30" t="s">
        <v>357</v>
      </c>
      <c r="G2" s="30" t="s">
        <v>358</v>
      </c>
      <c r="H2" s="29" t="s">
        <v>355</v>
      </c>
      <c r="I2" s="30" t="s">
        <v>24</v>
      </c>
      <c r="J2" s="30" t="s">
        <v>359</v>
      </c>
      <c r="K2" s="29" t="s">
        <v>360</v>
      </c>
      <c r="L2" s="29" t="s">
        <v>361</v>
      </c>
    </row>
    <row r="3" spans="1:13" s="287" customFormat="1" ht="24">
      <c r="A3" s="395"/>
      <c r="B3" s="295" t="s">
        <v>362</v>
      </c>
      <c r="C3" s="29" t="s">
        <v>363</v>
      </c>
      <c r="D3" s="29" t="s">
        <v>364</v>
      </c>
      <c r="E3" s="30" t="s">
        <v>365</v>
      </c>
      <c r="F3" s="30" t="s">
        <v>357</v>
      </c>
      <c r="G3" s="30" t="s">
        <v>366</v>
      </c>
      <c r="H3" s="287" t="s">
        <v>366</v>
      </c>
      <c r="I3" s="30" t="s">
        <v>24</v>
      </c>
      <c r="J3" s="30" t="s">
        <v>359</v>
      </c>
      <c r="K3" s="30" t="s">
        <v>367</v>
      </c>
      <c r="L3" s="29" t="s">
        <v>368</v>
      </c>
    </row>
    <row r="4" spans="1:13" s="16" customFormat="1" ht="24">
      <c r="A4" s="395"/>
      <c r="B4" s="295" t="s">
        <v>369</v>
      </c>
      <c r="C4" s="29" t="s">
        <v>370</v>
      </c>
      <c r="D4" s="241" t="s">
        <v>371</v>
      </c>
      <c r="E4" s="30" t="s">
        <v>372</v>
      </c>
      <c r="F4" s="30" t="s">
        <v>357</v>
      </c>
      <c r="G4" s="396" t="s">
        <v>358</v>
      </c>
      <c r="H4" s="29" t="s">
        <v>373</v>
      </c>
      <c r="I4" s="30" t="s">
        <v>57</v>
      </c>
      <c r="J4" s="32" t="s">
        <v>374</v>
      </c>
      <c r="K4" s="30" t="s">
        <v>366</v>
      </c>
      <c r="L4" s="30" t="s">
        <v>375</v>
      </c>
      <c r="M4" s="33"/>
    </row>
    <row r="5" spans="1:13" s="16" customFormat="1" ht="24">
      <c r="A5" s="395"/>
      <c r="B5" s="295" t="s">
        <v>376</v>
      </c>
      <c r="C5" s="29" t="s">
        <v>377</v>
      </c>
      <c r="D5" s="241" t="s">
        <v>378</v>
      </c>
      <c r="E5" s="30" t="s">
        <v>379</v>
      </c>
      <c r="F5" s="30" t="s">
        <v>357</v>
      </c>
      <c r="G5" s="396"/>
      <c r="H5" s="29" t="s">
        <v>380</v>
      </c>
      <c r="I5" s="30" t="s">
        <v>57</v>
      </c>
      <c r="J5" s="32" t="s">
        <v>381</v>
      </c>
      <c r="K5" s="30" t="s">
        <v>366</v>
      </c>
      <c r="L5" s="30" t="s">
        <v>375</v>
      </c>
      <c r="M5" s="33"/>
    </row>
    <row r="6" spans="1:13" s="16" customFormat="1" ht="24">
      <c r="A6" s="395"/>
      <c r="B6" s="295" t="s">
        <v>382</v>
      </c>
      <c r="C6" s="29" t="s">
        <v>383</v>
      </c>
      <c r="D6" s="241" t="s">
        <v>384</v>
      </c>
      <c r="E6" s="30" t="s">
        <v>385</v>
      </c>
      <c r="F6" s="30" t="s">
        <v>357</v>
      </c>
      <c r="G6" s="396"/>
      <c r="H6" s="29" t="s">
        <v>386</v>
      </c>
      <c r="I6" s="30" t="s">
        <v>57</v>
      </c>
      <c r="J6" s="32" t="s">
        <v>387</v>
      </c>
      <c r="K6" s="30" t="s">
        <v>366</v>
      </c>
      <c r="L6" s="30" t="s">
        <v>375</v>
      </c>
      <c r="M6" s="33"/>
    </row>
    <row r="7" spans="1:13" s="16" customFormat="1" ht="24">
      <c r="A7" s="395"/>
      <c r="B7" s="295" t="s">
        <v>388</v>
      </c>
      <c r="C7" s="29" t="s">
        <v>389</v>
      </c>
      <c r="D7" s="241" t="s">
        <v>390</v>
      </c>
      <c r="E7" s="30" t="s">
        <v>391</v>
      </c>
      <c r="F7" s="30" t="s">
        <v>357</v>
      </c>
      <c r="G7" s="396"/>
      <c r="H7" s="29" t="s">
        <v>390</v>
      </c>
      <c r="I7" s="30" t="s">
        <v>57</v>
      </c>
      <c r="J7" s="32" t="s">
        <v>387</v>
      </c>
      <c r="K7" s="30" t="s">
        <v>392</v>
      </c>
      <c r="L7" s="30" t="s">
        <v>375</v>
      </c>
      <c r="M7" s="33"/>
    </row>
    <row r="8" spans="1:13" s="16" customFormat="1" ht="24">
      <c r="A8" s="395"/>
      <c r="B8" s="295" t="s">
        <v>393</v>
      </c>
      <c r="C8" s="29" t="s">
        <v>394</v>
      </c>
      <c r="D8" s="241" t="s">
        <v>395</v>
      </c>
      <c r="E8" s="30" t="s">
        <v>396</v>
      </c>
      <c r="F8" s="30" t="s">
        <v>357</v>
      </c>
      <c r="G8" s="396"/>
      <c r="H8" s="29" t="s">
        <v>397</v>
      </c>
      <c r="I8" s="30" t="s">
        <v>57</v>
      </c>
      <c r="J8" s="32" t="s">
        <v>387</v>
      </c>
      <c r="K8" s="30" t="s">
        <v>366</v>
      </c>
      <c r="L8" s="30" t="s">
        <v>375</v>
      </c>
      <c r="M8" s="33"/>
    </row>
    <row r="9" spans="1:13" s="16" customFormat="1" ht="24">
      <c r="A9" s="395"/>
      <c r="B9" s="295" t="s">
        <v>398</v>
      </c>
      <c r="C9" s="29" t="s">
        <v>399</v>
      </c>
      <c r="D9" s="241" t="s">
        <v>400</v>
      </c>
      <c r="E9" s="30" t="s">
        <v>401</v>
      </c>
      <c r="F9" s="30" t="s">
        <v>357</v>
      </c>
      <c r="G9" s="396"/>
      <c r="H9" s="29" t="s">
        <v>402</v>
      </c>
      <c r="I9" s="30" t="s">
        <v>57</v>
      </c>
      <c r="J9" s="32" t="s">
        <v>387</v>
      </c>
      <c r="K9" s="30" t="s">
        <v>366</v>
      </c>
      <c r="L9" s="30" t="s">
        <v>375</v>
      </c>
      <c r="M9" s="33"/>
    </row>
    <row r="10" spans="1:13" s="16" customFormat="1" ht="13">
      <c r="A10" s="395"/>
      <c r="B10" s="295" t="s">
        <v>403</v>
      </c>
      <c r="C10" s="29" t="s">
        <v>404</v>
      </c>
      <c r="D10" s="241" t="s">
        <v>405</v>
      </c>
      <c r="E10" s="30" t="s">
        <v>406</v>
      </c>
      <c r="F10" s="30" t="s">
        <v>357</v>
      </c>
      <c r="G10" s="396"/>
      <c r="H10" s="29" t="s">
        <v>405</v>
      </c>
      <c r="I10" s="30" t="s">
        <v>57</v>
      </c>
      <c r="J10" s="32" t="s">
        <v>387</v>
      </c>
      <c r="K10" s="30" t="s">
        <v>366</v>
      </c>
      <c r="L10" s="30" t="s">
        <v>407</v>
      </c>
      <c r="M10" s="33"/>
    </row>
    <row r="11" spans="1:13" s="16" customFormat="1" ht="24">
      <c r="A11" s="395"/>
      <c r="B11" s="295" t="s">
        <v>408</v>
      </c>
      <c r="C11" s="29" t="s">
        <v>409</v>
      </c>
      <c r="D11" s="241" t="s">
        <v>410</v>
      </c>
      <c r="E11" s="30" t="s">
        <v>411</v>
      </c>
      <c r="F11" s="30" t="s">
        <v>357</v>
      </c>
      <c r="G11" s="396"/>
      <c r="H11" s="29" t="s">
        <v>366</v>
      </c>
      <c r="I11" s="30" t="s">
        <v>57</v>
      </c>
      <c r="J11" s="32" t="s">
        <v>387</v>
      </c>
      <c r="K11" s="30" t="s">
        <v>366</v>
      </c>
      <c r="L11" s="30" t="s">
        <v>375</v>
      </c>
      <c r="M11" s="33"/>
    </row>
    <row r="12" spans="1:13" s="16" customFormat="1" ht="24">
      <c r="A12" s="395"/>
      <c r="B12" s="295" t="s">
        <v>412</v>
      </c>
      <c r="C12" s="29" t="s">
        <v>413</v>
      </c>
      <c r="D12" s="241" t="s">
        <v>414</v>
      </c>
      <c r="E12" s="30" t="s">
        <v>415</v>
      </c>
      <c r="F12" s="30" t="s">
        <v>357</v>
      </c>
      <c r="G12" s="396"/>
      <c r="H12" s="29" t="s">
        <v>366</v>
      </c>
      <c r="I12" s="30" t="s">
        <v>57</v>
      </c>
      <c r="J12" s="32" t="s">
        <v>387</v>
      </c>
      <c r="K12" s="30" t="s">
        <v>366</v>
      </c>
      <c r="L12" s="30" t="s">
        <v>375</v>
      </c>
      <c r="M12" s="33"/>
    </row>
    <row r="13" spans="1:13" s="16" customFormat="1" ht="24">
      <c r="A13" s="395"/>
      <c r="B13" s="295" t="s">
        <v>416</v>
      </c>
      <c r="C13" s="29" t="s">
        <v>417</v>
      </c>
      <c r="D13" s="241" t="s">
        <v>418</v>
      </c>
      <c r="E13" s="30" t="s">
        <v>419</v>
      </c>
      <c r="F13" s="30" t="s">
        <v>357</v>
      </c>
      <c r="G13" s="396"/>
      <c r="H13" s="29" t="s">
        <v>380</v>
      </c>
      <c r="I13" s="30" t="s">
        <v>57</v>
      </c>
      <c r="J13" s="32" t="s">
        <v>387</v>
      </c>
      <c r="K13" s="30" t="s">
        <v>366</v>
      </c>
      <c r="L13" s="30" t="s">
        <v>375</v>
      </c>
      <c r="M13" s="33"/>
    </row>
    <row r="14" spans="1:13" s="16" customFormat="1" ht="24">
      <c r="A14" s="395"/>
      <c r="B14" s="295" t="s">
        <v>420</v>
      </c>
      <c r="C14" s="29" t="s">
        <v>421</v>
      </c>
      <c r="D14" s="241" t="s">
        <v>422</v>
      </c>
      <c r="E14" s="30" t="s">
        <v>423</v>
      </c>
      <c r="F14" s="30" t="s">
        <v>357</v>
      </c>
      <c r="G14" s="396"/>
      <c r="H14" s="29" t="s">
        <v>424</v>
      </c>
      <c r="I14" s="30" t="s">
        <v>57</v>
      </c>
      <c r="J14" s="32" t="s">
        <v>387</v>
      </c>
      <c r="K14" s="30" t="s">
        <v>366</v>
      </c>
      <c r="L14" s="30" t="s">
        <v>375</v>
      </c>
      <c r="M14" s="33"/>
    </row>
    <row r="15" spans="1:13" s="16" customFormat="1" ht="24">
      <c r="A15" s="395"/>
      <c r="B15" s="295" t="s">
        <v>425</v>
      </c>
      <c r="C15" s="29" t="s">
        <v>426</v>
      </c>
      <c r="D15" s="241" t="s">
        <v>427</v>
      </c>
      <c r="E15" s="30" t="s">
        <v>428</v>
      </c>
      <c r="F15" s="30" t="s">
        <v>357</v>
      </c>
      <c r="G15" s="396"/>
      <c r="H15" s="29" t="s">
        <v>429</v>
      </c>
      <c r="I15" s="30" t="s">
        <v>57</v>
      </c>
      <c r="J15" s="32" t="s">
        <v>430</v>
      </c>
      <c r="K15" s="30" t="s">
        <v>366</v>
      </c>
      <c r="L15" s="30" t="s">
        <v>375</v>
      </c>
      <c r="M15" s="33"/>
    </row>
    <row r="16" spans="1:13" s="16" customFormat="1" ht="24">
      <c r="A16" s="395"/>
      <c r="B16" s="295" t="s">
        <v>431</v>
      </c>
      <c r="C16" s="29" t="s">
        <v>432</v>
      </c>
      <c r="D16" s="241" t="s">
        <v>433</v>
      </c>
      <c r="E16" s="30" t="s">
        <v>434</v>
      </c>
      <c r="F16" s="30" t="s">
        <v>357</v>
      </c>
      <c r="G16" s="396"/>
      <c r="H16" s="29" t="s">
        <v>366</v>
      </c>
      <c r="I16" s="30" t="s">
        <v>57</v>
      </c>
      <c r="J16" s="32" t="s">
        <v>359</v>
      </c>
      <c r="K16" s="30" t="s">
        <v>366</v>
      </c>
      <c r="L16" s="30" t="s">
        <v>375</v>
      </c>
      <c r="M16" s="33"/>
    </row>
    <row r="17" spans="1:13" s="16" customFormat="1" ht="24">
      <c r="A17" s="395"/>
      <c r="B17" s="296" t="s">
        <v>435</v>
      </c>
      <c r="C17" s="241" t="s">
        <v>436</v>
      </c>
      <c r="D17" s="241" t="s">
        <v>437</v>
      </c>
      <c r="E17" s="30" t="s">
        <v>438</v>
      </c>
      <c r="F17" s="30" t="s">
        <v>357</v>
      </c>
      <c r="G17" s="396"/>
      <c r="H17" s="241" t="s">
        <v>439</v>
      </c>
      <c r="I17" s="30" t="s">
        <v>57</v>
      </c>
      <c r="J17" s="32" t="s">
        <v>440</v>
      </c>
      <c r="K17" s="30" t="s">
        <v>366</v>
      </c>
      <c r="L17" s="30" t="s">
        <v>375</v>
      </c>
      <c r="M17" s="33"/>
    </row>
    <row r="18" spans="1:13" s="27" customFormat="1" ht="60">
      <c r="A18" s="395"/>
      <c r="B18" s="369" t="s">
        <v>441</v>
      </c>
      <c r="C18" s="370" t="s">
        <v>442</v>
      </c>
      <c r="D18" s="370" t="s">
        <v>443</v>
      </c>
      <c r="E18" s="371" t="s">
        <v>444</v>
      </c>
      <c r="F18" s="372" t="s">
        <v>357</v>
      </c>
      <c r="G18" s="372" t="s">
        <v>366</v>
      </c>
      <c r="H18" s="372" t="s">
        <v>366</v>
      </c>
      <c r="I18" s="371" t="s">
        <v>57</v>
      </c>
      <c r="J18" s="371" t="s">
        <v>445</v>
      </c>
      <c r="K18" s="371" t="s">
        <v>446</v>
      </c>
      <c r="L18" s="24"/>
      <c r="M18" s="297"/>
    </row>
    <row r="19" spans="1:13" s="27" customFormat="1" ht="13">
      <c r="A19" s="395"/>
      <c r="B19" s="369" t="s">
        <v>447</v>
      </c>
      <c r="C19" s="370" t="s">
        <v>448</v>
      </c>
      <c r="D19" s="370" t="s">
        <v>449</v>
      </c>
      <c r="E19" s="371" t="s">
        <v>450</v>
      </c>
      <c r="F19" s="372" t="s">
        <v>357</v>
      </c>
      <c r="G19" s="372" t="s">
        <v>366</v>
      </c>
      <c r="H19" s="372" t="s">
        <v>366</v>
      </c>
      <c r="I19" s="371" t="s">
        <v>57</v>
      </c>
      <c r="J19" s="371" t="s">
        <v>451</v>
      </c>
      <c r="K19" s="371" t="s">
        <v>452</v>
      </c>
      <c r="L19" s="24"/>
      <c r="M19" s="297"/>
    </row>
    <row r="20" spans="1:13" s="27" customFormat="1" ht="24">
      <c r="A20" s="395"/>
      <c r="B20" s="369" t="s">
        <v>453</v>
      </c>
      <c r="C20" s="370" t="s">
        <v>454</v>
      </c>
      <c r="D20" s="370" t="s">
        <v>455</v>
      </c>
      <c r="E20" s="371" t="s">
        <v>456</v>
      </c>
      <c r="F20" s="372" t="s">
        <v>357</v>
      </c>
      <c r="G20" s="372" t="s">
        <v>366</v>
      </c>
      <c r="H20" s="372" t="s">
        <v>366</v>
      </c>
      <c r="I20" s="371" t="s">
        <v>57</v>
      </c>
      <c r="J20" s="371" t="s">
        <v>457</v>
      </c>
      <c r="K20" s="371" t="s">
        <v>458</v>
      </c>
      <c r="L20" s="24"/>
      <c r="M20" s="297"/>
    </row>
    <row r="21" spans="1:13" s="27" customFormat="1" ht="24">
      <c r="A21" s="395"/>
      <c r="B21" s="25" t="s">
        <v>459</v>
      </c>
      <c r="C21" s="25" t="s">
        <v>460</v>
      </c>
      <c r="D21" s="373" t="s">
        <v>461</v>
      </c>
      <c r="E21" s="372" t="s">
        <v>462</v>
      </c>
      <c r="F21" s="372" t="s">
        <v>357</v>
      </c>
      <c r="G21" s="372" t="s">
        <v>366</v>
      </c>
      <c r="H21" s="372" t="s">
        <v>366</v>
      </c>
      <c r="I21" s="372" t="s">
        <v>57</v>
      </c>
      <c r="J21" s="372" t="s">
        <v>359</v>
      </c>
      <c r="K21" s="372" t="s">
        <v>463</v>
      </c>
      <c r="L21" s="372"/>
      <c r="M21" s="297"/>
    </row>
  </sheetData>
  <mergeCells count="2">
    <mergeCell ref="A2:A21"/>
    <mergeCell ref="G4:G17"/>
  </mergeCells>
  <phoneticPr fontId="21" type="noConversion"/>
  <pageMargins left="0.69930555555555596" right="0.69930555555555596"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dimension ref="A1:N7"/>
  <sheetViews>
    <sheetView workbookViewId="0">
      <pane xSplit="2" ySplit="1" topLeftCell="C2" activePane="bottomRight" state="frozen"/>
      <selection pane="topRight"/>
      <selection pane="bottomLeft"/>
      <selection pane="bottomRight" activeCell="H22" sqref="H22"/>
    </sheetView>
  </sheetViews>
  <sheetFormatPr defaultColWidth="9" defaultRowHeight="14"/>
  <cols>
    <col min="1" max="1" width="11.36328125" customWidth="1"/>
    <col min="2" max="2" width="46.36328125" customWidth="1"/>
    <col min="3" max="3" width="33.90625" customWidth="1"/>
    <col min="4" max="4" width="17.1796875" customWidth="1"/>
    <col min="5" max="5" width="15.453125" customWidth="1"/>
    <col min="6" max="6" width="6.36328125" customWidth="1"/>
    <col min="7" max="7" width="9.08984375" customWidth="1"/>
    <col min="8" max="8" width="14.1796875" style="28" customWidth="1"/>
    <col min="9" max="9" width="11.36328125" customWidth="1"/>
    <col min="10" max="10" width="9" customWidth="1"/>
    <col min="11" max="11" width="44.6328125" customWidth="1"/>
    <col min="12" max="12" width="6" customWidth="1"/>
    <col min="13" max="13" width="28.36328125" customWidth="1"/>
  </cols>
  <sheetData>
    <row r="1" spans="1:14" s="283" customFormat="1" ht="13">
      <c r="A1" s="21" t="s">
        <v>343</v>
      </c>
      <c r="B1" s="21" t="s">
        <v>344</v>
      </c>
      <c r="C1" s="21" t="s">
        <v>345</v>
      </c>
      <c r="D1" s="21" t="s">
        <v>346</v>
      </c>
      <c r="E1" s="21" t="s">
        <v>347</v>
      </c>
      <c r="F1" s="21" t="s">
        <v>348</v>
      </c>
      <c r="G1" s="21" t="s">
        <v>349</v>
      </c>
      <c r="H1" s="21" t="s">
        <v>350</v>
      </c>
      <c r="I1" s="51" t="s">
        <v>8</v>
      </c>
      <c r="J1" s="51" t="s">
        <v>6</v>
      </c>
      <c r="K1" s="21" t="s">
        <v>351</v>
      </c>
      <c r="L1" s="21" t="s">
        <v>273</v>
      </c>
      <c r="M1" s="21" t="s">
        <v>352</v>
      </c>
    </row>
    <row r="2" spans="1:14" s="55" customFormat="1" ht="36">
      <c r="A2" s="397" t="s">
        <v>464</v>
      </c>
      <c r="B2" s="284" t="s">
        <v>465</v>
      </c>
      <c r="C2" s="284" t="s">
        <v>466</v>
      </c>
      <c r="D2" s="284" t="s">
        <v>467</v>
      </c>
      <c r="E2" s="285" t="s">
        <v>468</v>
      </c>
      <c r="F2" s="285" t="s">
        <v>357</v>
      </c>
      <c r="G2" s="400" t="s">
        <v>366</v>
      </c>
      <c r="H2" s="400" t="s">
        <v>366</v>
      </c>
      <c r="I2" s="285" t="s">
        <v>24</v>
      </c>
      <c r="J2" s="286" t="s">
        <v>71</v>
      </c>
      <c r="K2" s="284" t="s">
        <v>469</v>
      </c>
      <c r="L2" s="400" t="s">
        <v>470</v>
      </c>
      <c r="M2" s="53"/>
    </row>
    <row r="3" spans="1:14" s="55" customFormat="1" ht="24">
      <c r="A3" s="398"/>
      <c r="B3" s="284" t="s">
        <v>471</v>
      </c>
      <c r="C3" s="284" t="s">
        <v>472</v>
      </c>
      <c r="D3" s="284" t="s">
        <v>473</v>
      </c>
      <c r="E3" s="285" t="s">
        <v>474</v>
      </c>
      <c r="F3" s="285" t="s">
        <v>357</v>
      </c>
      <c r="G3" s="401"/>
      <c r="H3" s="401"/>
      <c r="I3" s="285" t="s">
        <v>24</v>
      </c>
      <c r="J3" s="286" t="s">
        <v>440</v>
      </c>
      <c r="K3" s="284" t="s">
        <v>475</v>
      </c>
      <c r="L3" s="403"/>
      <c r="M3" s="53"/>
    </row>
    <row r="4" spans="1:14" s="55" customFormat="1" ht="24">
      <c r="A4" s="398"/>
      <c r="B4" s="284" t="s">
        <v>476</v>
      </c>
      <c r="C4" s="284" t="s">
        <v>477</v>
      </c>
      <c r="D4" s="284" t="s">
        <v>478</v>
      </c>
      <c r="E4" s="285" t="s">
        <v>479</v>
      </c>
      <c r="F4" s="285" t="s">
        <v>357</v>
      </c>
      <c r="G4" s="401"/>
      <c r="H4" s="401"/>
      <c r="I4" s="285" t="s">
        <v>24</v>
      </c>
      <c r="J4" s="286" t="s">
        <v>71</v>
      </c>
      <c r="K4" s="284" t="s">
        <v>480</v>
      </c>
      <c r="L4" s="403"/>
      <c r="M4" s="53"/>
    </row>
    <row r="5" spans="1:14" s="55" customFormat="1">
      <c r="A5" s="398"/>
      <c r="B5" s="284" t="s">
        <v>481</v>
      </c>
      <c r="C5" s="284" t="s">
        <v>482</v>
      </c>
      <c r="D5" s="284" t="s">
        <v>483</v>
      </c>
      <c r="E5" s="285" t="s">
        <v>484</v>
      </c>
      <c r="F5" s="285" t="s">
        <v>357</v>
      </c>
      <c r="G5" s="401"/>
      <c r="H5" s="401"/>
      <c r="I5" s="285" t="s">
        <v>57</v>
      </c>
      <c r="J5" s="286" t="s">
        <v>387</v>
      </c>
      <c r="K5" s="284" t="s">
        <v>485</v>
      </c>
      <c r="L5" s="403"/>
      <c r="M5" s="53"/>
    </row>
    <row r="6" spans="1:14" s="55" customFormat="1">
      <c r="A6" s="399"/>
      <c r="B6" s="284" t="s">
        <v>486</v>
      </c>
      <c r="C6" s="284" t="s">
        <v>487</v>
      </c>
      <c r="D6" s="284" t="s">
        <v>488</v>
      </c>
      <c r="E6" s="285" t="s">
        <v>489</v>
      </c>
      <c r="F6" s="285" t="s">
        <v>357</v>
      </c>
      <c r="G6" s="402"/>
      <c r="H6" s="402"/>
      <c r="I6" s="285" t="s">
        <v>57</v>
      </c>
      <c r="J6" s="286" t="s">
        <v>387</v>
      </c>
      <c r="K6" s="284" t="s">
        <v>490</v>
      </c>
      <c r="L6" s="404"/>
      <c r="M6" s="53"/>
    </row>
    <row r="7" spans="1:14" s="37" customFormat="1">
      <c r="H7" s="282"/>
      <c r="K7"/>
      <c r="L7"/>
      <c r="M7"/>
      <c r="N7"/>
    </row>
  </sheetData>
  <mergeCells count="4">
    <mergeCell ref="A2:A6"/>
    <mergeCell ref="G2:G6"/>
    <mergeCell ref="H2:H6"/>
    <mergeCell ref="L2:L6"/>
  </mergeCells>
  <phoneticPr fontId="2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20"/>
  <sheetViews>
    <sheetView workbookViewId="0">
      <pane xSplit="2" ySplit="1" topLeftCell="E2" activePane="bottomRight" state="frozen"/>
      <selection pane="topRight"/>
      <selection pane="bottomLeft"/>
      <selection pane="bottomRight" activeCell="B20" sqref="B2:B20"/>
    </sheetView>
  </sheetViews>
  <sheetFormatPr defaultColWidth="9" defaultRowHeight="14"/>
  <cols>
    <col min="1" max="1" width="6.08984375" customWidth="1"/>
    <col min="2" max="2" width="63.81640625" customWidth="1"/>
    <col min="3" max="3" width="52.08984375" customWidth="1"/>
    <col min="4" max="4" width="34.6328125" customWidth="1"/>
    <col min="5" max="5" width="13.90625" customWidth="1"/>
    <col min="6" max="6" width="6.36328125" customWidth="1"/>
    <col min="7" max="7" width="9.08984375" customWidth="1"/>
    <col min="8" max="8" width="16.36328125" style="282" customWidth="1"/>
    <col min="9" max="9" width="10.453125" customWidth="1"/>
    <col min="10" max="10" width="17.1796875" customWidth="1"/>
    <col min="11" max="11" width="90.36328125" style="28" customWidth="1"/>
    <col min="12" max="12" width="19.81640625" customWidth="1"/>
    <col min="13" max="13" width="40.453125" customWidth="1"/>
  </cols>
  <sheetData>
    <row r="1" spans="1:13" s="48" customFormat="1" ht="24">
      <c r="A1" s="21" t="s">
        <v>343</v>
      </c>
      <c r="B1" s="21" t="s">
        <v>344</v>
      </c>
      <c r="C1" s="21" t="s">
        <v>345</v>
      </c>
      <c r="D1" s="21" t="s">
        <v>346</v>
      </c>
      <c r="E1" s="21" t="s">
        <v>347</v>
      </c>
      <c r="F1" s="21" t="s">
        <v>348</v>
      </c>
      <c r="G1" s="21" t="s">
        <v>349</v>
      </c>
      <c r="H1" s="21" t="s">
        <v>350</v>
      </c>
      <c r="I1" s="21" t="s">
        <v>8</v>
      </c>
      <c r="J1" s="51" t="s">
        <v>6</v>
      </c>
      <c r="K1" s="21" t="s">
        <v>351</v>
      </c>
      <c r="L1" s="21" t="s">
        <v>273</v>
      </c>
      <c r="M1" s="21" t="s">
        <v>352</v>
      </c>
    </row>
    <row r="2" spans="1:13" s="16" customFormat="1" ht="13">
      <c r="A2" s="405" t="s">
        <v>491</v>
      </c>
      <c r="B2" s="29" t="s">
        <v>492</v>
      </c>
      <c r="C2" s="29" t="s">
        <v>493</v>
      </c>
      <c r="D2" s="29" t="s">
        <v>494</v>
      </c>
      <c r="E2" s="30" t="s">
        <v>495</v>
      </c>
      <c r="F2" s="30" t="s">
        <v>357</v>
      </c>
      <c r="G2" s="29"/>
      <c r="H2" s="39" t="s">
        <v>366</v>
      </c>
      <c r="I2" s="30" t="s">
        <v>24</v>
      </c>
      <c r="J2" s="32" t="s">
        <v>496</v>
      </c>
      <c r="K2" s="30" t="s">
        <v>497</v>
      </c>
      <c r="L2" s="30" t="s">
        <v>498</v>
      </c>
      <c r="M2" s="33"/>
    </row>
    <row r="3" spans="1:13" s="16" customFormat="1" ht="13">
      <c r="A3" s="405"/>
      <c r="B3" s="29" t="s">
        <v>499</v>
      </c>
      <c r="C3" s="29" t="s">
        <v>500</v>
      </c>
      <c r="D3" s="29" t="s">
        <v>501</v>
      </c>
      <c r="E3" s="30" t="s">
        <v>502</v>
      </c>
      <c r="F3" s="30" t="s">
        <v>357</v>
      </c>
      <c r="G3" s="29"/>
      <c r="H3" s="39" t="s">
        <v>366</v>
      </c>
      <c r="I3" s="30" t="s">
        <v>24</v>
      </c>
      <c r="J3" s="32" t="s">
        <v>496</v>
      </c>
      <c r="K3" s="30" t="s">
        <v>503</v>
      </c>
      <c r="L3" s="30" t="s">
        <v>498</v>
      </c>
      <c r="M3" s="33"/>
    </row>
    <row r="4" spans="1:13" s="16" customFormat="1" ht="13">
      <c r="A4" s="405"/>
      <c r="B4" s="29" t="s">
        <v>504</v>
      </c>
      <c r="C4" s="29" t="s">
        <v>505</v>
      </c>
      <c r="D4" s="29" t="s">
        <v>506</v>
      </c>
      <c r="E4" s="30" t="s">
        <v>507</v>
      </c>
      <c r="F4" s="30" t="s">
        <v>357</v>
      </c>
      <c r="G4" s="29"/>
      <c r="H4" s="39" t="s">
        <v>366</v>
      </c>
      <c r="I4" s="30" t="s">
        <v>24</v>
      </c>
      <c r="J4" s="32" t="s">
        <v>496</v>
      </c>
      <c r="K4" s="30" t="s">
        <v>508</v>
      </c>
      <c r="L4" s="30" t="s">
        <v>498</v>
      </c>
      <c r="M4" s="33"/>
    </row>
    <row r="5" spans="1:13" s="16" customFormat="1" ht="24">
      <c r="A5" s="405"/>
      <c r="B5" s="29" t="s">
        <v>509</v>
      </c>
      <c r="C5" s="29" t="s">
        <v>510</v>
      </c>
      <c r="D5" s="29" t="s">
        <v>511</v>
      </c>
      <c r="E5" s="30" t="s">
        <v>512</v>
      </c>
      <c r="F5" s="30" t="s">
        <v>357</v>
      </c>
      <c r="G5" s="29"/>
      <c r="H5" s="39" t="s">
        <v>366</v>
      </c>
      <c r="I5" s="30" t="s">
        <v>24</v>
      </c>
      <c r="J5" s="32" t="s">
        <v>71</v>
      </c>
      <c r="K5" s="30" t="s">
        <v>513</v>
      </c>
      <c r="L5" s="30" t="s">
        <v>498</v>
      </c>
      <c r="M5" s="33"/>
    </row>
    <row r="6" spans="1:13" s="16" customFormat="1" ht="13">
      <c r="A6" s="405"/>
      <c r="B6" s="29" t="s">
        <v>514</v>
      </c>
      <c r="C6" s="29" t="s">
        <v>515</v>
      </c>
      <c r="D6" s="29" t="s">
        <v>516</v>
      </c>
      <c r="E6" s="30" t="s">
        <v>517</v>
      </c>
      <c r="F6" s="30" t="s">
        <v>357</v>
      </c>
      <c r="G6" s="29"/>
      <c r="H6" s="39" t="s">
        <v>366</v>
      </c>
      <c r="I6" s="30" t="s">
        <v>24</v>
      </c>
      <c r="J6" s="32" t="s">
        <v>518</v>
      </c>
      <c r="K6" s="30" t="s">
        <v>519</v>
      </c>
      <c r="L6" s="30" t="s">
        <v>498</v>
      </c>
      <c r="M6" s="33"/>
    </row>
    <row r="7" spans="1:13" s="16" customFormat="1" ht="24">
      <c r="A7" s="405"/>
      <c r="B7" s="29" t="s">
        <v>520</v>
      </c>
      <c r="C7" s="29" t="s">
        <v>521</v>
      </c>
      <c r="D7" s="29" t="s">
        <v>522</v>
      </c>
      <c r="E7" s="30" t="s">
        <v>523</v>
      </c>
      <c r="F7" s="30" t="s">
        <v>357</v>
      </c>
      <c r="G7" s="29"/>
      <c r="H7" s="39" t="s">
        <v>366</v>
      </c>
      <c r="I7" s="30" t="s">
        <v>24</v>
      </c>
      <c r="J7" s="32" t="s">
        <v>524</v>
      </c>
      <c r="K7" s="30" t="s">
        <v>525</v>
      </c>
      <c r="L7" s="30" t="s">
        <v>498</v>
      </c>
      <c r="M7" s="33"/>
    </row>
    <row r="8" spans="1:13" s="16" customFormat="1" ht="24">
      <c r="A8" s="405"/>
      <c r="B8" s="29" t="s">
        <v>526</v>
      </c>
      <c r="C8" s="29" t="s">
        <v>527</v>
      </c>
      <c r="D8" s="29" t="s">
        <v>528</v>
      </c>
      <c r="E8" s="30" t="s">
        <v>529</v>
      </c>
      <c r="F8" s="30" t="s">
        <v>357</v>
      </c>
      <c r="G8" s="29"/>
      <c r="H8" s="39" t="s">
        <v>366</v>
      </c>
      <c r="I8" s="30" t="s">
        <v>57</v>
      </c>
      <c r="J8" s="32" t="s">
        <v>530</v>
      </c>
      <c r="K8" s="30" t="s">
        <v>531</v>
      </c>
      <c r="L8" s="30" t="s">
        <v>498</v>
      </c>
      <c r="M8" s="33"/>
    </row>
    <row r="9" spans="1:13" s="16" customFormat="1" ht="24">
      <c r="A9" s="405"/>
      <c r="B9" s="29" t="s">
        <v>532</v>
      </c>
      <c r="C9" s="29" t="s">
        <v>533</v>
      </c>
      <c r="D9" s="29" t="s">
        <v>534</v>
      </c>
      <c r="E9" s="30" t="s">
        <v>535</v>
      </c>
      <c r="F9" s="30" t="s">
        <v>357</v>
      </c>
      <c r="G9" s="30" t="s">
        <v>536</v>
      </c>
      <c r="H9" s="39" t="s">
        <v>537</v>
      </c>
      <c r="I9" s="30" t="s">
        <v>57</v>
      </c>
      <c r="J9" s="32" t="s">
        <v>496</v>
      </c>
      <c r="K9" s="30" t="s">
        <v>538</v>
      </c>
      <c r="L9" s="30" t="s">
        <v>498</v>
      </c>
      <c r="M9" s="33"/>
    </row>
    <row r="10" spans="1:13" s="16" customFormat="1" ht="13">
      <c r="A10" s="405"/>
      <c r="B10" s="29" t="s">
        <v>539</v>
      </c>
      <c r="C10" s="29" t="s">
        <v>540</v>
      </c>
      <c r="D10" s="29" t="s">
        <v>541</v>
      </c>
      <c r="E10" s="30" t="s">
        <v>542</v>
      </c>
      <c r="F10" s="30" t="s">
        <v>357</v>
      </c>
      <c r="G10" s="29"/>
      <c r="H10" s="39" t="s">
        <v>366</v>
      </c>
      <c r="I10" s="30" t="s">
        <v>24</v>
      </c>
      <c r="J10" s="32" t="s">
        <v>496</v>
      </c>
      <c r="K10" s="30" t="s">
        <v>543</v>
      </c>
      <c r="L10" s="30" t="s">
        <v>498</v>
      </c>
      <c r="M10" s="33"/>
    </row>
    <row r="11" spans="1:13" s="16" customFormat="1" ht="13">
      <c r="A11" s="405"/>
      <c r="B11" s="29" t="s">
        <v>544</v>
      </c>
      <c r="C11" s="29" t="s">
        <v>545</v>
      </c>
      <c r="D11" s="29" t="s">
        <v>546</v>
      </c>
      <c r="E11" s="30" t="s">
        <v>547</v>
      </c>
      <c r="F11" s="30" t="s">
        <v>357</v>
      </c>
      <c r="G11" s="29"/>
      <c r="H11" s="39" t="s">
        <v>366</v>
      </c>
      <c r="I11" s="30" t="s">
        <v>24</v>
      </c>
      <c r="J11" s="32" t="s">
        <v>496</v>
      </c>
      <c r="K11" s="30" t="s">
        <v>548</v>
      </c>
      <c r="L11" s="30" t="s">
        <v>498</v>
      </c>
      <c r="M11" s="33"/>
    </row>
    <row r="12" spans="1:13" s="16" customFormat="1" ht="13">
      <c r="A12" s="405"/>
      <c r="B12" s="29" t="s">
        <v>549</v>
      </c>
      <c r="C12" s="29" t="s">
        <v>550</v>
      </c>
      <c r="D12" s="29" t="s">
        <v>551</v>
      </c>
      <c r="E12" s="30" t="s">
        <v>552</v>
      </c>
      <c r="F12" s="30" t="s">
        <v>357</v>
      </c>
      <c r="G12" s="29"/>
      <c r="H12" s="39" t="s">
        <v>366</v>
      </c>
      <c r="I12" s="30" t="s">
        <v>57</v>
      </c>
      <c r="J12" s="32" t="s">
        <v>496</v>
      </c>
      <c r="K12" s="30" t="s">
        <v>366</v>
      </c>
      <c r="L12" s="30" t="s">
        <v>498</v>
      </c>
      <c r="M12" s="33"/>
    </row>
    <row r="13" spans="1:13" s="16" customFormat="1" ht="13">
      <c r="A13" s="405"/>
      <c r="B13" s="29" t="s">
        <v>553</v>
      </c>
      <c r="C13" s="29" t="s">
        <v>554</v>
      </c>
      <c r="D13" s="29" t="s">
        <v>555</v>
      </c>
      <c r="E13" s="30" t="s">
        <v>556</v>
      </c>
      <c r="F13" s="30" t="s">
        <v>357</v>
      </c>
      <c r="G13" s="29"/>
      <c r="H13" s="39" t="s">
        <v>366</v>
      </c>
      <c r="I13" s="30" t="s">
        <v>24</v>
      </c>
      <c r="J13" s="32" t="s">
        <v>71</v>
      </c>
      <c r="K13" s="30" t="s">
        <v>557</v>
      </c>
      <c r="L13" s="30" t="s">
        <v>498</v>
      </c>
      <c r="M13" s="33"/>
    </row>
    <row r="14" spans="1:13" s="16" customFormat="1" ht="13">
      <c r="A14" s="405"/>
      <c r="B14" s="29" t="s">
        <v>558</v>
      </c>
      <c r="C14" s="29" t="s">
        <v>559</v>
      </c>
      <c r="D14" s="29" t="s">
        <v>560</v>
      </c>
      <c r="E14" s="30" t="s">
        <v>561</v>
      </c>
      <c r="F14" s="30" t="s">
        <v>357</v>
      </c>
      <c r="G14" s="29"/>
      <c r="H14" s="39" t="s">
        <v>366</v>
      </c>
      <c r="I14" s="30" t="s">
        <v>24</v>
      </c>
      <c r="J14" s="32" t="s">
        <v>496</v>
      </c>
      <c r="K14" s="30" t="s">
        <v>366</v>
      </c>
      <c r="L14" s="30" t="s">
        <v>498</v>
      </c>
      <c r="M14" s="33"/>
    </row>
    <row r="15" spans="1:13" s="16" customFormat="1" ht="24">
      <c r="A15" s="405"/>
      <c r="B15" s="29" t="s">
        <v>562</v>
      </c>
      <c r="C15" s="29" t="s">
        <v>563</v>
      </c>
      <c r="D15" s="29" t="s">
        <v>564</v>
      </c>
      <c r="E15" s="30" t="s">
        <v>565</v>
      </c>
      <c r="F15" s="30" t="s">
        <v>357</v>
      </c>
      <c r="G15" s="29"/>
      <c r="H15" s="39" t="s">
        <v>366</v>
      </c>
      <c r="I15" s="30" t="s">
        <v>24</v>
      </c>
      <c r="J15" s="30" t="s">
        <v>566</v>
      </c>
      <c r="K15" s="30" t="s">
        <v>366</v>
      </c>
      <c r="L15" s="30" t="s">
        <v>498</v>
      </c>
      <c r="M15" s="33"/>
    </row>
    <row r="16" spans="1:13" s="16" customFormat="1" ht="13">
      <c r="A16" s="405"/>
      <c r="B16" s="29" t="s">
        <v>567</v>
      </c>
      <c r="C16" s="29" t="s">
        <v>568</v>
      </c>
      <c r="D16" s="29" t="s">
        <v>569</v>
      </c>
      <c r="E16" s="30" t="s">
        <v>570</v>
      </c>
      <c r="F16" s="30" t="s">
        <v>357</v>
      </c>
      <c r="G16" s="29"/>
      <c r="H16" s="39" t="s">
        <v>366</v>
      </c>
      <c r="I16" s="30" t="s">
        <v>24</v>
      </c>
      <c r="J16" s="32" t="s">
        <v>496</v>
      </c>
      <c r="K16" s="30" t="s">
        <v>366</v>
      </c>
      <c r="L16" s="30" t="s">
        <v>498</v>
      </c>
      <c r="M16" s="33"/>
    </row>
    <row r="17" spans="1:13" s="16" customFormat="1" ht="13">
      <c r="A17" s="405"/>
      <c r="B17" s="29" t="s">
        <v>571</v>
      </c>
      <c r="C17" s="29" t="s">
        <v>572</v>
      </c>
      <c r="D17" s="29" t="s">
        <v>573</v>
      </c>
      <c r="E17" s="30" t="s">
        <v>574</v>
      </c>
      <c r="F17" s="30" t="s">
        <v>357</v>
      </c>
      <c r="G17" s="29"/>
      <c r="H17" s="39" t="s">
        <v>366</v>
      </c>
      <c r="I17" s="30" t="s">
        <v>24</v>
      </c>
      <c r="J17" s="32" t="s">
        <v>496</v>
      </c>
      <c r="K17" s="30" t="s">
        <v>366</v>
      </c>
      <c r="L17" s="30" t="s">
        <v>498</v>
      </c>
      <c r="M17" s="33"/>
    </row>
    <row r="18" spans="1:13" s="16" customFormat="1" ht="13">
      <c r="A18" s="405"/>
      <c r="B18" s="29" t="s">
        <v>575</v>
      </c>
      <c r="C18" s="29" t="s">
        <v>576</v>
      </c>
      <c r="D18" s="29" t="s">
        <v>577</v>
      </c>
      <c r="E18" s="30" t="s">
        <v>578</v>
      </c>
      <c r="F18" s="30" t="s">
        <v>357</v>
      </c>
      <c r="G18" s="29"/>
      <c r="H18" s="39" t="s">
        <v>366</v>
      </c>
      <c r="I18" s="30" t="s">
        <v>24</v>
      </c>
      <c r="J18" s="32" t="s">
        <v>579</v>
      </c>
      <c r="K18" s="30" t="s">
        <v>366</v>
      </c>
      <c r="L18" s="30" t="s">
        <v>498</v>
      </c>
      <c r="M18" s="33"/>
    </row>
    <row r="19" spans="1:13" s="16" customFormat="1" ht="13">
      <c r="A19" s="405"/>
      <c r="B19" s="29" t="s">
        <v>580</v>
      </c>
      <c r="C19" s="29" t="s">
        <v>581</v>
      </c>
      <c r="D19" s="29" t="s">
        <v>582</v>
      </c>
      <c r="E19" s="30" t="s">
        <v>583</v>
      </c>
      <c r="F19" s="30" t="s">
        <v>357</v>
      </c>
      <c r="G19" s="29"/>
      <c r="H19" s="39" t="s">
        <v>366</v>
      </c>
      <c r="I19" s="30" t="s">
        <v>24</v>
      </c>
      <c r="J19" s="32" t="s">
        <v>584</v>
      </c>
      <c r="K19" s="30" t="s">
        <v>366</v>
      </c>
      <c r="L19" s="30" t="s">
        <v>498</v>
      </c>
      <c r="M19" s="33"/>
    </row>
    <row r="20" spans="1:13" s="16" customFormat="1" ht="13">
      <c r="A20" s="405"/>
      <c r="B20" s="29" t="s">
        <v>585</v>
      </c>
      <c r="C20" s="29" t="s">
        <v>586</v>
      </c>
      <c r="D20" s="29" t="s">
        <v>587</v>
      </c>
      <c r="E20" s="30" t="s">
        <v>588</v>
      </c>
      <c r="F20" s="30" t="s">
        <v>357</v>
      </c>
      <c r="G20" s="29"/>
      <c r="H20" s="39" t="s">
        <v>366</v>
      </c>
      <c r="I20" s="30" t="s">
        <v>57</v>
      </c>
      <c r="J20" s="32" t="s">
        <v>71</v>
      </c>
      <c r="K20" s="30" t="s">
        <v>557</v>
      </c>
      <c r="L20" s="30" t="s">
        <v>498</v>
      </c>
      <c r="M20" s="33"/>
    </row>
  </sheetData>
  <mergeCells count="1">
    <mergeCell ref="A2:A20"/>
  </mergeCells>
  <phoneticPr fontId="21" type="noConversion"/>
  <pageMargins left="0.69930555555555596" right="0.69930555555555596"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dimension ref="A1:KU56"/>
  <sheetViews>
    <sheetView zoomScale="70" zoomScaleNormal="70" workbookViewId="0">
      <pane xSplit="2" ySplit="1" topLeftCell="C23" activePane="bottomRight" state="frozen"/>
      <selection pane="topRight"/>
      <selection pane="bottomLeft"/>
      <selection pane="bottomRight" activeCell="B27" sqref="B27"/>
    </sheetView>
  </sheetViews>
  <sheetFormatPr defaultColWidth="9" defaultRowHeight="12"/>
  <cols>
    <col min="1" max="1" width="8" style="272" customWidth="1"/>
    <col min="2" max="2" width="60.453125" style="273" customWidth="1"/>
    <col min="3" max="3" width="28.453125" style="273" customWidth="1"/>
    <col min="4" max="4" width="21.6328125" style="273" customWidth="1"/>
    <col min="5" max="5" width="20.453125" style="274" customWidth="1"/>
    <col min="6" max="6" width="6.36328125" style="274" customWidth="1"/>
    <col min="7" max="7" width="10" style="274" hidden="1" customWidth="1"/>
    <col min="8" max="8" width="14.1796875" style="274" hidden="1" customWidth="1"/>
    <col min="9" max="9" width="11.36328125" style="275" customWidth="1"/>
    <col min="10" max="10" width="9.81640625" style="273" customWidth="1"/>
    <col min="11" max="11" width="26.81640625" style="272" customWidth="1"/>
    <col min="12" max="12" width="20.90625" style="272" customWidth="1"/>
    <col min="13" max="13" width="25.1796875" style="272" customWidth="1"/>
    <col min="14" max="16384" width="9" style="272"/>
  </cols>
  <sheetData>
    <row r="1" spans="1:307" s="83" customFormat="1" ht="13">
      <c r="A1" s="7" t="s">
        <v>6</v>
      </c>
      <c r="B1" s="276" t="s">
        <v>344</v>
      </c>
      <c r="C1" s="276" t="s">
        <v>345</v>
      </c>
      <c r="D1" s="276" t="s">
        <v>346</v>
      </c>
      <c r="E1" s="8" t="s">
        <v>347</v>
      </c>
      <c r="F1" s="8" t="s">
        <v>348</v>
      </c>
      <c r="G1" s="277" t="s">
        <v>349</v>
      </c>
      <c r="H1" s="8" t="s">
        <v>350</v>
      </c>
      <c r="I1" s="276" t="s">
        <v>8</v>
      </c>
      <c r="J1" s="276" t="s">
        <v>6</v>
      </c>
      <c r="K1" s="9" t="s">
        <v>351</v>
      </c>
      <c r="L1" s="8" t="s">
        <v>273</v>
      </c>
      <c r="M1" s="21" t="s">
        <v>352</v>
      </c>
    </row>
    <row r="2" spans="1:307" s="270" customFormat="1" ht="24">
      <c r="A2" s="406" t="s">
        <v>589</v>
      </c>
      <c r="B2" s="40" t="s">
        <v>590</v>
      </c>
      <c r="C2" s="40" t="s">
        <v>591</v>
      </c>
      <c r="D2" s="40" t="s">
        <v>592</v>
      </c>
      <c r="E2" s="76" t="s">
        <v>593</v>
      </c>
      <c r="F2" s="76" t="s">
        <v>357</v>
      </c>
      <c r="G2" s="76" t="s">
        <v>366</v>
      </c>
      <c r="H2" s="76" t="s">
        <v>366</v>
      </c>
      <c r="I2" s="76" t="s">
        <v>57</v>
      </c>
      <c r="J2" s="40" t="s">
        <v>28</v>
      </c>
      <c r="K2" s="40" t="s">
        <v>366</v>
      </c>
      <c r="L2" s="407" t="s">
        <v>594</v>
      </c>
      <c r="M2" s="33"/>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1"/>
      <c r="CC2" s="101"/>
      <c r="CD2" s="101"/>
      <c r="CE2" s="101"/>
      <c r="CF2" s="101"/>
      <c r="CG2" s="101"/>
      <c r="CH2" s="101"/>
      <c r="CI2" s="101"/>
      <c r="CJ2" s="101"/>
      <c r="CK2" s="101"/>
      <c r="CL2" s="101"/>
      <c r="CM2" s="101"/>
      <c r="CN2" s="101"/>
      <c r="CO2" s="101"/>
      <c r="CP2" s="101"/>
      <c r="CQ2" s="101"/>
      <c r="CR2" s="101"/>
      <c r="CS2" s="101"/>
      <c r="CT2" s="101"/>
      <c r="CU2" s="101"/>
      <c r="CV2" s="101"/>
      <c r="CW2" s="101"/>
      <c r="CX2" s="101"/>
      <c r="CY2" s="101"/>
      <c r="CZ2" s="101"/>
      <c r="DA2" s="101"/>
      <c r="DB2" s="101"/>
      <c r="DC2" s="101"/>
      <c r="DD2" s="101"/>
      <c r="DE2" s="101"/>
      <c r="DF2" s="101"/>
      <c r="DG2" s="101"/>
      <c r="DH2" s="101"/>
      <c r="DI2" s="101"/>
      <c r="DJ2" s="101"/>
      <c r="DK2" s="101"/>
      <c r="DL2" s="101"/>
      <c r="DM2" s="101"/>
      <c r="DN2" s="101"/>
      <c r="DO2" s="101"/>
      <c r="DP2" s="101"/>
      <c r="DQ2" s="101"/>
      <c r="DR2" s="101"/>
      <c r="DS2" s="101"/>
      <c r="DT2" s="101"/>
      <c r="DU2" s="101"/>
      <c r="DV2" s="101"/>
      <c r="DW2" s="101"/>
      <c r="DX2" s="101"/>
      <c r="DY2" s="101"/>
      <c r="DZ2" s="101"/>
      <c r="EA2" s="101"/>
      <c r="EB2" s="101"/>
      <c r="EC2" s="101"/>
      <c r="ED2" s="101"/>
      <c r="EE2" s="101"/>
      <c r="EF2" s="101"/>
      <c r="EG2" s="101"/>
      <c r="EH2" s="101"/>
      <c r="EI2" s="101"/>
      <c r="EJ2" s="101"/>
      <c r="EK2" s="101"/>
      <c r="EL2" s="101"/>
      <c r="EM2" s="101"/>
      <c r="EN2" s="101"/>
      <c r="EO2" s="101"/>
      <c r="EP2" s="101"/>
      <c r="EQ2" s="101"/>
      <c r="ER2" s="101"/>
      <c r="ES2" s="101"/>
      <c r="ET2" s="101"/>
      <c r="EU2" s="101"/>
      <c r="EV2" s="101"/>
      <c r="EW2" s="101"/>
      <c r="EX2" s="101"/>
      <c r="EY2" s="101"/>
      <c r="EZ2" s="101"/>
      <c r="FA2" s="101"/>
      <c r="FB2" s="101"/>
      <c r="FC2" s="101"/>
      <c r="FD2" s="101"/>
      <c r="FE2" s="101"/>
      <c r="FF2" s="101"/>
      <c r="FG2" s="101"/>
      <c r="FH2" s="101"/>
      <c r="FI2" s="101"/>
      <c r="FJ2" s="101"/>
      <c r="FK2" s="101"/>
      <c r="FL2" s="101"/>
      <c r="FM2" s="101"/>
      <c r="FN2" s="101"/>
      <c r="FO2" s="101"/>
      <c r="FP2" s="101"/>
      <c r="FQ2" s="101"/>
      <c r="FR2" s="101"/>
      <c r="FS2" s="101"/>
      <c r="FT2" s="101"/>
      <c r="FU2" s="101"/>
      <c r="FV2" s="101"/>
      <c r="FW2" s="101"/>
      <c r="FX2" s="101"/>
      <c r="FY2" s="101"/>
      <c r="FZ2" s="101"/>
      <c r="GA2" s="101"/>
      <c r="GB2" s="101"/>
      <c r="GC2" s="101"/>
      <c r="GD2" s="101"/>
      <c r="GE2" s="101"/>
      <c r="GF2" s="101"/>
      <c r="GG2" s="101"/>
      <c r="GH2" s="101"/>
      <c r="GI2" s="101"/>
      <c r="GJ2" s="101"/>
      <c r="GK2" s="101"/>
      <c r="GL2" s="101"/>
      <c r="GM2" s="101"/>
      <c r="GN2" s="101"/>
      <c r="GO2" s="101"/>
      <c r="GP2" s="101"/>
      <c r="GQ2" s="101"/>
      <c r="GR2" s="101"/>
      <c r="GS2" s="101"/>
      <c r="GT2" s="101"/>
      <c r="GU2" s="101"/>
      <c r="GV2" s="101"/>
      <c r="GW2" s="101"/>
      <c r="GX2" s="101"/>
      <c r="GY2" s="101"/>
      <c r="GZ2" s="101"/>
      <c r="HA2" s="101"/>
      <c r="HB2" s="101"/>
      <c r="HC2" s="101"/>
      <c r="HD2" s="101"/>
      <c r="HE2" s="101"/>
      <c r="HF2" s="101"/>
      <c r="HG2" s="101"/>
      <c r="HH2" s="101"/>
      <c r="HI2" s="101"/>
      <c r="HJ2" s="101"/>
      <c r="HK2" s="101"/>
      <c r="HL2" s="101"/>
      <c r="HM2" s="101"/>
      <c r="HN2" s="101"/>
      <c r="HO2" s="101"/>
      <c r="HP2" s="101"/>
      <c r="HQ2" s="101"/>
      <c r="HR2" s="101"/>
      <c r="HS2" s="101"/>
      <c r="HT2" s="101"/>
      <c r="HU2" s="101"/>
      <c r="HV2" s="101"/>
      <c r="HW2" s="101"/>
      <c r="HX2" s="101"/>
      <c r="HY2" s="101"/>
      <c r="HZ2" s="101"/>
      <c r="IA2" s="101"/>
      <c r="IB2" s="101"/>
      <c r="IC2" s="101"/>
      <c r="ID2" s="101"/>
      <c r="IE2" s="101"/>
      <c r="IF2" s="101"/>
      <c r="IG2" s="101"/>
      <c r="IH2" s="101"/>
      <c r="II2" s="101"/>
      <c r="IJ2" s="101"/>
      <c r="IK2" s="101"/>
      <c r="IL2" s="101"/>
      <c r="IM2" s="101"/>
      <c r="IN2" s="101"/>
      <c r="IO2" s="101"/>
      <c r="IP2" s="101"/>
      <c r="IQ2" s="101"/>
      <c r="IR2" s="101"/>
      <c r="IS2" s="101"/>
      <c r="IT2" s="101"/>
      <c r="IU2" s="101"/>
      <c r="IV2" s="101"/>
      <c r="IW2" s="101"/>
      <c r="IX2" s="101"/>
      <c r="IY2" s="101"/>
      <c r="IZ2" s="101"/>
      <c r="JA2" s="101"/>
      <c r="JB2" s="101"/>
      <c r="JC2" s="101"/>
      <c r="JD2" s="101"/>
      <c r="JE2" s="101"/>
      <c r="JF2" s="101"/>
      <c r="JG2" s="101"/>
      <c r="JH2" s="101"/>
      <c r="JI2" s="101"/>
      <c r="JJ2" s="101"/>
      <c r="JK2" s="101"/>
      <c r="JL2" s="101"/>
      <c r="JM2" s="101"/>
      <c r="JN2" s="101"/>
      <c r="JO2" s="101"/>
      <c r="JP2" s="101"/>
      <c r="JQ2" s="101"/>
      <c r="JR2" s="101"/>
      <c r="JS2" s="101"/>
      <c r="JT2" s="101"/>
      <c r="JU2" s="101"/>
      <c r="JV2" s="101"/>
      <c r="JW2" s="101"/>
      <c r="JX2" s="101"/>
      <c r="JY2" s="101"/>
      <c r="JZ2" s="101"/>
      <c r="KA2" s="101"/>
      <c r="KB2" s="101"/>
      <c r="KC2" s="101"/>
      <c r="KD2" s="101"/>
      <c r="KE2" s="101"/>
      <c r="KF2" s="101"/>
      <c r="KG2" s="101"/>
      <c r="KH2" s="101"/>
      <c r="KI2" s="101"/>
      <c r="KJ2" s="101"/>
      <c r="KK2" s="101"/>
      <c r="KL2" s="101"/>
      <c r="KM2" s="101"/>
      <c r="KN2" s="101"/>
      <c r="KO2" s="101"/>
      <c r="KP2" s="101"/>
      <c r="KQ2" s="101"/>
      <c r="KR2" s="101"/>
      <c r="KS2" s="101"/>
      <c r="KT2" s="101"/>
      <c r="KU2" s="101"/>
    </row>
    <row r="3" spans="1:307" s="270" customFormat="1" ht="24">
      <c r="A3" s="406"/>
      <c r="B3" s="40" t="s">
        <v>595</v>
      </c>
      <c r="C3" s="40" t="s">
        <v>596</v>
      </c>
      <c r="D3" s="40" t="s">
        <v>597</v>
      </c>
      <c r="E3" s="76" t="s">
        <v>598</v>
      </c>
      <c r="F3" s="76" t="s">
        <v>357</v>
      </c>
      <c r="G3" s="76"/>
      <c r="H3" s="76"/>
      <c r="I3" s="76" t="s">
        <v>57</v>
      </c>
      <c r="J3" s="40" t="s">
        <v>28</v>
      </c>
      <c r="K3" s="40" t="s">
        <v>366</v>
      </c>
      <c r="L3" s="407"/>
      <c r="M3" s="122"/>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1"/>
      <c r="BS3" s="101"/>
      <c r="BT3" s="101"/>
      <c r="BU3" s="101"/>
      <c r="BV3" s="101"/>
      <c r="BW3" s="101"/>
      <c r="BX3" s="101"/>
      <c r="BY3" s="101"/>
      <c r="BZ3" s="101"/>
      <c r="CA3" s="101"/>
      <c r="CB3" s="101"/>
      <c r="CC3" s="101"/>
      <c r="CD3" s="101"/>
      <c r="CE3" s="101"/>
      <c r="CF3" s="101"/>
      <c r="CG3" s="101"/>
      <c r="CH3" s="101"/>
      <c r="CI3" s="101"/>
      <c r="CJ3" s="101"/>
      <c r="CK3" s="101"/>
      <c r="CL3" s="101"/>
      <c r="CM3" s="101"/>
      <c r="CN3" s="101"/>
      <c r="CO3" s="101"/>
      <c r="CP3" s="101"/>
      <c r="CQ3" s="101"/>
      <c r="CR3" s="101"/>
      <c r="CS3" s="101"/>
      <c r="CT3" s="101"/>
      <c r="CU3" s="101"/>
      <c r="CV3" s="101"/>
      <c r="CW3" s="101"/>
      <c r="CX3" s="101"/>
      <c r="CY3" s="101"/>
      <c r="CZ3" s="101"/>
      <c r="DA3" s="101"/>
      <c r="DB3" s="101"/>
      <c r="DC3" s="101"/>
      <c r="DD3" s="101"/>
      <c r="DE3" s="101"/>
      <c r="DF3" s="101"/>
      <c r="DG3" s="101"/>
      <c r="DH3" s="101"/>
      <c r="DI3" s="101"/>
      <c r="DJ3" s="101"/>
      <c r="DK3" s="101"/>
      <c r="DL3" s="101"/>
      <c r="DM3" s="101"/>
      <c r="DN3" s="101"/>
      <c r="DO3" s="101"/>
      <c r="DP3" s="101"/>
      <c r="DQ3" s="101"/>
      <c r="DR3" s="101"/>
      <c r="DS3" s="101"/>
      <c r="DT3" s="101"/>
      <c r="DU3" s="101"/>
      <c r="DV3" s="101"/>
      <c r="DW3" s="101"/>
      <c r="DX3" s="101"/>
      <c r="DY3" s="101"/>
      <c r="DZ3" s="101"/>
      <c r="EA3" s="101"/>
      <c r="EB3" s="101"/>
      <c r="EC3" s="101"/>
      <c r="ED3" s="101"/>
      <c r="EE3" s="101"/>
      <c r="EF3" s="101"/>
      <c r="EG3" s="101"/>
      <c r="EH3" s="101"/>
      <c r="EI3" s="101"/>
      <c r="EJ3" s="101"/>
      <c r="EK3" s="101"/>
      <c r="EL3" s="101"/>
      <c r="EM3" s="101"/>
      <c r="EN3" s="101"/>
      <c r="EO3" s="101"/>
      <c r="EP3" s="101"/>
      <c r="EQ3" s="101"/>
      <c r="ER3" s="101"/>
      <c r="ES3" s="101"/>
      <c r="ET3" s="101"/>
      <c r="EU3" s="101"/>
      <c r="EV3" s="101"/>
      <c r="EW3" s="101"/>
      <c r="EX3" s="101"/>
      <c r="EY3" s="101"/>
      <c r="EZ3" s="101"/>
      <c r="FA3" s="101"/>
      <c r="FB3" s="101"/>
      <c r="FC3" s="101"/>
      <c r="FD3" s="101"/>
      <c r="FE3" s="101"/>
      <c r="FF3" s="101"/>
      <c r="FG3" s="101"/>
      <c r="FH3" s="101"/>
      <c r="FI3" s="101"/>
      <c r="FJ3" s="101"/>
      <c r="FK3" s="101"/>
      <c r="FL3" s="101"/>
      <c r="FM3" s="101"/>
      <c r="FN3" s="101"/>
      <c r="FO3" s="101"/>
      <c r="FP3" s="101"/>
      <c r="FQ3" s="101"/>
      <c r="FR3" s="101"/>
      <c r="FS3" s="101"/>
      <c r="FT3" s="101"/>
      <c r="FU3" s="101"/>
      <c r="FV3" s="101"/>
      <c r="FW3" s="101"/>
      <c r="FX3" s="101"/>
      <c r="FY3" s="101"/>
      <c r="FZ3" s="101"/>
      <c r="GA3" s="101"/>
      <c r="GB3" s="101"/>
      <c r="GC3" s="101"/>
      <c r="GD3" s="101"/>
      <c r="GE3" s="101"/>
      <c r="GF3" s="101"/>
      <c r="GG3" s="101"/>
      <c r="GH3" s="101"/>
      <c r="GI3" s="101"/>
      <c r="GJ3" s="101"/>
      <c r="GK3" s="101"/>
      <c r="GL3" s="101"/>
      <c r="GM3" s="101"/>
      <c r="GN3" s="101"/>
      <c r="GO3" s="101"/>
      <c r="GP3" s="101"/>
      <c r="GQ3" s="101"/>
      <c r="GR3" s="101"/>
      <c r="GS3" s="101"/>
      <c r="GT3" s="101"/>
      <c r="GU3" s="101"/>
      <c r="GV3" s="101"/>
      <c r="GW3" s="101"/>
      <c r="GX3" s="101"/>
      <c r="GY3" s="101"/>
      <c r="GZ3" s="101"/>
      <c r="HA3" s="101"/>
      <c r="HB3" s="101"/>
      <c r="HC3" s="101"/>
      <c r="HD3" s="101"/>
      <c r="HE3" s="101"/>
      <c r="HF3" s="101"/>
      <c r="HG3" s="101"/>
      <c r="HH3" s="101"/>
      <c r="HI3" s="101"/>
      <c r="HJ3" s="101"/>
      <c r="HK3" s="101"/>
      <c r="HL3" s="101"/>
      <c r="HM3" s="101"/>
      <c r="HN3" s="101"/>
      <c r="HO3" s="101"/>
      <c r="HP3" s="101"/>
      <c r="HQ3" s="101"/>
      <c r="HR3" s="101"/>
      <c r="HS3" s="101"/>
      <c r="HT3" s="101"/>
      <c r="HU3" s="101"/>
      <c r="HV3" s="101"/>
      <c r="HW3" s="101"/>
      <c r="HX3" s="101"/>
      <c r="HY3" s="101"/>
      <c r="HZ3" s="101"/>
      <c r="IA3" s="101"/>
      <c r="IB3" s="101"/>
      <c r="IC3" s="101"/>
      <c r="ID3" s="101"/>
      <c r="IE3" s="101"/>
      <c r="IF3" s="101"/>
      <c r="IG3" s="101"/>
      <c r="IH3" s="101"/>
      <c r="II3" s="101"/>
      <c r="IJ3" s="101"/>
      <c r="IK3" s="101"/>
      <c r="IL3" s="101"/>
      <c r="IM3" s="101"/>
      <c r="IN3" s="101"/>
      <c r="IO3" s="101"/>
      <c r="IP3" s="101"/>
      <c r="IQ3" s="101"/>
      <c r="IR3" s="101"/>
      <c r="IS3" s="101"/>
      <c r="IT3" s="101"/>
      <c r="IU3" s="101"/>
      <c r="IV3" s="101"/>
      <c r="IW3" s="101"/>
      <c r="IX3" s="101"/>
      <c r="IY3" s="101"/>
      <c r="IZ3" s="101"/>
      <c r="JA3" s="101"/>
      <c r="JB3" s="101"/>
      <c r="JC3" s="101"/>
      <c r="JD3" s="101"/>
      <c r="JE3" s="101"/>
      <c r="JF3" s="101"/>
      <c r="JG3" s="101"/>
      <c r="JH3" s="101"/>
      <c r="JI3" s="101"/>
      <c r="JJ3" s="101"/>
      <c r="JK3" s="101"/>
      <c r="JL3" s="101"/>
      <c r="JM3" s="101"/>
      <c r="JN3" s="101"/>
      <c r="JO3" s="101"/>
      <c r="JP3" s="101"/>
      <c r="JQ3" s="101"/>
      <c r="JR3" s="101"/>
      <c r="JS3" s="101"/>
      <c r="JT3" s="101"/>
      <c r="JU3" s="101"/>
      <c r="JV3" s="101"/>
      <c r="JW3" s="101"/>
      <c r="JX3" s="101"/>
      <c r="JY3" s="101"/>
      <c r="JZ3" s="101"/>
      <c r="KA3" s="101"/>
      <c r="KB3" s="101"/>
      <c r="KC3" s="101"/>
      <c r="KD3" s="101"/>
      <c r="KE3" s="101"/>
      <c r="KF3" s="101"/>
      <c r="KG3" s="101"/>
      <c r="KH3" s="101"/>
      <c r="KI3" s="101"/>
      <c r="KJ3" s="101"/>
      <c r="KK3" s="101"/>
      <c r="KL3" s="101"/>
      <c r="KM3" s="101"/>
      <c r="KN3" s="101"/>
      <c r="KO3" s="101"/>
      <c r="KP3" s="101"/>
      <c r="KQ3" s="101"/>
      <c r="KR3" s="101"/>
      <c r="KS3" s="101"/>
      <c r="KT3" s="101"/>
      <c r="KU3" s="101"/>
    </row>
    <row r="4" spans="1:307" s="270" customFormat="1" ht="24">
      <c r="A4" s="406"/>
      <c r="B4" s="40" t="s">
        <v>599</v>
      </c>
      <c r="C4" s="40" t="s">
        <v>600</v>
      </c>
      <c r="D4" s="40" t="s">
        <v>601</v>
      </c>
      <c r="E4" s="76" t="s">
        <v>602</v>
      </c>
      <c r="F4" s="76" t="s">
        <v>357</v>
      </c>
      <c r="G4" s="76"/>
      <c r="H4" s="76"/>
      <c r="I4" s="76" t="s">
        <v>57</v>
      </c>
      <c r="J4" s="40" t="s">
        <v>28</v>
      </c>
      <c r="K4" s="40" t="s">
        <v>366</v>
      </c>
      <c r="L4" s="407"/>
      <c r="M4" s="122"/>
      <c r="N4" s="101"/>
      <c r="O4" s="101"/>
      <c r="P4" s="101"/>
      <c r="Q4" s="101"/>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101"/>
      <c r="CB4" s="101"/>
      <c r="CC4" s="101"/>
      <c r="CD4" s="101"/>
      <c r="CE4" s="101"/>
      <c r="CF4" s="101"/>
      <c r="CG4" s="101"/>
      <c r="CH4" s="101"/>
      <c r="CI4" s="101"/>
      <c r="CJ4" s="101"/>
      <c r="CK4" s="101"/>
      <c r="CL4" s="101"/>
      <c r="CM4" s="101"/>
      <c r="CN4" s="101"/>
      <c r="CO4" s="101"/>
      <c r="CP4" s="101"/>
      <c r="CQ4" s="101"/>
      <c r="CR4" s="101"/>
      <c r="CS4" s="101"/>
      <c r="CT4" s="101"/>
      <c r="CU4" s="101"/>
      <c r="CV4" s="101"/>
      <c r="CW4" s="101"/>
      <c r="CX4" s="101"/>
      <c r="CY4" s="101"/>
      <c r="CZ4" s="101"/>
      <c r="DA4" s="101"/>
      <c r="DB4" s="101"/>
      <c r="DC4" s="101"/>
      <c r="DD4" s="101"/>
      <c r="DE4" s="101"/>
      <c r="DF4" s="101"/>
      <c r="DG4" s="101"/>
      <c r="DH4" s="101"/>
      <c r="DI4" s="101"/>
      <c r="DJ4" s="101"/>
      <c r="DK4" s="101"/>
      <c r="DL4" s="101"/>
      <c r="DM4" s="101"/>
      <c r="DN4" s="101"/>
      <c r="DO4" s="101"/>
      <c r="DP4" s="101"/>
      <c r="DQ4" s="101"/>
      <c r="DR4" s="101"/>
      <c r="DS4" s="101"/>
      <c r="DT4" s="101"/>
      <c r="DU4" s="101"/>
      <c r="DV4" s="101"/>
      <c r="DW4" s="101"/>
      <c r="DX4" s="101"/>
      <c r="DY4" s="101"/>
      <c r="DZ4" s="101"/>
      <c r="EA4" s="101"/>
      <c r="EB4" s="101"/>
      <c r="EC4" s="101"/>
      <c r="ED4" s="101"/>
      <c r="EE4" s="101"/>
      <c r="EF4" s="101"/>
      <c r="EG4" s="101"/>
      <c r="EH4" s="101"/>
      <c r="EI4" s="101"/>
      <c r="EJ4" s="101"/>
      <c r="EK4" s="101"/>
      <c r="EL4" s="101"/>
      <c r="EM4" s="101"/>
      <c r="EN4" s="101"/>
      <c r="EO4" s="101"/>
      <c r="EP4" s="101"/>
      <c r="EQ4" s="101"/>
      <c r="ER4" s="101"/>
      <c r="ES4" s="101"/>
      <c r="ET4" s="101"/>
      <c r="EU4" s="101"/>
      <c r="EV4" s="101"/>
      <c r="EW4" s="101"/>
      <c r="EX4" s="101"/>
      <c r="EY4" s="101"/>
      <c r="EZ4" s="101"/>
      <c r="FA4" s="101"/>
      <c r="FB4" s="101"/>
      <c r="FC4" s="101"/>
      <c r="FD4" s="101"/>
      <c r="FE4" s="101"/>
      <c r="FF4" s="101"/>
      <c r="FG4" s="101"/>
      <c r="FH4" s="101"/>
      <c r="FI4" s="101"/>
      <c r="FJ4" s="101"/>
      <c r="FK4" s="101"/>
      <c r="FL4" s="101"/>
      <c r="FM4" s="101"/>
      <c r="FN4" s="101"/>
      <c r="FO4" s="101"/>
      <c r="FP4" s="101"/>
      <c r="FQ4" s="101"/>
      <c r="FR4" s="101"/>
      <c r="FS4" s="101"/>
      <c r="FT4" s="101"/>
      <c r="FU4" s="101"/>
      <c r="FV4" s="101"/>
      <c r="FW4" s="101"/>
      <c r="FX4" s="101"/>
      <c r="FY4" s="101"/>
      <c r="FZ4" s="101"/>
      <c r="GA4" s="101"/>
      <c r="GB4" s="101"/>
      <c r="GC4" s="101"/>
      <c r="GD4" s="101"/>
      <c r="GE4" s="101"/>
      <c r="GF4" s="101"/>
      <c r="GG4" s="101"/>
      <c r="GH4" s="101"/>
      <c r="GI4" s="101"/>
      <c r="GJ4" s="101"/>
      <c r="GK4" s="101"/>
      <c r="GL4" s="101"/>
      <c r="GM4" s="101"/>
      <c r="GN4" s="101"/>
      <c r="GO4" s="101"/>
      <c r="GP4" s="101"/>
      <c r="GQ4" s="101"/>
      <c r="GR4" s="101"/>
      <c r="GS4" s="101"/>
      <c r="GT4" s="101"/>
      <c r="GU4" s="101"/>
      <c r="GV4" s="101"/>
      <c r="GW4" s="101"/>
      <c r="GX4" s="101"/>
      <c r="GY4" s="101"/>
      <c r="GZ4" s="101"/>
      <c r="HA4" s="101"/>
      <c r="HB4" s="101"/>
      <c r="HC4" s="101"/>
      <c r="HD4" s="101"/>
      <c r="HE4" s="101"/>
      <c r="HF4" s="101"/>
      <c r="HG4" s="101"/>
      <c r="HH4" s="101"/>
      <c r="HI4" s="101"/>
      <c r="HJ4" s="101"/>
      <c r="HK4" s="101"/>
      <c r="HL4" s="101"/>
      <c r="HM4" s="101"/>
      <c r="HN4" s="101"/>
      <c r="HO4" s="101"/>
      <c r="HP4" s="101"/>
      <c r="HQ4" s="101"/>
      <c r="HR4" s="101"/>
      <c r="HS4" s="101"/>
      <c r="HT4" s="101"/>
      <c r="HU4" s="101"/>
      <c r="HV4" s="101"/>
      <c r="HW4" s="101"/>
      <c r="HX4" s="101"/>
      <c r="HY4" s="101"/>
      <c r="HZ4" s="101"/>
      <c r="IA4" s="101"/>
      <c r="IB4" s="101"/>
      <c r="IC4" s="101"/>
      <c r="ID4" s="101"/>
      <c r="IE4" s="101"/>
      <c r="IF4" s="101"/>
      <c r="IG4" s="101"/>
      <c r="IH4" s="101"/>
      <c r="II4" s="101"/>
      <c r="IJ4" s="101"/>
      <c r="IK4" s="101"/>
      <c r="IL4" s="101"/>
      <c r="IM4" s="101"/>
      <c r="IN4" s="101"/>
      <c r="IO4" s="101"/>
      <c r="IP4" s="101"/>
      <c r="IQ4" s="101"/>
      <c r="IR4" s="101"/>
      <c r="IS4" s="101"/>
      <c r="IT4" s="101"/>
      <c r="IU4" s="101"/>
      <c r="IV4" s="101"/>
      <c r="IW4" s="101"/>
      <c r="IX4" s="101"/>
      <c r="IY4" s="101"/>
      <c r="IZ4" s="101"/>
      <c r="JA4" s="101"/>
      <c r="JB4" s="101"/>
      <c r="JC4" s="101"/>
      <c r="JD4" s="101"/>
      <c r="JE4" s="101"/>
      <c r="JF4" s="101"/>
      <c r="JG4" s="101"/>
      <c r="JH4" s="101"/>
      <c r="JI4" s="101"/>
      <c r="JJ4" s="101"/>
      <c r="JK4" s="101"/>
      <c r="JL4" s="101"/>
      <c r="JM4" s="101"/>
      <c r="JN4" s="101"/>
      <c r="JO4" s="101"/>
      <c r="JP4" s="101"/>
      <c r="JQ4" s="101"/>
      <c r="JR4" s="101"/>
      <c r="JS4" s="101"/>
      <c r="JT4" s="101"/>
      <c r="JU4" s="101"/>
      <c r="JV4" s="101"/>
      <c r="JW4" s="101"/>
      <c r="JX4" s="101"/>
      <c r="JY4" s="101"/>
      <c r="JZ4" s="101"/>
      <c r="KA4" s="101"/>
      <c r="KB4" s="101"/>
      <c r="KC4" s="101"/>
      <c r="KD4" s="101"/>
      <c r="KE4" s="101"/>
      <c r="KF4" s="101"/>
      <c r="KG4" s="101"/>
      <c r="KH4" s="101"/>
      <c r="KI4" s="101"/>
      <c r="KJ4" s="101"/>
      <c r="KK4" s="101"/>
      <c r="KL4" s="101"/>
      <c r="KM4" s="101"/>
      <c r="KN4" s="101"/>
      <c r="KO4" s="101"/>
      <c r="KP4" s="101"/>
      <c r="KQ4" s="101"/>
      <c r="KR4" s="101"/>
      <c r="KS4" s="101"/>
      <c r="KT4" s="101"/>
      <c r="KU4" s="101"/>
    </row>
    <row r="5" spans="1:307" s="270" customFormat="1" ht="24">
      <c r="A5" s="406"/>
      <c r="B5" s="40" t="s">
        <v>603</v>
      </c>
      <c r="C5" s="40" t="s">
        <v>604</v>
      </c>
      <c r="D5" s="40" t="s">
        <v>605</v>
      </c>
      <c r="E5" s="76" t="s">
        <v>606</v>
      </c>
      <c r="F5" s="76" t="s">
        <v>357</v>
      </c>
      <c r="G5" s="76"/>
      <c r="H5" s="76"/>
      <c r="I5" s="76" t="s">
        <v>57</v>
      </c>
      <c r="J5" s="40" t="s">
        <v>28</v>
      </c>
      <c r="K5" s="40" t="s">
        <v>366</v>
      </c>
      <c r="L5" s="407"/>
      <c r="M5" s="122"/>
      <c r="N5" s="101"/>
      <c r="O5" s="101"/>
      <c r="P5" s="101"/>
      <c r="Q5" s="101"/>
      <c r="R5" s="101"/>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c r="BS5" s="101"/>
      <c r="BT5" s="101"/>
      <c r="BU5" s="101"/>
      <c r="BV5" s="101"/>
      <c r="BW5" s="101"/>
      <c r="BX5" s="101"/>
      <c r="BY5" s="101"/>
      <c r="BZ5" s="101"/>
      <c r="CA5" s="101"/>
      <c r="CB5" s="101"/>
      <c r="CC5" s="101"/>
      <c r="CD5" s="101"/>
      <c r="CE5" s="101"/>
      <c r="CF5" s="101"/>
      <c r="CG5" s="101"/>
      <c r="CH5" s="101"/>
      <c r="CI5" s="101"/>
      <c r="CJ5" s="101"/>
      <c r="CK5" s="101"/>
      <c r="CL5" s="101"/>
      <c r="CM5" s="101"/>
      <c r="CN5" s="101"/>
      <c r="CO5" s="101"/>
      <c r="CP5" s="101"/>
      <c r="CQ5" s="101"/>
      <c r="CR5" s="101"/>
      <c r="CS5" s="101"/>
      <c r="CT5" s="101"/>
      <c r="CU5" s="101"/>
      <c r="CV5" s="101"/>
      <c r="CW5" s="101"/>
      <c r="CX5" s="101"/>
      <c r="CY5" s="101"/>
      <c r="CZ5" s="101"/>
      <c r="DA5" s="101"/>
      <c r="DB5" s="101"/>
      <c r="DC5" s="101"/>
      <c r="DD5" s="101"/>
      <c r="DE5" s="101"/>
      <c r="DF5" s="101"/>
      <c r="DG5" s="101"/>
      <c r="DH5" s="101"/>
      <c r="DI5" s="101"/>
      <c r="DJ5" s="101"/>
      <c r="DK5" s="101"/>
      <c r="DL5" s="101"/>
      <c r="DM5" s="101"/>
      <c r="DN5" s="101"/>
      <c r="DO5" s="101"/>
      <c r="DP5" s="101"/>
      <c r="DQ5" s="101"/>
      <c r="DR5" s="101"/>
      <c r="DS5" s="101"/>
      <c r="DT5" s="101"/>
      <c r="DU5" s="101"/>
      <c r="DV5" s="101"/>
      <c r="DW5" s="101"/>
      <c r="DX5" s="101"/>
      <c r="DY5" s="101"/>
      <c r="DZ5" s="101"/>
      <c r="EA5" s="101"/>
      <c r="EB5" s="101"/>
      <c r="EC5" s="101"/>
      <c r="ED5" s="101"/>
      <c r="EE5" s="101"/>
      <c r="EF5" s="101"/>
      <c r="EG5" s="101"/>
      <c r="EH5" s="101"/>
      <c r="EI5" s="101"/>
      <c r="EJ5" s="101"/>
      <c r="EK5" s="101"/>
      <c r="EL5" s="101"/>
      <c r="EM5" s="101"/>
      <c r="EN5" s="101"/>
      <c r="EO5" s="101"/>
      <c r="EP5" s="101"/>
      <c r="EQ5" s="101"/>
      <c r="ER5" s="101"/>
      <c r="ES5" s="101"/>
      <c r="ET5" s="101"/>
      <c r="EU5" s="101"/>
      <c r="EV5" s="101"/>
      <c r="EW5" s="101"/>
      <c r="EX5" s="101"/>
      <c r="EY5" s="101"/>
      <c r="EZ5" s="101"/>
      <c r="FA5" s="101"/>
      <c r="FB5" s="101"/>
      <c r="FC5" s="101"/>
      <c r="FD5" s="101"/>
      <c r="FE5" s="101"/>
      <c r="FF5" s="101"/>
      <c r="FG5" s="101"/>
      <c r="FH5" s="101"/>
      <c r="FI5" s="101"/>
      <c r="FJ5" s="101"/>
      <c r="FK5" s="101"/>
      <c r="FL5" s="101"/>
      <c r="FM5" s="101"/>
      <c r="FN5" s="101"/>
      <c r="FO5" s="101"/>
      <c r="FP5" s="101"/>
      <c r="FQ5" s="101"/>
      <c r="FR5" s="101"/>
      <c r="FS5" s="101"/>
      <c r="FT5" s="101"/>
      <c r="FU5" s="101"/>
      <c r="FV5" s="101"/>
      <c r="FW5" s="101"/>
      <c r="FX5" s="101"/>
      <c r="FY5" s="101"/>
      <c r="FZ5" s="101"/>
      <c r="GA5" s="101"/>
      <c r="GB5" s="101"/>
      <c r="GC5" s="101"/>
      <c r="GD5" s="101"/>
      <c r="GE5" s="101"/>
      <c r="GF5" s="101"/>
      <c r="GG5" s="101"/>
      <c r="GH5" s="101"/>
      <c r="GI5" s="101"/>
      <c r="GJ5" s="101"/>
      <c r="GK5" s="101"/>
      <c r="GL5" s="101"/>
      <c r="GM5" s="101"/>
      <c r="GN5" s="101"/>
      <c r="GO5" s="101"/>
      <c r="GP5" s="101"/>
      <c r="GQ5" s="101"/>
      <c r="GR5" s="101"/>
      <c r="GS5" s="101"/>
      <c r="GT5" s="101"/>
      <c r="GU5" s="101"/>
      <c r="GV5" s="101"/>
      <c r="GW5" s="101"/>
      <c r="GX5" s="101"/>
      <c r="GY5" s="101"/>
      <c r="GZ5" s="101"/>
      <c r="HA5" s="101"/>
      <c r="HB5" s="101"/>
      <c r="HC5" s="101"/>
      <c r="HD5" s="101"/>
      <c r="HE5" s="101"/>
      <c r="HF5" s="101"/>
      <c r="HG5" s="101"/>
      <c r="HH5" s="101"/>
      <c r="HI5" s="101"/>
      <c r="HJ5" s="101"/>
      <c r="HK5" s="101"/>
      <c r="HL5" s="101"/>
      <c r="HM5" s="101"/>
      <c r="HN5" s="101"/>
      <c r="HO5" s="101"/>
      <c r="HP5" s="101"/>
      <c r="HQ5" s="101"/>
      <c r="HR5" s="101"/>
      <c r="HS5" s="101"/>
      <c r="HT5" s="101"/>
      <c r="HU5" s="101"/>
      <c r="HV5" s="101"/>
      <c r="HW5" s="101"/>
      <c r="HX5" s="101"/>
      <c r="HY5" s="101"/>
      <c r="HZ5" s="101"/>
      <c r="IA5" s="101"/>
      <c r="IB5" s="101"/>
      <c r="IC5" s="101"/>
      <c r="ID5" s="101"/>
      <c r="IE5" s="101"/>
      <c r="IF5" s="101"/>
      <c r="IG5" s="101"/>
      <c r="IH5" s="101"/>
      <c r="II5" s="101"/>
      <c r="IJ5" s="101"/>
      <c r="IK5" s="101"/>
      <c r="IL5" s="101"/>
      <c r="IM5" s="101"/>
      <c r="IN5" s="101"/>
      <c r="IO5" s="101"/>
      <c r="IP5" s="101"/>
      <c r="IQ5" s="101"/>
      <c r="IR5" s="101"/>
      <c r="IS5" s="101"/>
      <c r="IT5" s="101"/>
      <c r="IU5" s="101"/>
      <c r="IV5" s="101"/>
      <c r="IW5" s="101"/>
      <c r="IX5" s="101"/>
      <c r="IY5" s="101"/>
      <c r="IZ5" s="101"/>
      <c r="JA5" s="101"/>
      <c r="JB5" s="101"/>
      <c r="JC5" s="101"/>
      <c r="JD5" s="101"/>
      <c r="JE5" s="101"/>
      <c r="JF5" s="101"/>
      <c r="JG5" s="101"/>
      <c r="JH5" s="101"/>
      <c r="JI5" s="101"/>
      <c r="JJ5" s="101"/>
      <c r="JK5" s="101"/>
      <c r="JL5" s="101"/>
      <c r="JM5" s="101"/>
      <c r="JN5" s="101"/>
      <c r="JO5" s="101"/>
      <c r="JP5" s="101"/>
      <c r="JQ5" s="101"/>
      <c r="JR5" s="101"/>
      <c r="JS5" s="101"/>
      <c r="JT5" s="101"/>
      <c r="JU5" s="101"/>
      <c r="JV5" s="101"/>
      <c r="JW5" s="101"/>
      <c r="JX5" s="101"/>
      <c r="JY5" s="101"/>
      <c r="JZ5" s="101"/>
      <c r="KA5" s="101"/>
      <c r="KB5" s="101"/>
      <c r="KC5" s="101"/>
      <c r="KD5" s="101"/>
      <c r="KE5" s="101"/>
      <c r="KF5" s="101"/>
      <c r="KG5" s="101"/>
      <c r="KH5" s="101"/>
      <c r="KI5" s="101"/>
      <c r="KJ5" s="101"/>
      <c r="KK5" s="101"/>
      <c r="KL5" s="101"/>
      <c r="KM5" s="101"/>
      <c r="KN5" s="101"/>
      <c r="KO5" s="101"/>
      <c r="KP5" s="101"/>
      <c r="KQ5" s="101"/>
      <c r="KR5" s="101"/>
      <c r="KS5" s="101"/>
      <c r="KT5" s="101"/>
      <c r="KU5" s="101"/>
    </row>
    <row r="6" spans="1:307" s="270" customFormat="1" ht="24">
      <c r="A6" s="406"/>
      <c r="B6" s="40" t="s">
        <v>607</v>
      </c>
      <c r="C6" s="40" t="s">
        <v>608</v>
      </c>
      <c r="D6" s="40" t="s">
        <v>609</v>
      </c>
      <c r="E6" s="76" t="s">
        <v>610</v>
      </c>
      <c r="F6" s="76" t="s">
        <v>357</v>
      </c>
      <c r="G6" s="76"/>
      <c r="H6" s="76"/>
      <c r="I6" s="76" t="s">
        <v>57</v>
      </c>
      <c r="J6" s="40" t="s">
        <v>28</v>
      </c>
      <c r="K6" s="40" t="s">
        <v>366</v>
      </c>
      <c r="L6" s="407"/>
      <c r="M6" s="122"/>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01"/>
      <c r="CR6" s="101"/>
      <c r="CS6" s="101"/>
      <c r="CT6" s="101"/>
      <c r="CU6" s="101"/>
      <c r="CV6" s="101"/>
      <c r="CW6" s="101"/>
      <c r="CX6" s="101"/>
      <c r="CY6" s="101"/>
      <c r="CZ6" s="101"/>
      <c r="DA6" s="101"/>
      <c r="DB6" s="101"/>
      <c r="DC6" s="101"/>
      <c r="DD6" s="101"/>
      <c r="DE6" s="101"/>
      <c r="DF6" s="101"/>
      <c r="DG6" s="101"/>
      <c r="DH6" s="101"/>
      <c r="DI6" s="101"/>
      <c r="DJ6" s="101"/>
      <c r="DK6" s="101"/>
      <c r="DL6" s="101"/>
      <c r="DM6" s="101"/>
      <c r="DN6" s="101"/>
      <c r="DO6" s="101"/>
      <c r="DP6" s="101"/>
      <c r="DQ6" s="101"/>
      <c r="DR6" s="101"/>
      <c r="DS6" s="101"/>
      <c r="DT6" s="101"/>
      <c r="DU6" s="101"/>
      <c r="DV6" s="101"/>
      <c r="DW6" s="101"/>
      <c r="DX6" s="101"/>
      <c r="DY6" s="101"/>
      <c r="DZ6" s="101"/>
      <c r="EA6" s="101"/>
      <c r="EB6" s="101"/>
      <c r="EC6" s="101"/>
      <c r="ED6" s="101"/>
      <c r="EE6" s="101"/>
      <c r="EF6" s="101"/>
      <c r="EG6" s="101"/>
      <c r="EH6" s="101"/>
      <c r="EI6" s="101"/>
      <c r="EJ6" s="101"/>
      <c r="EK6" s="101"/>
      <c r="EL6" s="101"/>
      <c r="EM6" s="101"/>
      <c r="EN6" s="101"/>
      <c r="EO6" s="101"/>
      <c r="EP6" s="101"/>
      <c r="EQ6" s="101"/>
      <c r="ER6" s="101"/>
      <c r="ES6" s="101"/>
      <c r="ET6" s="101"/>
      <c r="EU6" s="101"/>
      <c r="EV6" s="101"/>
      <c r="EW6" s="101"/>
      <c r="EX6" s="101"/>
      <c r="EY6" s="101"/>
      <c r="EZ6" s="101"/>
      <c r="FA6" s="101"/>
      <c r="FB6" s="101"/>
      <c r="FC6" s="101"/>
      <c r="FD6" s="101"/>
      <c r="FE6" s="101"/>
      <c r="FF6" s="101"/>
      <c r="FG6" s="101"/>
      <c r="FH6" s="101"/>
      <c r="FI6" s="101"/>
      <c r="FJ6" s="101"/>
      <c r="FK6" s="101"/>
      <c r="FL6" s="101"/>
      <c r="FM6" s="101"/>
      <c r="FN6" s="101"/>
      <c r="FO6" s="101"/>
      <c r="FP6" s="101"/>
      <c r="FQ6" s="101"/>
      <c r="FR6" s="101"/>
      <c r="FS6" s="101"/>
      <c r="FT6" s="101"/>
      <c r="FU6" s="101"/>
      <c r="FV6" s="101"/>
      <c r="FW6" s="101"/>
      <c r="FX6" s="101"/>
      <c r="FY6" s="101"/>
      <c r="FZ6" s="101"/>
      <c r="GA6" s="101"/>
      <c r="GB6" s="101"/>
      <c r="GC6" s="101"/>
      <c r="GD6" s="101"/>
      <c r="GE6" s="101"/>
      <c r="GF6" s="101"/>
      <c r="GG6" s="101"/>
      <c r="GH6" s="101"/>
      <c r="GI6" s="101"/>
      <c r="GJ6" s="101"/>
      <c r="GK6" s="101"/>
      <c r="GL6" s="101"/>
      <c r="GM6" s="101"/>
      <c r="GN6" s="101"/>
      <c r="GO6" s="101"/>
      <c r="GP6" s="101"/>
      <c r="GQ6" s="101"/>
      <c r="GR6" s="101"/>
      <c r="GS6" s="101"/>
      <c r="GT6" s="101"/>
      <c r="GU6" s="101"/>
      <c r="GV6" s="101"/>
      <c r="GW6" s="101"/>
      <c r="GX6" s="101"/>
      <c r="GY6" s="101"/>
      <c r="GZ6" s="101"/>
      <c r="HA6" s="101"/>
      <c r="HB6" s="101"/>
      <c r="HC6" s="101"/>
      <c r="HD6" s="101"/>
      <c r="HE6" s="101"/>
      <c r="HF6" s="101"/>
      <c r="HG6" s="101"/>
      <c r="HH6" s="101"/>
      <c r="HI6" s="101"/>
      <c r="HJ6" s="101"/>
      <c r="HK6" s="101"/>
      <c r="HL6" s="101"/>
      <c r="HM6" s="101"/>
      <c r="HN6" s="101"/>
      <c r="HO6" s="101"/>
      <c r="HP6" s="101"/>
      <c r="HQ6" s="101"/>
      <c r="HR6" s="101"/>
      <c r="HS6" s="101"/>
      <c r="HT6" s="101"/>
      <c r="HU6" s="101"/>
      <c r="HV6" s="101"/>
      <c r="HW6" s="101"/>
      <c r="HX6" s="101"/>
      <c r="HY6" s="101"/>
      <c r="HZ6" s="101"/>
      <c r="IA6" s="101"/>
      <c r="IB6" s="101"/>
      <c r="IC6" s="101"/>
      <c r="ID6" s="101"/>
      <c r="IE6" s="101"/>
      <c r="IF6" s="101"/>
      <c r="IG6" s="101"/>
      <c r="IH6" s="101"/>
      <c r="II6" s="101"/>
      <c r="IJ6" s="101"/>
      <c r="IK6" s="101"/>
      <c r="IL6" s="101"/>
      <c r="IM6" s="101"/>
      <c r="IN6" s="101"/>
      <c r="IO6" s="101"/>
      <c r="IP6" s="101"/>
      <c r="IQ6" s="101"/>
      <c r="IR6" s="101"/>
      <c r="IS6" s="101"/>
      <c r="IT6" s="101"/>
      <c r="IU6" s="101"/>
      <c r="IV6" s="101"/>
      <c r="IW6" s="101"/>
      <c r="IX6" s="101"/>
      <c r="IY6" s="101"/>
      <c r="IZ6" s="101"/>
      <c r="JA6" s="101"/>
      <c r="JB6" s="101"/>
      <c r="JC6" s="101"/>
      <c r="JD6" s="101"/>
      <c r="JE6" s="101"/>
      <c r="JF6" s="101"/>
      <c r="JG6" s="101"/>
      <c r="JH6" s="101"/>
      <c r="JI6" s="101"/>
      <c r="JJ6" s="101"/>
      <c r="JK6" s="101"/>
      <c r="JL6" s="101"/>
      <c r="JM6" s="101"/>
      <c r="JN6" s="101"/>
      <c r="JO6" s="101"/>
      <c r="JP6" s="101"/>
      <c r="JQ6" s="101"/>
      <c r="JR6" s="101"/>
      <c r="JS6" s="101"/>
      <c r="JT6" s="101"/>
      <c r="JU6" s="101"/>
      <c r="JV6" s="101"/>
      <c r="JW6" s="101"/>
      <c r="JX6" s="101"/>
      <c r="JY6" s="101"/>
      <c r="JZ6" s="101"/>
      <c r="KA6" s="101"/>
      <c r="KB6" s="101"/>
      <c r="KC6" s="101"/>
      <c r="KD6" s="101"/>
      <c r="KE6" s="101"/>
      <c r="KF6" s="101"/>
      <c r="KG6" s="101"/>
      <c r="KH6" s="101"/>
      <c r="KI6" s="101"/>
      <c r="KJ6" s="101"/>
      <c r="KK6" s="101"/>
      <c r="KL6" s="101"/>
      <c r="KM6" s="101"/>
      <c r="KN6" s="101"/>
      <c r="KO6" s="101"/>
      <c r="KP6" s="101"/>
      <c r="KQ6" s="101"/>
      <c r="KR6" s="101"/>
      <c r="KS6" s="101"/>
      <c r="KT6" s="101"/>
      <c r="KU6" s="101"/>
    </row>
    <row r="7" spans="1:307" s="270" customFormat="1" ht="24">
      <c r="A7" s="406"/>
      <c r="B7" s="40" t="s">
        <v>611</v>
      </c>
      <c r="C7" s="40" t="s">
        <v>612</v>
      </c>
      <c r="D7" s="40" t="s">
        <v>613</v>
      </c>
      <c r="E7" s="76" t="s">
        <v>614</v>
      </c>
      <c r="F7" s="76" t="s">
        <v>357</v>
      </c>
      <c r="G7" s="76"/>
      <c r="H7" s="76"/>
      <c r="I7" s="76" t="s">
        <v>57</v>
      </c>
      <c r="J7" s="40" t="s">
        <v>28</v>
      </c>
      <c r="K7" s="40" t="s">
        <v>366</v>
      </c>
      <c r="L7" s="407"/>
      <c r="M7" s="122"/>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101"/>
      <c r="CB7" s="101"/>
      <c r="CC7" s="101"/>
      <c r="CD7" s="101"/>
      <c r="CE7" s="101"/>
      <c r="CF7" s="101"/>
      <c r="CG7" s="101"/>
      <c r="CH7" s="101"/>
      <c r="CI7" s="101"/>
      <c r="CJ7" s="101"/>
      <c r="CK7" s="101"/>
      <c r="CL7" s="101"/>
      <c r="CM7" s="101"/>
      <c r="CN7" s="101"/>
      <c r="CO7" s="101"/>
      <c r="CP7" s="101"/>
      <c r="CQ7" s="101"/>
      <c r="CR7" s="101"/>
      <c r="CS7" s="101"/>
      <c r="CT7" s="101"/>
      <c r="CU7" s="101"/>
      <c r="CV7" s="101"/>
      <c r="CW7" s="101"/>
      <c r="CX7" s="101"/>
      <c r="CY7" s="101"/>
      <c r="CZ7" s="101"/>
      <c r="DA7" s="101"/>
      <c r="DB7" s="101"/>
      <c r="DC7" s="101"/>
      <c r="DD7" s="101"/>
      <c r="DE7" s="101"/>
      <c r="DF7" s="101"/>
      <c r="DG7" s="101"/>
      <c r="DH7" s="101"/>
      <c r="DI7" s="101"/>
      <c r="DJ7" s="101"/>
      <c r="DK7" s="101"/>
      <c r="DL7" s="101"/>
      <c r="DM7" s="101"/>
      <c r="DN7" s="101"/>
      <c r="DO7" s="101"/>
      <c r="DP7" s="101"/>
      <c r="DQ7" s="101"/>
      <c r="DR7" s="101"/>
      <c r="DS7" s="101"/>
      <c r="DT7" s="101"/>
      <c r="DU7" s="101"/>
      <c r="DV7" s="101"/>
      <c r="DW7" s="101"/>
      <c r="DX7" s="101"/>
      <c r="DY7" s="101"/>
      <c r="DZ7" s="101"/>
      <c r="EA7" s="101"/>
      <c r="EB7" s="101"/>
      <c r="EC7" s="101"/>
      <c r="ED7" s="101"/>
      <c r="EE7" s="101"/>
      <c r="EF7" s="101"/>
      <c r="EG7" s="101"/>
      <c r="EH7" s="101"/>
      <c r="EI7" s="101"/>
      <c r="EJ7" s="101"/>
      <c r="EK7" s="101"/>
      <c r="EL7" s="101"/>
      <c r="EM7" s="101"/>
      <c r="EN7" s="101"/>
      <c r="EO7" s="101"/>
      <c r="EP7" s="101"/>
      <c r="EQ7" s="101"/>
      <c r="ER7" s="101"/>
      <c r="ES7" s="101"/>
      <c r="ET7" s="101"/>
      <c r="EU7" s="101"/>
      <c r="EV7" s="101"/>
      <c r="EW7" s="101"/>
      <c r="EX7" s="101"/>
      <c r="EY7" s="101"/>
      <c r="EZ7" s="101"/>
      <c r="FA7" s="101"/>
      <c r="FB7" s="101"/>
      <c r="FC7" s="101"/>
      <c r="FD7" s="101"/>
      <c r="FE7" s="101"/>
      <c r="FF7" s="101"/>
      <c r="FG7" s="101"/>
      <c r="FH7" s="101"/>
      <c r="FI7" s="101"/>
      <c r="FJ7" s="101"/>
      <c r="FK7" s="101"/>
      <c r="FL7" s="101"/>
      <c r="FM7" s="101"/>
      <c r="FN7" s="101"/>
      <c r="FO7" s="101"/>
      <c r="FP7" s="101"/>
      <c r="FQ7" s="101"/>
      <c r="FR7" s="101"/>
      <c r="FS7" s="101"/>
      <c r="FT7" s="101"/>
      <c r="FU7" s="101"/>
      <c r="FV7" s="101"/>
      <c r="FW7" s="101"/>
      <c r="FX7" s="101"/>
      <c r="FY7" s="101"/>
      <c r="FZ7" s="101"/>
      <c r="GA7" s="101"/>
      <c r="GB7" s="101"/>
      <c r="GC7" s="101"/>
      <c r="GD7" s="101"/>
      <c r="GE7" s="101"/>
      <c r="GF7" s="101"/>
      <c r="GG7" s="101"/>
      <c r="GH7" s="101"/>
      <c r="GI7" s="101"/>
      <c r="GJ7" s="101"/>
      <c r="GK7" s="101"/>
      <c r="GL7" s="101"/>
      <c r="GM7" s="101"/>
      <c r="GN7" s="101"/>
      <c r="GO7" s="101"/>
      <c r="GP7" s="101"/>
      <c r="GQ7" s="101"/>
      <c r="GR7" s="101"/>
      <c r="GS7" s="101"/>
      <c r="GT7" s="101"/>
      <c r="GU7" s="101"/>
      <c r="GV7" s="101"/>
      <c r="GW7" s="101"/>
      <c r="GX7" s="101"/>
      <c r="GY7" s="101"/>
      <c r="GZ7" s="101"/>
      <c r="HA7" s="101"/>
      <c r="HB7" s="101"/>
      <c r="HC7" s="101"/>
      <c r="HD7" s="101"/>
      <c r="HE7" s="101"/>
      <c r="HF7" s="101"/>
      <c r="HG7" s="101"/>
      <c r="HH7" s="101"/>
      <c r="HI7" s="101"/>
      <c r="HJ7" s="101"/>
      <c r="HK7" s="101"/>
      <c r="HL7" s="101"/>
      <c r="HM7" s="101"/>
      <c r="HN7" s="101"/>
      <c r="HO7" s="101"/>
      <c r="HP7" s="101"/>
      <c r="HQ7" s="101"/>
      <c r="HR7" s="101"/>
      <c r="HS7" s="101"/>
      <c r="HT7" s="101"/>
      <c r="HU7" s="101"/>
      <c r="HV7" s="101"/>
      <c r="HW7" s="101"/>
      <c r="HX7" s="101"/>
      <c r="HY7" s="101"/>
      <c r="HZ7" s="101"/>
      <c r="IA7" s="101"/>
      <c r="IB7" s="101"/>
      <c r="IC7" s="101"/>
      <c r="ID7" s="101"/>
      <c r="IE7" s="101"/>
      <c r="IF7" s="101"/>
      <c r="IG7" s="101"/>
      <c r="IH7" s="101"/>
      <c r="II7" s="101"/>
      <c r="IJ7" s="101"/>
      <c r="IK7" s="101"/>
      <c r="IL7" s="101"/>
      <c r="IM7" s="101"/>
      <c r="IN7" s="101"/>
      <c r="IO7" s="101"/>
      <c r="IP7" s="101"/>
      <c r="IQ7" s="101"/>
      <c r="IR7" s="101"/>
      <c r="IS7" s="101"/>
      <c r="IT7" s="101"/>
      <c r="IU7" s="101"/>
      <c r="IV7" s="101"/>
      <c r="IW7" s="101"/>
      <c r="IX7" s="101"/>
      <c r="IY7" s="101"/>
      <c r="IZ7" s="101"/>
      <c r="JA7" s="101"/>
      <c r="JB7" s="101"/>
      <c r="JC7" s="101"/>
      <c r="JD7" s="101"/>
      <c r="JE7" s="101"/>
      <c r="JF7" s="101"/>
      <c r="JG7" s="101"/>
      <c r="JH7" s="101"/>
      <c r="JI7" s="101"/>
      <c r="JJ7" s="101"/>
      <c r="JK7" s="101"/>
      <c r="JL7" s="101"/>
      <c r="JM7" s="101"/>
      <c r="JN7" s="101"/>
      <c r="JO7" s="101"/>
      <c r="JP7" s="101"/>
      <c r="JQ7" s="101"/>
      <c r="JR7" s="101"/>
      <c r="JS7" s="101"/>
      <c r="JT7" s="101"/>
      <c r="JU7" s="101"/>
      <c r="JV7" s="101"/>
      <c r="JW7" s="101"/>
      <c r="JX7" s="101"/>
      <c r="JY7" s="101"/>
      <c r="JZ7" s="101"/>
      <c r="KA7" s="101"/>
      <c r="KB7" s="101"/>
      <c r="KC7" s="101"/>
      <c r="KD7" s="101"/>
      <c r="KE7" s="101"/>
      <c r="KF7" s="101"/>
      <c r="KG7" s="101"/>
      <c r="KH7" s="101"/>
      <c r="KI7" s="101"/>
      <c r="KJ7" s="101"/>
      <c r="KK7" s="101"/>
      <c r="KL7" s="101"/>
      <c r="KM7" s="101"/>
      <c r="KN7" s="101"/>
      <c r="KO7" s="101"/>
      <c r="KP7" s="101"/>
      <c r="KQ7" s="101"/>
      <c r="KR7" s="101"/>
      <c r="KS7" s="101"/>
      <c r="KT7" s="101"/>
      <c r="KU7" s="101"/>
    </row>
    <row r="8" spans="1:307" s="271" customFormat="1" ht="36">
      <c r="A8" s="406"/>
      <c r="B8" s="278" t="s">
        <v>615</v>
      </c>
      <c r="C8" s="278" t="s">
        <v>616</v>
      </c>
      <c r="D8" s="278" t="s">
        <v>617</v>
      </c>
      <c r="E8" s="279" t="s">
        <v>618</v>
      </c>
      <c r="F8" s="279" t="s">
        <v>357</v>
      </c>
      <c r="G8" s="279"/>
      <c r="H8" s="279"/>
      <c r="I8" s="279" t="s">
        <v>57</v>
      </c>
      <c r="J8" s="278" t="s">
        <v>387</v>
      </c>
      <c r="K8" s="278" t="s">
        <v>619</v>
      </c>
      <c r="L8" s="407"/>
      <c r="M8" s="280"/>
      <c r="N8" s="281"/>
      <c r="O8" s="281"/>
      <c r="P8" s="281"/>
      <c r="Q8" s="281"/>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1"/>
      <c r="BD8" s="281"/>
      <c r="BE8" s="281"/>
      <c r="BF8" s="281"/>
      <c r="BG8" s="281"/>
      <c r="BH8" s="281"/>
      <c r="BI8" s="281"/>
      <c r="BJ8" s="281"/>
      <c r="BK8" s="281"/>
      <c r="BL8" s="281"/>
      <c r="BM8" s="281"/>
      <c r="BN8" s="281"/>
      <c r="BO8" s="281"/>
      <c r="BP8" s="281"/>
      <c r="BQ8" s="281"/>
      <c r="BR8" s="281"/>
      <c r="BS8" s="281"/>
      <c r="BT8" s="281"/>
      <c r="BU8" s="281"/>
      <c r="BV8" s="281"/>
      <c r="BW8" s="281"/>
      <c r="BX8" s="281"/>
      <c r="BY8" s="281"/>
      <c r="BZ8" s="281"/>
      <c r="CA8" s="281"/>
      <c r="CB8" s="281"/>
      <c r="CC8" s="281"/>
      <c r="CD8" s="281"/>
      <c r="CE8" s="281"/>
      <c r="CF8" s="281"/>
      <c r="CG8" s="281"/>
      <c r="CH8" s="281"/>
      <c r="CI8" s="281"/>
      <c r="CJ8" s="281"/>
      <c r="CK8" s="281"/>
      <c r="CL8" s="281"/>
      <c r="CM8" s="281"/>
      <c r="CN8" s="281"/>
      <c r="CO8" s="281"/>
      <c r="CP8" s="281"/>
      <c r="CQ8" s="281"/>
      <c r="CR8" s="281"/>
      <c r="CS8" s="281"/>
      <c r="CT8" s="281"/>
      <c r="CU8" s="281"/>
      <c r="CV8" s="281"/>
      <c r="CW8" s="281"/>
      <c r="CX8" s="281"/>
      <c r="CY8" s="281"/>
      <c r="CZ8" s="281"/>
      <c r="DA8" s="281"/>
      <c r="DB8" s="281"/>
      <c r="DC8" s="281"/>
      <c r="DD8" s="281"/>
      <c r="DE8" s="281"/>
      <c r="DF8" s="281"/>
      <c r="DG8" s="281"/>
      <c r="DH8" s="281"/>
      <c r="DI8" s="281"/>
      <c r="DJ8" s="281"/>
      <c r="DK8" s="281"/>
      <c r="DL8" s="281"/>
      <c r="DM8" s="281"/>
      <c r="DN8" s="281"/>
      <c r="DO8" s="281"/>
      <c r="DP8" s="281"/>
      <c r="DQ8" s="281"/>
      <c r="DR8" s="281"/>
      <c r="DS8" s="281"/>
      <c r="DT8" s="281"/>
      <c r="DU8" s="281"/>
      <c r="DV8" s="281"/>
      <c r="DW8" s="281"/>
      <c r="DX8" s="281"/>
      <c r="DY8" s="281"/>
      <c r="DZ8" s="281"/>
      <c r="EA8" s="281"/>
      <c r="EB8" s="281"/>
      <c r="EC8" s="281"/>
      <c r="ED8" s="281"/>
      <c r="EE8" s="281"/>
      <c r="EF8" s="281"/>
      <c r="EG8" s="281"/>
      <c r="EH8" s="281"/>
      <c r="EI8" s="281"/>
      <c r="EJ8" s="281"/>
      <c r="EK8" s="281"/>
      <c r="EL8" s="281"/>
      <c r="EM8" s="281"/>
      <c r="EN8" s="281"/>
      <c r="EO8" s="281"/>
      <c r="EP8" s="281"/>
      <c r="EQ8" s="281"/>
      <c r="ER8" s="281"/>
      <c r="ES8" s="281"/>
      <c r="ET8" s="281"/>
      <c r="EU8" s="281"/>
      <c r="EV8" s="281"/>
      <c r="EW8" s="281"/>
      <c r="EX8" s="281"/>
      <c r="EY8" s="281"/>
      <c r="EZ8" s="281"/>
      <c r="FA8" s="281"/>
      <c r="FB8" s="281"/>
      <c r="FC8" s="281"/>
      <c r="FD8" s="281"/>
      <c r="FE8" s="281"/>
      <c r="FF8" s="281"/>
      <c r="FG8" s="281"/>
      <c r="FH8" s="281"/>
      <c r="FI8" s="281"/>
      <c r="FJ8" s="281"/>
      <c r="FK8" s="281"/>
      <c r="FL8" s="281"/>
      <c r="FM8" s="281"/>
      <c r="FN8" s="281"/>
      <c r="FO8" s="281"/>
      <c r="FP8" s="281"/>
      <c r="FQ8" s="281"/>
      <c r="FR8" s="281"/>
      <c r="FS8" s="281"/>
      <c r="FT8" s="281"/>
      <c r="FU8" s="281"/>
      <c r="FV8" s="281"/>
      <c r="FW8" s="281"/>
      <c r="FX8" s="281"/>
      <c r="FY8" s="281"/>
      <c r="FZ8" s="281"/>
      <c r="GA8" s="281"/>
      <c r="GB8" s="281"/>
      <c r="GC8" s="281"/>
      <c r="GD8" s="281"/>
      <c r="GE8" s="281"/>
      <c r="GF8" s="281"/>
      <c r="GG8" s="281"/>
      <c r="GH8" s="281"/>
      <c r="GI8" s="281"/>
      <c r="GJ8" s="281"/>
      <c r="GK8" s="281"/>
      <c r="GL8" s="281"/>
      <c r="GM8" s="281"/>
      <c r="GN8" s="281"/>
      <c r="GO8" s="281"/>
      <c r="GP8" s="281"/>
      <c r="GQ8" s="281"/>
      <c r="GR8" s="281"/>
      <c r="GS8" s="281"/>
      <c r="GT8" s="281"/>
      <c r="GU8" s="281"/>
      <c r="GV8" s="281"/>
      <c r="GW8" s="281"/>
      <c r="GX8" s="281"/>
      <c r="GY8" s="281"/>
      <c r="GZ8" s="281"/>
      <c r="HA8" s="281"/>
      <c r="HB8" s="281"/>
      <c r="HC8" s="281"/>
      <c r="HD8" s="281"/>
      <c r="HE8" s="281"/>
      <c r="HF8" s="281"/>
      <c r="HG8" s="281"/>
      <c r="HH8" s="281"/>
      <c r="HI8" s="281"/>
      <c r="HJ8" s="281"/>
      <c r="HK8" s="281"/>
      <c r="HL8" s="281"/>
      <c r="HM8" s="281"/>
      <c r="HN8" s="281"/>
      <c r="HO8" s="281"/>
      <c r="HP8" s="281"/>
      <c r="HQ8" s="281"/>
      <c r="HR8" s="281"/>
      <c r="HS8" s="281"/>
      <c r="HT8" s="281"/>
      <c r="HU8" s="281"/>
      <c r="HV8" s="281"/>
      <c r="HW8" s="281"/>
      <c r="HX8" s="281"/>
      <c r="HY8" s="281"/>
      <c r="HZ8" s="281"/>
      <c r="IA8" s="281"/>
      <c r="IB8" s="281"/>
      <c r="IC8" s="281"/>
      <c r="ID8" s="281"/>
      <c r="IE8" s="281"/>
      <c r="IF8" s="281"/>
      <c r="IG8" s="281"/>
      <c r="IH8" s="281"/>
      <c r="II8" s="281"/>
      <c r="IJ8" s="281"/>
      <c r="IK8" s="281"/>
      <c r="IL8" s="281"/>
      <c r="IM8" s="281"/>
      <c r="IN8" s="281"/>
      <c r="IO8" s="281"/>
      <c r="IP8" s="281"/>
      <c r="IQ8" s="281"/>
      <c r="IR8" s="281"/>
      <c r="IS8" s="281"/>
      <c r="IT8" s="281"/>
      <c r="IU8" s="281"/>
      <c r="IV8" s="281"/>
      <c r="IW8" s="281"/>
      <c r="IX8" s="281"/>
      <c r="IY8" s="281"/>
      <c r="IZ8" s="281"/>
      <c r="JA8" s="281"/>
      <c r="JB8" s="281"/>
      <c r="JC8" s="281"/>
      <c r="JD8" s="281"/>
      <c r="JE8" s="281"/>
      <c r="JF8" s="281"/>
      <c r="JG8" s="281"/>
      <c r="JH8" s="281"/>
      <c r="JI8" s="281"/>
      <c r="JJ8" s="281"/>
      <c r="JK8" s="281"/>
      <c r="JL8" s="281"/>
      <c r="JM8" s="281"/>
      <c r="JN8" s="281"/>
      <c r="JO8" s="281"/>
      <c r="JP8" s="281"/>
      <c r="JQ8" s="281"/>
      <c r="JR8" s="281"/>
      <c r="JS8" s="281"/>
      <c r="JT8" s="281"/>
      <c r="JU8" s="281"/>
      <c r="JV8" s="281"/>
      <c r="JW8" s="281"/>
      <c r="JX8" s="281"/>
      <c r="JY8" s="281"/>
      <c r="JZ8" s="281"/>
      <c r="KA8" s="281"/>
      <c r="KB8" s="281"/>
      <c r="KC8" s="281"/>
      <c r="KD8" s="281"/>
      <c r="KE8" s="281"/>
      <c r="KF8" s="281"/>
      <c r="KG8" s="281"/>
      <c r="KH8" s="281"/>
      <c r="KI8" s="281"/>
      <c r="KJ8" s="281"/>
      <c r="KK8" s="281"/>
      <c r="KL8" s="281"/>
      <c r="KM8" s="281"/>
      <c r="KN8" s="281"/>
      <c r="KO8" s="281"/>
      <c r="KP8" s="281"/>
      <c r="KQ8" s="281"/>
      <c r="KR8" s="281"/>
      <c r="KS8" s="281"/>
      <c r="KT8" s="281"/>
      <c r="KU8" s="281"/>
    </row>
    <row r="9" spans="1:307" s="271" customFormat="1" ht="24">
      <c r="A9" s="406"/>
      <c r="B9" s="278" t="s">
        <v>620</v>
      </c>
      <c r="C9" s="278" t="s">
        <v>621</v>
      </c>
      <c r="D9" s="278" t="s">
        <v>622</v>
      </c>
      <c r="E9" s="279" t="s">
        <v>623</v>
      </c>
      <c r="F9" s="279" t="s">
        <v>357</v>
      </c>
      <c r="G9" s="279"/>
      <c r="H9" s="279"/>
      <c r="I9" s="279" t="s">
        <v>57</v>
      </c>
      <c r="J9" s="278" t="s">
        <v>387</v>
      </c>
      <c r="K9" s="278" t="s">
        <v>366</v>
      </c>
      <c r="L9" s="407"/>
      <c r="M9" s="280"/>
      <c r="N9" s="281"/>
      <c r="O9" s="281"/>
      <c r="P9" s="281"/>
      <c r="Q9" s="281"/>
      <c r="R9" s="281"/>
      <c r="S9" s="281"/>
      <c r="T9" s="281"/>
      <c r="U9" s="281"/>
      <c r="V9" s="281"/>
      <c r="W9" s="281"/>
      <c r="X9" s="281"/>
      <c r="Y9" s="281"/>
      <c r="Z9" s="281"/>
      <c r="AA9" s="281"/>
      <c r="AB9" s="281"/>
      <c r="AC9" s="281"/>
      <c r="AD9" s="281"/>
      <c r="AE9" s="281"/>
      <c r="AF9" s="281"/>
      <c r="AG9" s="281"/>
      <c r="AH9" s="281"/>
      <c r="AI9" s="281"/>
      <c r="AJ9" s="281"/>
      <c r="AK9" s="281"/>
      <c r="AL9" s="281"/>
      <c r="AM9" s="281"/>
      <c r="AN9" s="281"/>
      <c r="AO9" s="281"/>
      <c r="AP9" s="281"/>
      <c r="AQ9" s="281"/>
      <c r="AR9" s="281"/>
      <c r="AS9" s="281"/>
      <c r="AT9" s="281"/>
      <c r="AU9" s="281"/>
      <c r="AV9" s="281"/>
      <c r="AW9" s="281"/>
      <c r="AX9" s="281"/>
      <c r="AY9" s="281"/>
      <c r="AZ9" s="281"/>
      <c r="BA9" s="281"/>
      <c r="BB9" s="281"/>
      <c r="BC9" s="281"/>
      <c r="BD9" s="281"/>
      <c r="BE9" s="281"/>
      <c r="BF9" s="281"/>
      <c r="BG9" s="281"/>
      <c r="BH9" s="281"/>
      <c r="BI9" s="281"/>
      <c r="BJ9" s="281"/>
      <c r="BK9" s="281"/>
      <c r="BL9" s="281"/>
      <c r="BM9" s="281"/>
      <c r="BN9" s="281"/>
      <c r="BO9" s="281"/>
      <c r="BP9" s="281"/>
      <c r="BQ9" s="281"/>
      <c r="BR9" s="281"/>
      <c r="BS9" s="281"/>
      <c r="BT9" s="281"/>
      <c r="BU9" s="281"/>
      <c r="BV9" s="281"/>
      <c r="BW9" s="281"/>
      <c r="BX9" s="281"/>
      <c r="BY9" s="281"/>
      <c r="BZ9" s="281"/>
      <c r="CA9" s="281"/>
      <c r="CB9" s="281"/>
      <c r="CC9" s="281"/>
      <c r="CD9" s="281"/>
      <c r="CE9" s="281"/>
      <c r="CF9" s="281"/>
      <c r="CG9" s="281"/>
      <c r="CH9" s="281"/>
      <c r="CI9" s="281"/>
      <c r="CJ9" s="281"/>
      <c r="CK9" s="281"/>
      <c r="CL9" s="281"/>
      <c r="CM9" s="281"/>
      <c r="CN9" s="281"/>
      <c r="CO9" s="281"/>
      <c r="CP9" s="281"/>
      <c r="CQ9" s="281"/>
      <c r="CR9" s="281"/>
      <c r="CS9" s="281"/>
      <c r="CT9" s="281"/>
      <c r="CU9" s="281"/>
      <c r="CV9" s="281"/>
      <c r="CW9" s="281"/>
      <c r="CX9" s="281"/>
      <c r="CY9" s="281"/>
      <c r="CZ9" s="281"/>
      <c r="DA9" s="281"/>
      <c r="DB9" s="281"/>
      <c r="DC9" s="281"/>
      <c r="DD9" s="281"/>
      <c r="DE9" s="281"/>
      <c r="DF9" s="281"/>
      <c r="DG9" s="281"/>
      <c r="DH9" s="281"/>
      <c r="DI9" s="281"/>
      <c r="DJ9" s="281"/>
      <c r="DK9" s="281"/>
      <c r="DL9" s="281"/>
      <c r="DM9" s="281"/>
      <c r="DN9" s="281"/>
      <c r="DO9" s="281"/>
      <c r="DP9" s="281"/>
      <c r="DQ9" s="281"/>
      <c r="DR9" s="281"/>
      <c r="DS9" s="281"/>
      <c r="DT9" s="281"/>
      <c r="DU9" s="281"/>
      <c r="DV9" s="281"/>
      <c r="DW9" s="281"/>
      <c r="DX9" s="281"/>
      <c r="DY9" s="281"/>
      <c r="DZ9" s="281"/>
      <c r="EA9" s="281"/>
      <c r="EB9" s="281"/>
      <c r="EC9" s="281"/>
      <c r="ED9" s="281"/>
      <c r="EE9" s="281"/>
      <c r="EF9" s="281"/>
      <c r="EG9" s="281"/>
      <c r="EH9" s="281"/>
      <c r="EI9" s="281"/>
      <c r="EJ9" s="281"/>
      <c r="EK9" s="281"/>
      <c r="EL9" s="281"/>
      <c r="EM9" s="281"/>
      <c r="EN9" s="281"/>
      <c r="EO9" s="281"/>
      <c r="EP9" s="281"/>
      <c r="EQ9" s="281"/>
      <c r="ER9" s="281"/>
      <c r="ES9" s="281"/>
      <c r="ET9" s="281"/>
      <c r="EU9" s="281"/>
      <c r="EV9" s="281"/>
      <c r="EW9" s="281"/>
      <c r="EX9" s="281"/>
      <c r="EY9" s="281"/>
      <c r="EZ9" s="281"/>
      <c r="FA9" s="281"/>
      <c r="FB9" s="281"/>
      <c r="FC9" s="281"/>
      <c r="FD9" s="281"/>
      <c r="FE9" s="281"/>
      <c r="FF9" s="281"/>
      <c r="FG9" s="281"/>
      <c r="FH9" s="281"/>
      <c r="FI9" s="281"/>
      <c r="FJ9" s="281"/>
      <c r="FK9" s="281"/>
      <c r="FL9" s="281"/>
      <c r="FM9" s="281"/>
      <c r="FN9" s="281"/>
      <c r="FO9" s="281"/>
      <c r="FP9" s="281"/>
      <c r="FQ9" s="281"/>
      <c r="FR9" s="281"/>
      <c r="FS9" s="281"/>
      <c r="FT9" s="281"/>
      <c r="FU9" s="281"/>
      <c r="FV9" s="281"/>
      <c r="FW9" s="281"/>
      <c r="FX9" s="281"/>
      <c r="FY9" s="281"/>
      <c r="FZ9" s="281"/>
      <c r="GA9" s="281"/>
      <c r="GB9" s="281"/>
      <c r="GC9" s="281"/>
      <c r="GD9" s="281"/>
      <c r="GE9" s="281"/>
      <c r="GF9" s="281"/>
      <c r="GG9" s="281"/>
      <c r="GH9" s="281"/>
      <c r="GI9" s="281"/>
      <c r="GJ9" s="281"/>
      <c r="GK9" s="281"/>
      <c r="GL9" s="281"/>
      <c r="GM9" s="281"/>
      <c r="GN9" s="281"/>
      <c r="GO9" s="281"/>
      <c r="GP9" s="281"/>
      <c r="GQ9" s="281"/>
      <c r="GR9" s="281"/>
      <c r="GS9" s="281"/>
      <c r="GT9" s="281"/>
      <c r="GU9" s="281"/>
      <c r="GV9" s="281"/>
      <c r="GW9" s="281"/>
      <c r="GX9" s="281"/>
      <c r="GY9" s="281"/>
      <c r="GZ9" s="281"/>
      <c r="HA9" s="281"/>
      <c r="HB9" s="281"/>
      <c r="HC9" s="281"/>
      <c r="HD9" s="281"/>
      <c r="HE9" s="281"/>
      <c r="HF9" s="281"/>
      <c r="HG9" s="281"/>
      <c r="HH9" s="281"/>
      <c r="HI9" s="281"/>
      <c r="HJ9" s="281"/>
      <c r="HK9" s="281"/>
      <c r="HL9" s="281"/>
      <c r="HM9" s="281"/>
      <c r="HN9" s="281"/>
      <c r="HO9" s="281"/>
      <c r="HP9" s="281"/>
      <c r="HQ9" s="281"/>
      <c r="HR9" s="281"/>
      <c r="HS9" s="281"/>
      <c r="HT9" s="281"/>
      <c r="HU9" s="281"/>
      <c r="HV9" s="281"/>
      <c r="HW9" s="281"/>
      <c r="HX9" s="281"/>
      <c r="HY9" s="281"/>
      <c r="HZ9" s="281"/>
      <c r="IA9" s="281"/>
      <c r="IB9" s="281"/>
      <c r="IC9" s="281"/>
      <c r="ID9" s="281"/>
      <c r="IE9" s="281"/>
      <c r="IF9" s="281"/>
      <c r="IG9" s="281"/>
      <c r="IH9" s="281"/>
      <c r="II9" s="281"/>
      <c r="IJ9" s="281"/>
      <c r="IK9" s="281"/>
      <c r="IL9" s="281"/>
      <c r="IM9" s="281"/>
      <c r="IN9" s="281"/>
      <c r="IO9" s="281"/>
      <c r="IP9" s="281"/>
      <c r="IQ9" s="281"/>
      <c r="IR9" s="281"/>
      <c r="IS9" s="281"/>
      <c r="IT9" s="281"/>
      <c r="IU9" s="281"/>
      <c r="IV9" s="281"/>
      <c r="IW9" s="281"/>
      <c r="IX9" s="281"/>
      <c r="IY9" s="281"/>
      <c r="IZ9" s="281"/>
      <c r="JA9" s="281"/>
      <c r="JB9" s="281"/>
      <c r="JC9" s="281"/>
      <c r="JD9" s="281"/>
      <c r="JE9" s="281"/>
      <c r="JF9" s="281"/>
      <c r="JG9" s="281"/>
      <c r="JH9" s="281"/>
      <c r="JI9" s="281"/>
      <c r="JJ9" s="281"/>
      <c r="JK9" s="281"/>
      <c r="JL9" s="281"/>
      <c r="JM9" s="281"/>
      <c r="JN9" s="281"/>
      <c r="JO9" s="281"/>
      <c r="JP9" s="281"/>
      <c r="JQ9" s="281"/>
      <c r="JR9" s="281"/>
      <c r="JS9" s="281"/>
      <c r="JT9" s="281"/>
      <c r="JU9" s="281"/>
      <c r="JV9" s="281"/>
      <c r="JW9" s="281"/>
      <c r="JX9" s="281"/>
      <c r="JY9" s="281"/>
      <c r="JZ9" s="281"/>
      <c r="KA9" s="281"/>
      <c r="KB9" s="281"/>
      <c r="KC9" s="281"/>
      <c r="KD9" s="281"/>
      <c r="KE9" s="281"/>
      <c r="KF9" s="281"/>
      <c r="KG9" s="281"/>
      <c r="KH9" s="281"/>
      <c r="KI9" s="281"/>
      <c r="KJ9" s="281"/>
      <c r="KK9" s="281"/>
      <c r="KL9" s="281"/>
      <c r="KM9" s="281"/>
      <c r="KN9" s="281"/>
      <c r="KO9" s="281"/>
      <c r="KP9" s="281"/>
      <c r="KQ9" s="281"/>
      <c r="KR9" s="281"/>
      <c r="KS9" s="281"/>
      <c r="KT9" s="281"/>
      <c r="KU9" s="281"/>
    </row>
    <row r="10" spans="1:307" s="271" customFormat="1" ht="24">
      <c r="A10" s="406"/>
      <c r="B10" s="278" t="s">
        <v>624</v>
      </c>
      <c r="C10" s="278" t="s">
        <v>625</v>
      </c>
      <c r="D10" s="278" t="s">
        <v>626</v>
      </c>
      <c r="E10" s="279" t="s">
        <v>627</v>
      </c>
      <c r="F10" s="279" t="s">
        <v>357</v>
      </c>
      <c r="G10" s="279"/>
      <c r="H10" s="279"/>
      <c r="I10" s="279" t="s">
        <v>57</v>
      </c>
      <c r="J10" s="278" t="s">
        <v>628</v>
      </c>
      <c r="K10" s="278" t="s">
        <v>366</v>
      </c>
      <c r="L10" s="407"/>
      <c r="M10" s="280"/>
      <c r="N10" s="281"/>
      <c r="O10" s="281"/>
      <c r="P10" s="281"/>
      <c r="Q10" s="281"/>
      <c r="R10" s="281"/>
      <c r="S10" s="281"/>
      <c r="T10" s="281"/>
      <c r="U10" s="281"/>
      <c r="V10" s="281"/>
      <c r="W10" s="281"/>
      <c r="X10" s="281"/>
      <c r="Y10" s="281"/>
      <c r="Z10" s="281"/>
      <c r="AA10" s="281"/>
      <c r="AB10" s="281"/>
      <c r="AC10" s="281"/>
      <c r="AD10" s="281"/>
      <c r="AE10" s="281"/>
      <c r="AF10" s="281"/>
      <c r="AG10" s="281"/>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1"/>
      <c r="BD10" s="281"/>
      <c r="BE10" s="281"/>
      <c r="BF10" s="281"/>
      <c r="BG10" s="281"/>
      <c r="BH10" s="281"/>
      <c r="BI10" s="281"/>
      <c r="BJ10" s="281"/>
      <c r="BK10" s="281"/>
      <c r="BL10" s="281"/>
      <c r="BM10" s="281"/>
      <c r="BN10" s="281"/>
      <c r="BO10" s="281"/>
      <c r="BP10" s="281"/>
      <c r="BQ10" s="281"/>
      <c r="BR10" s="281"/>
      <c r="BS10" s="281"/>
      <c r="BT10" s="281"/>
      <c r="BU10" s="281"/>
      <c r="BV10" s="281"/>
      <c r="BW10" s="281"/>
      <c r="BX10" s="281"/>
      <c r="BY10" s="281"/>
      <c r="BZ10" s="281"/>
      <c r="CA10" s="281"/>
      <c r="CB10" s="281"/>
      <c r="CC10" s="281"/>
      <c r="CD10" s="281"/>
      <c r="CE10" s="281"/>
      <c r="CF10" s="281"/>
      <c r="CG10" s="281"/>
      <c r="CH10" s="281"/>
      <c r="CI10" s="281"/>
      <c r="CJ10" s="281"/>
      <c r="CK10" s="281"/>
      <c r="CL10" s="281"/>
      <c r="CM10" s="281"/>
      <c r="CN10" s="281"/>
      <c r="CO10" s="281"/>
      <c r="CP10" s="281"/>
      <c r="CQ10" s="281"/>
      <c r="CR10" s="281"/>
      <c r="CS10" s="281"/>
      <c r="CT10" s="281"/>
      <c r="CU10" s="281"/>
      <c r="CV10" s="281"/>
      <c r="CW10" s="281"/>
      <c r="CX10" s="281"/>
      <c r="CY10" s="281"/>
      <c r="CZ10" s="281"/>
      <c r="DA10" s="281"/>
      <c r="DB10" s="281"/>
      <c r="DC10" s="281"/>
      <c r="DD10" s="281"/>
      <c r="DE10" s="281"/>
      <c r="DF10" s="281"/>
      <c r="DG10" s="281"/>
      <c r="DH10" s="281"/>
      <c r="DI10" s="281"/>
      <c r="DJ10" s="281"/>
      <c r="DK10" s="281"/>
      <c r="DL10" s="281"/>
      <c r="DM10" s="281"/>
      <c r="DN10" s="281"/>
      <c r="DO10" s="281"/>
      <c r="DP10" s="281"/>
      <c r="DQ10" s="281"/>
      <c r="DR10" s="281"/>
      <c r="DS10" s="281"/>
      <c r="DT10" s="281"/>
      <c r="DU10" s="281"/>
      <c r="DV10" s="281"/>
      <c r="DW10" s="281"/>
      <c r="DX10" s="281"/>
      <c r="DY10" s="281"/>
      <c r="DZ10" s="281"/>
      <c r="EA10" s="281"/>
      <c r="EB10" s="281"/>
      <c r="EC10" s="281"/>
      <c r="ED10" s="281"/>
      <c r="EE10" s="281"/>
      <c r="EF10" s="281"/>
      <c r="EG10" s="281"/>
      <c r="EH10" s="281"/>
      <c r="EI10" s="281"/>
      <c r="EJ10" s="281"/>
      <c r="EK10" s="281"/>
      <c r="EL10" s="281"/>
      <c r="EM10" s="281"/>
      <c r="EN10" s="281"/>
      <c r="EO10" s="281"/>
      <c r="EP10" s="281"/>
      <c r="EQ10" s="281"/>
      <c r="ER10" s="281"/>
      <c r="ES10" s="281"/>
      <c r="ET10" s="281"/>
      <c r="EU10" s="281"/>
      <c r="EV10" s="281"/>
      <c r="EW10" s="281"/>
      <c r="EX10" s="281"/>
      <c r="EY10" s="281"/>
      <c r="EZ10" s="281"/>
      <c r="FA10" s="281"/>
      <c r="FB10" s="281"/>
      <c r="FC10" s="281"/>
      <c r="FD10" s="281"/>
      <c r="FE10" s="281"/>
      <c r="FF10" s="281"/>
      <c r="FG10" s="281"/>
      <c r="FH10" s="281"/>
      <c r="FI10" s="281"/>
      <c r="FJ10" s="281"/>
      <c r="FK10" s="281"/>
      <c r="FL10" s="281"/>
      <c r="FM10" s="281"/>
      <c r="FN10" s="281"/>
      <c r="FO10" s="281"/>
      <c r="FP10" s="281"/>
      <c r="FQ10" s="281"/>
      <c r="FR10" s="281"/>
      <c r="FS10" s="281"/>
      <c r="FT10" s="281"/>
      <c r="FU10" s="281"/>
      <c r="FV10" s="281"/>
      <c r="FW10" s="281"/>
      <c r="FX10" s="281"/>
      <c r="FY10" s="281"/>
      <c r="FZ10" s="281"/>
      <c r="GA10" s="281"/>
      <c r="GB10" s="281"/>
      <c r="GC10" s="281"/>
      <c r="GD10" s="281"/>
      <c r="GE10" s="281"/>
      <c r="GF10" s="281"/>
      <c r="GG10" s="281"/>
      <c r="GH10" s="281"/>
      <c r="GI10" s="281"/>
      <c r="GJ10" s="281"/>
      <c r="GK10" s="281"/>
      <c r="GL10" s="281"/>
      <c r="GM10" s="281"/>
      <c r="GN10" s="281"/>
      <c r="GO10" s="281"/>
      <c r="GP10" s="281"/>
      <c r="GQ10" s="281"/>
      <c r="GR10" s="281"/>
      <c r="GS10" s="281"/>
      <c r="GT10" s="281"/>
      <c r="GU10" s="281"/>
      <c r="GV10" s="281"/>
      <c r="GW10" s="281"/>
      <c r="GX10" s="281"/>
      <c r="GY10" s="281"/>
      <c r="GZ10" s="281"/>
      <c r="HA10" s="281"/>
      <c r="HB10" s="281"/>
      <c r="HC10" s="281"/>
      <c r="HD10" s="281"/>
      <c r="HE10" s="281"/>
      <c r="HF10" s="281"/>
      <c r="HG10" s="281"/>
      <c r="HH10" s="281"/>
      <c r="HI10" s="281"/>
      <c r="HJ10" s="281"/>
      <c r="HK10" s="281"/>
      <c r="HL10" s="281"/>
      <c r="HM10" s="281"/>
      <c r="HN10" s="281"/>
      <c r="HO10" s="281"/>
      <c r="HP10" s="281"/>
      <c r="HQ10" s="281"/>
      <c r="HR10" s="281"/>
      <c r="HS10" s="281"/>
      <c r="HT10" s="281"/>
      <c r="HU10" s="281"/>
      <c r="HV10" s="281"/>
      <c r="HW10" s="281"/>
      <c r="HX10" s="281"/>
      <c r="HY10" s="281"/>
      <c r="HZ10" s="281"/>
      <c r="IA10" s="281"/>
      <c r="IB10" s="281"/>
      <c r="IC10" s="281"/>
      <c r="ID10" s="281"/>
      <c r="IE10" s="281"/>
      <c r="IF10" s="281"/>
      <c r="IG10" s="281"/>
      <c r="IH10" s="281"/>
      <c r="II10" s="281"/>
      <c r="IJ10" s="281"/>
      <c r="IK10" s="281"/>
      <c r="IL10" s="281"/>
      <c r="IM10" s="281"/>
      <c r="IN10" s="281"/>
      <c r="IO10" s="281"/>
      <c r="IP10" s="281"/>
      <c r="IQ10" s="281"/>
      <c r="IR10" s="281"/>
      <c r="IS10" s="281"/>
      <c r="IT10" s="281"/>
      <c r="IU10" s="281"/>
      <c r="IV10" s="281"/>
      <c r="IW10" s="281"/>
      <c r="IX10" s="281"/>
      <c r="IY10" s="281"/>
      <c r="IZ10" s="281"/>
      <c r="JA10" s="281"/>
      <c r="JB10" s="281"/>
      <c r="JC10" s="281"/>
      <c r="JD10" s="281"/>
      <c r="JE10" s="281"/>
      <c r="JF10" s="281"/>
      <c r="JG10" s="281"/>
      <c r="JH10" s="281"/>
      <c r="JI10" s="281"/>
      <c r="JJ10" s="281"/>
      <c r="JK10" s="281"/>
      <c r="JL10" s="281"/>
      <c r="JM10" s="281"/>
      <c r="JN10" s="281"/>
      <c r="JO10" s="281"/>
      <c r="JP10" s="281"/>
      <c r="JQ10" s="281"/>
      <c r="JR10" s="281"/>
      <c r="JS10" s="281"/>
      <c r="JT10" s="281"/>
      <c r="JU10" s="281"/>
      <c r="JV10" s="281"/>
      <c r="JW10" s="281"/>
      <c r="JX10" s="281"/>
      <c r="JY10" s="281"/>
      <c r="JZ10" s="281"/>
      <c r="KA10" s="281"/>
      <c r="KB10" s="281"/>
      <c r="KC10" s="281"/>
      <c r="KD10" s="281"/>
      <c r="KE10" s="281"/>
      <c r="KF10" s="281"/>
      <c r="KG10" s="281"/>
      <c r="KH10" s="281"/>
      <c r="KI10" s="281"/>
      <c r="KJ10" s="281"/>
      <c r="KK10" s="281"/>
      <c r="KL10" s="281"/>
      <c r="KM10" s="281"/>
      <c r="KN10" s="281"/>
      <c r="KO10" s="281"/>
      <c r="KP10" s="281"/>
      <c r="KQ10" s="281"/>
      <c r="KR10" s="281"/>
      <c r="KS10" s="281"/>
      <c r="KT10" s="281"/>
      <c r="KU10" s="281"/>
    </row>
    <row r="11" spans="1:307" s="271" customFormat="1" ht="36">
      <c r="A11" s="406"/>
      <c r="B11" s="278" t="s">
        <v>629</v>
      </c>
      <c r="C11" s="278" t="s">
        <v>630</v>
      </c>
      <c r="D11" s="278" t="s">
        <v>631</v>
      </c>
      <c r="E11" s="279" t="s">
        <v>632</v>
      </c>
      <c r="F11" s="279" t="s">
        <v>357</v>
      </c>
      <c r="G11" s="279"/>
      <c r="H11" s="279"/>
      <c r="I11" s="279" t="s">
        <v>57</v>
      </c>
      <c r="J11" s="278" t="s">
        <v>359</v>
      </c>
      <c r="K11" s="278" t="s">
        <v>633</v>
      </c>
      <c r="L11" s="407"/>
      <c r="M11" s="280"/>
      <c r="N11" s="281"/>
      <c r="O11" s="281"/>
      <c r="P11" s="281"/>
      <c r="Q11" s="281"/>
      <c r="R11" s="281"/>
      <c r="S11" s="281"/>
      <c r="T11" s="281"/>
      <c r="U11" s="281"/>
      <c r="V11" s="281"/>
      <c r="W11" s="281"/>
      <c r="X11" s="281"/>
      <c r="Y11" s="281"/>
      <c r="Z11" s="281"/>
      <c r="AA11" s="281"/>
      <c r="AB11" s="281"/>
      <c r="AC11" s="281"/>
      <c r="AD11" s="281"/>
      <c r="AE11" s="281"/>
      <c r="AF11" s="281"/>
      <c r="AG11" s="281"/>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1"/>
      <c r="BD11" s="281"/>
      <c r="BE11" s="281"/>
      <c r="BF11" s="281"/>
      <c r="BG11" s="281"/>
      <c r="BH11" s="281"/>
      <c r="BI11" s="281"/>
      <c r="BJ11" s="281"/>
      <c r="BK11" s="281"/>
      <c r="BL11" s="281"/>
      <c r="BM11" s="281"/>
      <c r="BN11" s="281"/>
      <c r="BO11" s="281"/>
      <c r="BP11" s="281"/>
      <c r="BQ11" s="281"/>
      <c r="BR11" s="281"/>
      <c r="BS11" s="281"/>
      <c r="BT11" s="281"/>
      <c r="BU11" s="281"/>
      <c r="BV11" s="281"/>
      <c r="BW11" s="281"/>
      <c r="BX11" s="281"/>
      <c r="BY11" s="281"/>
      <c r="BZ11" s="281"/>
      <c r="CA11" s="281"/>
      <c r="CB11" s="281"/>
      <c r="CC11" s="281"/>
      <c r="CD11" s="281"/>
      <c r="CE11" s="281"/>
      <c r="CF11" s="281"/>
      <c r="CG11" s="281"/>
      <c r="CH11" s="281"/>
      <c r="CI11" s="281"/>
      <c r="CJ11" s="281"/>
      <c r="CK11" s="281"/>
      <c r="CL11" s="281"/>
      <c r="CM11" s="281"/>
      <c r="CN11" s="281"/>
      <c r="CO11" s="281"/>
      <c r="CP11" s="281"/>
      <c r="CQ11" s="281"/>
      <c r="CR11" s="281"/>
      <c r="CS11" s="281"/>
      <c r="CT11" s="281"/>
      <c r="CU11" s="281"/>
      <c r="CV11" s="281"/>
      <c r="CW11" s="281"/>
      <c r="CX11" s="281"/>
      <c r="CY11" s="281"/>
      <c r="CZ11" s="281"/>
      <c r="DA11" s="281"/>
      <c r="DB11" s="281"/>
      <c r="DC11" s="281"/>
      <c r="DD11" s="281"/>
      <c r="DE11" s="281"/>
      <c r="DF11" s="281"/>
      <c r="DG11" s="281"/>
      <c r="DH11" s="281"/>
      <c r="DI11" s="281"/>
      <c r="DJ11" s="281"/>
      <c r="DK11" s="281"/>
      <c r="DL11" s="281"/>
      <c r="DM11" s="281"/>
      <c r="DN11" s="281"/>
      <c r="DO11" s="281"/>
      <c r="DP11" s="281"/>
      <c r="DQ11" s="281"/>
      <c r="DR11" s="281"/>
      <c r="DS11" s="281"/>
      <c r="DT11" s="281"/>
      <c r="DU11" s="281"/>
      <c r="DV11" s="281"/>
      <c r="DW11" s="281"/>
      <c r="DX11" s="281"/>
      <c r="DY11" s="281"/>
      <c r="DZ11" s="281"/>
      <c r="EA11" s="281"/>
      <c r="EB11" s="281"/>
      <c r="EC11" s="281"/>
      <c r="ED11" s="281"/>
      <c r="EE11" s="281"/>
      <c r="EF11" s="281"/>
      <c r="EG11" s="281"/>
      <c r="EH11" s="281"/>
      <c r="EI11" s="281"/>
      <c r="EJ11" s="281"/>
      <c r="EK11" s="281"/>
      <c r="EL11" s="281"/>
      <c r="EM11" s="281"/>
      <c r="EN11" s="281"/>
      <c r="EO11" s="281"/>
      <c r="EP11" s="281"/>
      <c r="EQ11" s="281"/>
      <c r="ER11" s="281"/>
      <c r="ES11" s="281"/>
      <c r="ET11" s="281"/>
      <c r="EU11" s="281"/>
      <c r="EV11" s="281"/>
      <c r="EW11" s="281"/>
      <c r="EX11" s="281"/>
      <c r="EY11" s="281"/>
      <c r="EZ11" s="281"/>
      <c r="FA11" s="281"/>
      <c r="FB11" s="281"/>
      <c r="FC11" s="281"/>
      <c r="FD11" s="281"/>
      <c r="FE11" s="281"/>
      <c r="FF11" s="281"/>
      <c r="FG11" s="281"/>
      <c r="FH11" s="281"/>
      <c r="FI11" s="281"/>
      <c r="FJ11" s="281"/>
      <c r="FK11" s="281"/>
      <c r="FL11" s="281"/>
      <c r="FM11" s="281"/>
      <c r="FN11" s="281"/>
      <c r="FO11" s="281"/>
      <c r="FP11" s="281"/>
      <c r="FQ11" s="281"/>
      <c r="FR11" s="281"/>
      <c r="FS11" s="281"/>
      <c r="FT11" s="281"/>
      <c r="FU11" s="281"/>
      <c r="FV11" s="281"/>
      <c r="FW11" s="281"/>
      <c r="FX11" s="281"/>
      <c r="FY11" s="281"/>
      <c r="FZ11" s="281"/>
      <c r="GA11" s="281"/>
      <c r="GB11" s="281"/>
      <c r="GC11" s="281"/>
      <c r="GD11" s="281"/>
      <c r="GE11" s="281"/>
      <c r="GF11" s="281"/>
      <c r="GG11" s="281"/>
      <c r="GH11" s="281"/>
      <c r="GI11" s="281"/>
      <c r="GJ11" s="281"/>
      <c r="GK11" s="281"/>
      <c r="GL11" s="281"/>
      <c r="GM11" s="281"/>
      <c r="GN11" s="281"/>
      <c r="GO11" s="281"/>
      <c r="GP11" s="281"/>
      <c r="GQ11" s="281"/>
      <c r="GR11" s="281"/>
      <c r="GS11" s="281"/>
      <c r="GT11" s="281"/>
      <c r="GU11" s="281"/>
      <c r="GV11" s="281"/>
      <c r="GW11" s="281"/>
      <c r="GX11" s="281"/>
      <c r="GY11" s="281"/>
      <c r="GZ11" s="281"/>
      <c r="HA11" s="281"/>
      <c r="HB11" s="281"/>
      <c r="HC11" s="281"/>
      <c r="HD11" s="281"/>
      <c r="HE11" s="281"/>
      <c r="HF11" s="281"/>
      <c r="HG11" s="281"/>
      <c r="HH11" s="281"/>
      <c r="HI11" s="281"/>
      <c r="HJ11" s="281"/>
      <c r="HK11" s="281"/>
      <c r="HL11" s="281"/>
      <c r="HM11" s="281"/>
      <c r="HN11" s="281"/>
      <c r="HO11" s="281"/>
      <c r="HP11" s="281"/>
      <c r="HQ11" s="281"/>
      <c r="HR11" s="281"/>
      <c r="HS11" s="281"/>
      <c r="HT11" s="281"/>
      <c r="HU11" s="281"/>
      <c r="HV11" s="281"/>
      <c r="HW11" s="281"/>
      <c r="HX11" s="281"/>
      <c r="HY11" s="281"/>
      <c r="HZ11" s="281"/>
      <c r="IA11" s="281"/>
      <c r="IB11" s="281"/>
      <c r="IC11" s="281"/>
      <c r="ID11" s="281"/>
      <c r="IE11" s="281"/>
      <c r="IF11" s="281"/>
      <c r="IG11" s="281"/>
      <c r="IH11" s="281"/>
      <c r="II11" s="281"/>
      <c r="IJ11" s="281"/>
      <c r="IK11" s="281"/>
      <c r="IL11" s="281"/>
      <c r="IM11" s="281"/>
      <c r="IN11" s="281"/>
      <c r="IO11" s="281"/>
      <c r="IP11" s="281"/>
      <c r="IQ11" s="281"/>
      <c r="IR11" s="281"/>
      <c r="IS11" s="281"/>
      <c r="IT11" s="281"/>
      <c r="IU11" s="281"/>
      <c r="IV11" s="281"/>
      <c r="IW11" s="281"/>
      <c r="IX11" s="281"/>
      <c r="IY11" s="281"/>
      <c r="IZ11" s="281"/>
      <c r="JA11" s="281"/>
      <c r="JB11" s="281"/>
      <c r="JC11" s="281"/>
      <c r="JD11" s="281"/>
      <c r="JE11" s="281"/>
      <c r="JF11" s="281"/>
      <c r="JG11" s="281"/>
      <c r="JH11" s="281"/>
      <c r="JI11" s="281"/>
      <c r="JJ11" s="281"/>
      <c r="JK11" s="281"/>
      <c r="JL11" s="281"/>
      <c r="JM11" s="281"/>
      <c r="JN11" s="281"/>
      <c r="JO11" s="281"/>
      <c r="JP11" s="281"/>
      <c r="JQ11" s="281"/>
      <c r="JR11" s="281"/>
      <c r="JS11" s="281"/>
      <c r="JT11" s="281"/>
      <c r="JU11" s="281"/>
      <c r="JV11" s="281"/>
      <c r="JW11" s="281"/>
      <c r="JX11" s="281"/>
      <c r="JY11" s="281"/>
      <c r="JZ11" s="281"/>
      <c r="KA11" s="281"/>
      <c r="KB11" s="281"/>
      <c r="KC11" s="281"/>
      <c r="KD11" s="281"/>
      <c r="KE11" s="281"/>
      <c r="KF11" s="281"/>
      <c r="KG11" s="281"/>
      <c r="KH11" s="281"/>
      <c r="KI11" s="281"/>
      <c r="KJ11" s="281"/>
      <c r="KK11" s="281"/>
      <c r="KL11" s="281"/>
      <c r="KM11" s="281"/>
      <c r="KN11" s="281"/>
      <c r="KO11" s="281"/>
      <c r="KP11" s="281"/>
      <c r="KQ11" s="281"/>
      <c r="KR11" s="281"/>
      <c r="KS11" s="281"/>
      <c r="KT11" s="281"/>
      <c r="KU11" s="281"/>
    </row>
    <row r="12" spans="1:307" s="271" customFormat="1" ht="24">
      <c r="A12" s="406"/>
      <c r="B12" s="278" t="s">
        <v>634</v>
      </c>
      <c r="C12" s="278" t="s">
        <v>635</v>
      </c>
      <c r="D12" s="278" t="s">
        <v>636</v>
      </c>
      <c r="E12" s="279" t="s">
        <v>637</v>
      </c>
      <c r="F12" s="279" t="s">
        <v>357</v>
      </c>
      <c r="G12" s="279"/>
      <c r="H12" s="279"/>
      <c r="I12" s="279" t="s">
        <v>24</v>
      </c>
      <c r="J12" s="278" t="s">
        <v>359</v>
      </c>
      <c r="K12" s="278" t="s">
        <v>366</v>
      </c>
      <c r="L12" s="407"/>
      <c r="M12" s="280" t="s">
        <v>638</v>
      </c>
      <c r="N12" s="281"/>
      <c r="O12" s="281"/>
      <c r="P12" s="281"/>
      <c r="Q12" s="281"/>
      <c r="R12" s="281"/>
      <c r="S12" s="281"/>
      <c r="T12" s="281"/>
      <c r="U12" s="281"/>
      <c r="V12" s="281"/>
      <c r="W12" s="281"/>
      <c r="X12" s="281"/>
      <c r="Y12" s="281"/>
      <c r="Z12" s="281"/>
      <c r="AA12" s="281"/>
      <c r="AB12" s="281"/>
      <c r="AC12" s="281"/>
      <c r="AD12" s="281"/>
      <c r="AE12" s="281"/>
      <c r="AF12" s="281"/>
      <c r="AG12" s="281"/>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1"/>
      <c r="BD12" s="281"/>
      <c r="BE12" s="281"/>
      <c r="BF12" s="281"/>
      <c r="BG12" s="281"/>
      <c r="BH12" s="281"/>
      <c r="BI12" s="281"/>
      <c r="BJ12" s="281"/>
      <c r="BK12" s="281"/>
      <c r="BL12" s="281"/>
      <c r="BM12" s="281"/>
      <c r="BN12" s="281"/>
      <c r="BO12" s="281"/>
      <c r="BP12" s="281"/>
      <c r="BQ12" s="281"/>
      <c r="BR12" s="281"/>
      <c r="BS12" s="281"/>
      <c r="BT12" s="281"/>
      <c r="BU12" s="281"/>
      <c r="BV12" s="281"/>
      <c r="BW12" s="281"/>
      <c r="BX12" s="281"/>
      <c r="BY12" s="281"/>
      <c r="BZ12" s="281"/>
      <c r="CA12" s="281"/>
      <c r="CB12" s="281"/>
      <c r="CC12" s="281"/>
      <c r="CD12" s="281"/>
      <c r="CE12" s="281"/>
      <c r="CF12" s="281"/>
      <c r="CG12" s="281"/>
      <c r="CH12" s="281"/>
      <c r="CI12" s="281"/>
      <c r="CJ12" s="281"/>
      <c r="CK12" s="281"/>
      <c r="CL12" s="281"/>
      <c r="CM12" s="281"/>
      <c r="CN12" s="281"/>
      <c r="CO12" s="281"/>
      <c r="CP12" s="281"/>
      <c r="CQ12" s="281"/>
      <c r="CR12" s="281"/>
      <c r="CS12" s="281"/>
      <c r="CT12" s="281"/>
      <c r="CU12" s="281"/>
      <c r="CV12" s="281"/>
      <c r="CW12" s="281"/>
      <c r="CX12" s="281"/>
      <c r="CY12" s="281"/>
      <c r="CZ12" s="281"/>
      <c r="DA12" s="281"/>
      <c r="DB12" s="281"/>
      <c r="DC12" s="281"/>
      <c r="DD12" s="281"/>
      <c r="DE12" s="281"/>
      <c r="DF12" s="281"/>
      <c r="DG12" s="281"/>
      <c r="DH12" s="281"/>
      <c r="DI12" s="281"/>
      <c r="DJ12" s="281"/>
      <c r="DK12" s="281"/>
      <c r="DL12" s="281"/>
      <c r="DM12" s="281"/>
      <c r="DN12" s="281"/>
      <c r="DO12" s="281"/>
      <c r="DP12" s="281"/>
      <c r="DQ12" s="281"/>
      <c r="DR12" s="281"/>
      <c r="DS12" s="281"/>
      <c r="DT12" s="281"/>
      <c r="DU12" s="281"/>
      <c r="DV12" s="281"/>
      <c r="DW12" s="281"/>
      <c r="DX12" s="281"/>
      <c r="DY12" s="281"/>
      <c r="DZ12" s="281"/>
      <c r="EA12" s="281"/>
      <c r="EB12" s="281"/>
      <c r="EC12" s="281"/>
      <c r="ED12" s="281"/>
      <c r="EE12" s="281"/>
      <c r="EF12" s="281"/>
      <c r="EG12" s="281"/>
      <c r="EH12" s="281"/>
      <c r="EI12" s="281"/>
      <c r="EJ12" s="281"/>
      <c r="EK12" s="281"/>
      <c r="EL12" s="281"/>
      <c r="EM12" s="281"/>
      <c r="EN12" s="281"/>
      <c r="EO12" s="281"/>
      <c r="EP12" s="281"/>
      <c r="EQ12" s="281"/>
      <c r="ER12" s="281"/>
      <c r="ES12" s="281"/>
      <c r="ET12" s="281"/>
      <c r="EU12" s="281"/>
      <c r="EV12" s="281"/>
      <c r="EW12" s="281"/>
      <c r="EX12" s="281"/>
      <c r="EY12" s="281"/>
      <c r="EZ12" s="281"/>
      <c r="FA12" s="281"/>
      <c r="FB12" s="281"/>
      <c r="FC12" s="281"/>
      <c r="FD12" s="281"/>
      <c r="FE12" s="281"/>
      <c r="FF12" s="281"/>
      <c r="FG12" s="281"/>
      <c r="FH12" s="281"/>
      <c r="FI12" s="281"/>
      <c r="FJ12" s="281"/>
      <c r="FK12" s="281"/>
      <c r="FL12" s="281"/>
      <c r="FM12" s="281"/>
      <c r="FN12" s="281"/>
      <c r="FO12" s="281"/>
      <c r="FP12" s="281"/>
      <c r="FQ12" s="281"/>
      <c r="FR12" s="281"/>
      <c r="FS12" s="281"/>
      <c r="FT12" s="281"/>
      <c r="FU12" s="281"/>
      <c r="FV12" s="281"/>
      <c r="FW12" s="281"/>
      <c r="FX12" s="281"/>
      <c r="FY12" s="281"/>
      <c r="FZ12" s="281"/>
      <c r="GA12" s="281"/>
      <c r="GB12" s="281"/>
      <c r="GC12" s="281"/>
      <c r="GD12" s="281"/>
      <c r="GE12" s="281"/>
      <c r="GF12" s="281"/>
      <c r="GG12" s="281"/>
      <c r="GH12" s="281"/>
      <c r="GI12" s="281"/>
      <c r="GJ12" s="281"/>
      <c r="GK12" s="281"/>
      <c r="GL12" s="281"/>
      <c r="GM12" s="281"/>
      <c r="GN12" s="281"/>
      <c r="GO12" s="281"/>
      <c r="GP12" s="281"/>
      <c r="GQ12" s="281"/>
      <c r="GR12" s="281"/>
      <c r="GS12" s="281"/>
      <c r="GT12" s="281"/>
      <c r="GU12" s="281"/>
      <c r="GV12" s="281"/>
      <c r="GW12" s="281"/>
      <c r="GX12" s="281"/>
      <c r="GY12" s="281"/>
      <c r="GZ12" s="281"/>
      <c r="HA12" s="281"/>
      <c r="HB12" s="281"/>
      <c r="HC12" s="281"/>
      <c r="HD12" s="281"/>
      <c r="HE12" s="281"/>
      <c r="HF12" s="281"/>
      <c r="HG12" s="281"/>
      <c r="HH12" s="281"/>
      <c r="HI12" s="281"/>
      <c r="HJ12" s="281"/>
      <c r="HK12" s="281"/>
      <c r="HL12" s="281"/>
      <c r="HM12" s="281"/>
      <c r="HN12" s="281"/>
      <c r="HO12" s="281"/>
      <c r="HP12" s="281"/>
      <c r="HQ12" s="281"/>
      <c r="HR12" s="281"/>
      <c r="HS12" s="281"/>
      <c r="HT12" s="281"/>
      <c r="HU12" s="281"/>
      <c r="HV12" s="281"/>
      <c r="HW12" s="281"/>
      <c r="HX12" s="281"/>
      <c r="HY12" s="281"/>
      <c r="HZ12" s="281"/>
      <c r="IA12" s="281"/>
      <c r="IB12" s="281"/>
      <c r="IC12" s="281"/>
      <c r="ID12" s="281"/>
      <c r="IE12" s="281"/>
      <c r="IF12" s="281"/>
      <c r="IG12" s="281"/>
      <c r="IH12" s="281"/>
      <c r="II12" s="281"/>
      <c r="IJ12" s="281"/>
      <c r="IK12" s="281"/>
      <c r="IL12" s="281"/>
      <c r="IM12" s="281"/>
      <c r="IN12" s="281"/>
      <c r="IO12" s="281"/>
      <c r="IP12" s="281"/>
      <c r="IQ12" s="281"/>
      <c r="IR12" s="281"/>
      <c r="IS12" s="281"/>
      <c r="IT12" s="281"/>
      <c r="IU12" s="281"/>
      <c r="IV12" s="281"/>
      <c r="IW12" s="281"/>
      <c r="IX12" s="281"/>
      <c r="IY12" s="281"/>
      <c r="IZ12" s="281"/>
      <c r="JA12" s="281"/>
      <c r="JB12" s="281"/>
      <c r="JC12" s="281"/>
      <c r="JD12" s="281"/>
      <c r="JE12" s="281"/>
      <c r="JF12" s="281"/>
      <c r="JG12" s="281"/>
      <c r="JH12" s="281"/>
      <c r="JI12" s="281"/>
      <c r="JJ12" s="281"/>
      <c r="JK12" s="281"/>
      <c r="JL12" s="281"/>
      <c r="JM12" s="281"/>
      <c r="JN12" s="281"/>
      <c r="JO12" s="281"/>
      <c r="JP12" s="281"/>
      <c r="JQ12" s="281"/>
      <c r="JR12" s="281"/>
      <c r="JS12" s="281"/>
      <c r="JT12" s="281"/>
      <c r="JU12" s="281"/>
      <c r="JV12" s="281"/>
      <c r="JW12" s="281"/>
      <c r="JX12" s="281"/>
      <c r="JY12" s="281"/>
      <c r="JZ12" s="281"/>
      <c r="KA12" s="281"/>
      <c r="KB12" s="281"/>
      <c r="KC12" s="281"/>
      <c r="KD12" s="281"/>
      <c r="KE12" s="281"/>
      <c r="KF12" s="281"/>
      <c r="KG12" s="281"/>
      <c r="KH12" s="281"/>
      <c r="KI12" s="281"/>
      <c r="KJ12" s="281"/>
      <c r="KK12" s="281"/>
      <c r="KL12" s="281"/>
      <c r="KM12" s="281"/>
      <c r="KN12" s="281"/>
      <c r="KO12" s="281"/>
      <c r="KP12" s="281"/>
      <c r="KQ12" s="281"/>
      <c r="KR12" s="281"/>
      <c r="KS12" s="281"/>
      <c r="KT12" s="281"/>
      <c r="KU12" s="281"/>
    </row>
    <row r="13" spans="1:307" s="271" customFormat="1" ht="24">
      <c r="A13" s="406"/>
      <c r="B13" s="278" t="s">
        <v>639</v>
      </c>
      <c r="C13" s="278" t="s">
        <v>640</v>
      </c>
      <c r="D13" s="278" t="s">
        <v>641</v>
      </c>
      <c r="E13" s="279" t="s">
        <v>642</v>
      </c>
      <c r="F13" s="279" t="s">
        <v>357</v>
      </c>
      <c r="G13" s="279"/>
      <c r="H13" s="279"/>
      <c r="I13" s="279" t="s">
        <v>57</v>
      </c>
      <c r="J13" s="278" t="s">
        <v>3317</v>
      </c>
      <c r="K13" s="278" t="s">
        <v>366</v>
      </c>
      <c r="L13" s="407"/>
      <c r="M13" s="280"/>
      <c r="N13" s="281"/>
      <c r="O13" s="281"/>
      <c r="P13" s="281"/>
      <c r="Q13" s="281"/>
      <c r="R13" s="281"/>
      <c r="S13" s="281"/>
      <c r="T13" s="281"/>
      <c r="U13" s="281"/>
      <c r="V13" s="281"/>
      <c r="W13" s="281"/>
      <c r="X13" s="281"/>
      <c r="Y13" s="281"/>
      <c r="Z13" s="281"/>
      <c r="AA13" s="281"/>
      <c r="AB13" s="281"/>
      <c r="AC13" s="281"/>
      <c r="AD13" s="281"/>
      <c r="AE13" s="281"/>
      <c r="AF13" s="281"/>
      <c r="AG13" s="281"/>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1"/>
      <c r="BD13" s="281"/>
      <c r="BE13" s="281"/>
      <c r="BF13" s="281"/>
      <c r="BG13" s="281"/>
      <c r="BH13" s="281"/>
      <c r="BI13" s="281"/>
      <c r="BJ13" s="281"/>
      <c r="BK13" s="281"/>
      <c r="BL13" s="281"/>
      <c r="BM13" s="281"/>
      <c r="BN13" s="281"/>
      <c r="BO13" s="281"/>
      <c r="BP13" s="281"/>
      <c r="BQ13" s="281"/>
      <c r="BR13" s="281"/>
      <c r="BS13" s="281"/>
      <c r="BT13" s="281"/>
      <c r="BU13" s="281"/>
      <c r="BV13" s="281"/>
      <c r="BW13" s="281"/>
      <c r="BX13" s="281"/>
      <c r="BY13" s="281"/>
      <c r="BZ13" s="281"/>
      <c r="CA13" s="281"/>
      <c r="CB13" s="281"/>
      <c r="CC13" s="281"/>
      <c r="CD13" s="281"/>
      <c r="CE13" s="281"/>
      <c r="CF13" s="281"/>
      <c r="CG13" s="281"/>
      <c r="CH13" s="281"/>
      <c r="CI13" s="281"/>
      <c r="CJ13" s="281"/>
      <c r="CK13" s="281"/>
      <c r="CL13" s="281"/>
      <c r="CM13" s="281"/>
      <c r="CN13" s="281"/>
      <c r="CO13" s="281"/>
      <c r="CP13" s="281"/>
      <c r="CQ13" s="281"/>
      <c r="CR13" s="281"/>
      <c r="CS13" s="281"/>
      <c r="CT13" s="281"/>
      <c r="CU13" s="281"/>
      <c r="CV13" s="281"/>
      <c r="CW13" s="281"/>
      <c r="CX13" s="281"/>
      <c r="CY13" s="281"/>
      <c r="CZ13" s="281"/>
      <c r="DA13" s="281"/>
      <c r="DB13" s="281"/>
      <c r="DC13" s="281"/>
      <c r="DD13" s="281"/>
      <c r="DE13" s="281"/>
      <c r="DF13" s="281"/>
      <c r="DG13" s="281"/>
      <c r="DH13" s="281"/>
      <c r="DI13" s="281"/>
      <c r="DJ13" s="281"/>
      <c r="DK13" s="281"/>
      <c r="DL13" s="281"/>
      <c r="DM13" s="281"/>
      <c r="DN13" s="281"/>
      <c r="DO13" s="281"/>
      <c r="DP13" s="281"/>
      <c r="DQ13" s="281"/>
      <c r="DR13" s="281"/>
      <c r="DS13" s="281"/>
      <c r="DT13" s="281"/>
      <c r="DU13" s="281"/>
      <c r="DV13" s="281"/>
      <c r="DW13" s="281"/>
      <c r="DX13" s="281"/>
      <c r="DY13" s="281"/>
      <c r="DZ13" s="281"/>
      <c r="EA13" s="281"/>
      <c r="EB13" s="281"/>
      <c r="EC13" s="281"/>
      <c r="ED13" s="281"/>
      <c r="EE13" s="281"/>
      <c r="EF13" s="281"/>
      <c r="EG13" s="281"/>
      <c r="EH13" s="281"/>
      <c r="EI13" s="281"/>
      <c r="EJ13" s="281"/>
      <c r="EK13" s="281"/>
      <c r="EL13" s="281"/>
      <c r="EM13" s="281"/>
      <c r="EN13" s="281"/>
      <c r="EO13" s="281"/>
      <c r="EP13" s="281"/>
      <c r="EQ13" s="281"/>
      <c r="ER13" s="281"/>
      <c r="ES13" s="281"/>
      <c r="ET13" s="281"/>
      <c r="EU13" s="281"/>
      <c r="EV13" s="281"/>
      <c r="EW13" s="281"/>
      <c r="EX13" s="281"/>
      <c r="EY13" s="281"/>
      <c r="EZ13" s="281"/>
      <c r="FA13" s="281"/>
      <c r="FB13" s="281"/>
      <c r="FC13" s="281"/>
      <c r="FD13" s="281"/>
      <c r="FE13" s="281"/>
      <c r="FF13" s="281"/>
      <c r="FG13" s="281"/>
      <c r="FH13" s="281"/>
      <c r="FI13" s="281"/>
      <c r="FJ13" s="281"/>
      <c r="FK13" s="281"/>
      <c r="FL13" s="281"/>
      <c r="FM13" s="281"/>
      <c r="FN13" s="281"/>
      <c r="FO13" s="281"/>
      <c r="FP13" s="281"/>
      <c r="FQ13" s="281"/>
      <c r="FR13" s="281"/>
      <c r="FS13" s="281"/>
      <c r="FT13" s="281"/>
      <c r="FU13" s="281"/>
      <c r="FV13" s="281"/>
      <c r="FW13" s="281"/>
      <c r="FX13" s="281"/>
      <c r="FY13" s="281"/>
      <c r="FZ13" s="281"/>
      <c r="GA13" s="281"/>
      <c r="GB13" s="281"/>
      <c r="GC13" s="281"/>
      <c r="GD13" s="281"/>
      <c r="GE13" s="281"/>
      <c r="GF13" s="281"/>
      <c r="GG13" s="281"/>
      <c r="GH13" s="281"/>
      <c r="GI13" s="281"/>
      <c r="GJ13" s="281"/>
      <c r="GK13" s="281"/>
      <c r="GL13" s="281"/>
      <c r="GM13" s="281"/>
      <c r="GN13" s="281"/>
      <c r="GO13" s="281"/>
      <c r="GP13" s="281"/>
      <c r="GQ13" s="281"/>
      <c r="GR13" s="281"/>
      <c r="GS13" s="281"/>
      <c r="GT13" s="281"/>
      <c r="GU13" s="281"/>
      <c r="GV13" s="281"/>
      <c r="GW13" s="281"/>
      <c r="GX13" s="281"/>
      <c r="GY13" s="281"/>
      <c r="GZ13" s="281"/>
      <c r="HA13" s="281"/>
      <c r="HB13" s="281"/>
      <c r="HC13" s="281"/>
      <c r="HD13" s="281"/>
      <c r="HE13" s="281"/>
      <c r="HF13" s="281"/>
      <c r="HG13" s="281"/>
      <c r="HH13" s="281"/>
      <c r="HI13" s="281"/>
      <c r="HJ13" s="281"/>
      <c r="HK13" s="281"/>
      <c r="HL13" s="281"/>
      <c r="HM13" s="281"/>
      <c r="HN13" s="281"/>
      <c r="HO13" s="281"/>
      <c r="HP13" s="281"/>
      <c r="HQ13" s="281"/>
      <c r="HR13" s="281"/>
      <c r="HS13" s="281"/>
      <c r="HT13" s="281"/>
      <c r="HU13" s="281"/>
      <c r="HV13" s="281"/>
      <c r="HW13" s="281"/>
      <c r="HX13" s="281"/>
      <c r="HY13" s="281"/>
      <c r="HZ13" s="281"/>
      <c r="IA13" s="281"/>
      <c r="IB13" s="281"/>
      <c r="IC13" s="281"/>
      <c r="ID13" s="281"/>
      <c r="IE13" s="281"/>
      <c r="IF13" s="281"/>
      <c r="IG13" s="281"/>
      <c r="IH13" s="281"/>
      <c r="II13" s="281"/>
      <c r="IJ13" s="281"/>
      <c r="IK13" s="281"/>
      <c r="IL13" s="281"/>
      <c r="IM13" s="281"/>
      <c r="IN13" s="281"/>
      <c r="IO13" s="281"/>
      <c r="IP13" s="281"/>
      <c r="IQ13" s="281"/>
      <c r="IR13" s="281"/>
      <c r="IS13" s="281"/>
      <c r="IT13" s="281"/>
      <c r="IU13" s="281"/>
      <c r="IV13" s="281"/>
      <c r="IW13" s="281"/>
      <c r="IX13" s="281"/>
      <c r="IY13" s="281"/>
      <c r="IZ13" s="281"/>
      <c r="JA13" s="281"/>
      <c r="JB13" s="281"/>
      <c r="JC13" s="281"/>
      <c r="JD13" s="281"/>
      <c r="JE13" s="281"/>
      <c r="JF13" s="281"/>
      <c r="JG13" s="281"/>
      <c r="JH13" s="281"/>
      <c r="JI13" s="281"/>
      <c r="JJ13" s="281"/>
      <c r="JK13" s="281"/>
      <c r="JL13" s="281"/>
      <c r="JM13" s="281"/>
      <c r="JN13" s="281"/>
      <c r="JO13" s="281"/>
      <c r="JP13" s="281"/>
      <c r="JQ13" s="281"/>
      <c r="JR13" s="281"/>
      <c r="JS13" s="281"/>
      <c r="JT13" s="281"/>
      <c r="JU13" s="281"/>
      <c r="JV13" s="281"/>
      <c r="JW13" s="281"/>
      <c r="JX13" s="281"/>
      <c r="JY13" s="281"/>
      <c r="JZ13" s="281"/>
      <c r="KA13" s="281"/>
      <c r="KB13" s="281"/>
      <c r="KC13" s="281"/>
      <c r="KD13" s="281"/>
      <c r="KE13" s="281"/>
      <c r="KF13" s="281"/>
      <c r="KG13" s="281"/>
      <c r="KH13" s="281"/>
      <c r="KI13" s="281"/>
      <c r="KJ13" s="281"/>
      <c r="KK13" s="281"/>
      <c r="KL13" s="281"/>
      <c r="KM13" s="281"/>
      <c r="KN13" s="281"/>
      <c r="KO13" s="281"/>
      <c r="KP13" s="281"/>
      <c r="KQ13" s="281"/>
      <c r="KR13" s="281"/>
      <c r="KS13" s="281"/>
      <c r="KT13" s="281"/>
      <c r="KU13" s="281"/>
    </row>
    <row r="14" spans="1:307" s="271" customFormat="1" ht="24">
      <c r="A14" s="406"/>
      <c r="B14" s="278" t="s">
        <v>643</v>
      </c>
      <c r="C14" s="278" t="s">
        <v>644</v>
      </c>
      <c r="D14" s="278" t="s">
        <v>645</v>
      </c>
      <c r="E14" s="279" t="s">
        <v>646</v>
      </c>
      <c r="F14" s="279" t="s">
        <v>357</v>
      </c>
      <c r="G14" s="279"/>
      <c r="H14" s="279"/>
      <c r="I14" s="279" t="s">
        <v>57</v>
      </c>
      <c r="J14" s="278" t="s">
        <v>440</v>
      </c>
      <c r="K14" s="278" t="s">
        <v>366</v>
      </c>
      <c r="L14" s="407"/>
      <c r="M14" s="280"/>
      <c r="N14" s="281"/>
      <c r="O14" s="281"/>
      <c r="P14" s="281"/>
      <c r="Q14" s="281"/>
      <c r="R14" s="281"/>
      <c r="S14" s="281"/>
      <c r="T14" s="281"/>
      <c r="U14" s="281"/>
      <c r="V14" s="281"/>
      <c r="W14" s="281"/>
      <c r="X14" s="281"/>
      <c r="Y14" s="281"/>
      <c r="Z14" s="281"/>
      <c r="AA14" s="281"/>
      <c r="AB14" s="281"/>
      <c r="AC14" s="281"/>
      <c r="AD14" s="281"/>
      <c r="AE14" s="281"/>
      <c r="AF14" s="281"/>
      <c r="AG14" s="281"/>
      <c r="AH14" s="281"/>
      <c r="AI14" s="281"/>
      <c r="AJ14" s="281"/>
      <c r="AK14" s="281"/>
      <c r="AL14" s="281"/>
      <c r="AM14" s="281"/>
      <c r="AN14" s="281"/>
      <c r="AO14" s="281"/>
      <c r="AP14" s="281"/>
      <c r="AQ14" s="281"/>
      <c r="AR14" s="281"/>
      <c r="AS14" s="281"/>
      <c r="AT14" s="281"/>
      <c r="AU14" s="281"/>
      <c r="AV14" s="281"/>
      <c r="AW14" s="281"/>
      <c r="AX14" s="281"/>
      <c r="AY14" s="281"/>
      <c r="AZ14" s="281"/>
      <c r="BA14" s="281"/>
      <c r="BB14" s="281"/>
      <c r="BC14" s="281"/>
      <c r="BD14" s="281"/>
      <c r="BE14" s="281"/>
      <c r="BF14" s="281"/>
      <c r="BG14" s="281"/>
      <c r="BH14" s="281"/>
      <c r="BI14" s="281"/>
      <c r="BJ14" s="281"/>
      <c r="BK14" s="281"/>
      <c r="BL14" s="281"/>
      <c r="BM14" s="281"/>
      <c r="BN14" s="281"/>
      <c r="BO14" s="281"/>
      <c r="BP14" s="281"/>
      <c r="BQ14" s="281"/>
      <c r="BR14" s="281"/>
      <c r="BS14" s="281"/>
      <c r="BT14" s="281"/>
      <c r="BU14" s="281"/>
      <c r="BV14" s="281"/>
      <c r="BW14" s="281"/>
      <c r="BX14" s="281"/>
      <c r="BY14" s="281"/>
      <c r="BZ14" s="281"/>
      <c r="CA14" s="281"/>
      <c r="CB14" s="281"/>
      <c r="CC14" s="281"/>
      <c r="CD14" s="281"/>
      <c r="CE14" s="281"/>
      <c r="CF14" s="281"/>
      <c r="CG14" s="281"/>
      <c r="CH14" s="281"/>
      <c r="CI14" s="281"/>
      <c r="CJ14" s="281"/>
      <c r="CK14" s="281"/>
      <c r="CL14" s="281"/>
      <c r="CM14" s="281"/>
      <c r="CN14" s="281"/>
      <c r="CO14" s="281"/>
      <c r="CP14" s="281"/>
      <c r="CQ14" s="281"/>
      <c r="CR14" s="281"/>
      <c r="CS14" s="281"/>
      <c r="CT14" s="281"/>
      <c r="CU14" s="281"/>
      <c r="CV14" s="281"/>
      <c r="CW14" s="281"/>
      <c r="CX14" s="281"/>
      <c r="CY14" s="281"/>
      <c r="CZ14" s="281"/>
      <c r="DA14" s="281"/>
      <c r="DB14" s="281"/>
      <c r="DC14" s="281"/>
      <c r="DD14" s="281"/>
      <c r="DE14" s="281"/>
      <c r="DF14" s="281"/>
      <c r="DG14" s="281"/>
      <c r="DH14" s="281"/>
      <c r="DI14" s="281"/>
      <c r="DJ14" s="281"/>
      <c r="DK14" s="281"/>
      <c r="DL14" s="281"/>
      <c r="DM14" s="281"/>
      <c r="DN14" s="281"/>
      <c r="DO14" s="281"/>
      <c r="DP14" s="281"/>
      <c r="DQ14" s="281"/>
      <c r="DR14" s="281"/>
      <c r="DS14" s="281"/>
      <c r="DT14" s="281"/>
      <c r="DU14" s="281"/>
      <c r="DV14" s="281"/>
      <c r="DW14" s="281"/>
      <c r="DX14" s="281"/>
      <c r="DY14" s="281"/>
      <c r="DZ14" s="281"/>
      <c r="EA14" s="281"/>
      <c r="EB14" s="281"/>
      <c r="EC14" s="281"/>
      <c r="ED14" s="281"/>
      <c r="EE14" s="281"/>
      <c r="EF14" s="281"/>
      <c r="EG14" s="281"/>
      <c r="EH14" s="281"/>
      <c r="EI14" s="281"/>
      <c r="EJ14" s="281"/>
      <c r="EK14" s="281"/>
      <c r="EL14" s="281"/>
      <c r="EM14" s="281"/>
      <c r="EN14" s="281"/>
      <c r="EO14" s="281"/>
      <c r="EP14" s="281"/>
      <c r="EQ14" s="281"/>
      <c r="ER14" s="281"/>
      <c r="ES14" s="281"/>
      <c r="ET14" s="281"/>
      <c r="EU14" s="281"/>
      <c r="EV14" s="281"/>
      <c r="EW14" s="281"/>
      <c r="EX14" s="281"/>
      <c r="EY14" s="281"/>
      <c r="EZ14" s="281"/>
      <c r="FA14" s="281"/>
      <c r="FB14" s="281"/>
      <c r="FC14" s="281"/>
      <c r="FD14" s="281"/>
      <c r="FE14" s="281"/>
      <c r="FF14" s="281"/>
      <c r="FG14" s="281"/>
      <c r="FH14" s="281"/>
      <c r="FI14" s="281"/>
      <c r="FJ14" s="281"/>
      <c r="FK14" s="281"/>
      <c r="FL14" s="281"/>
      <c r="FM14" s="281"/>
      <c r="FN14" s="281"/>
      <c r="FO14" s="281"/>
      <c r="FP14" s="281"/>
      <c r="FQ14" s="281"/>
      <c r="FR14" s="281"/>
      <c r="FS14" s="281"/>
      <c r="FT14" s="281"/>
      <c r="FU14" s="281"/>
      <c r="FV14" s="281"/>
      <c r="FW14" s="281"/>
      <c r="FX14" s="281"/>
      <c r="FY14" s="281"/>
      <c r="FZ14" s="281"/>
      <c r="GA14" s="281"/>
      <c r="GB14" s="281"/>
      <c r="GC14" s="281"/>
      <c r="GD14" s="281"/>
      <c r="GE14" s="281"/>
      <c r="GF14" s="281"/>
      <c r="GG14" s="281"/>
      <c r="GH14" s="281"/>
      <c r="GI14" s="281"/>
      <c r="GJ14" s="281"/>
      <c r="GK14" s="281"/>
      <c r="GL14" s="281"/>
      <c r="GM14" s="281"/>
      <c r="GN14" s="281"/>
      <c r="GO14" s="281"/>
      <c r="GP14" s="281"/>
      <c r="GQ14" s="281"/>
      <c r="GR14" s="281"/>
      <c r="GS14" s="281"/>
      <c r="GT14" s="281"/>
      <c r="GU14" s="281"/>
      <c r="GV14" s="281"/>
      <c r="GW14" s="281"/>
      <c r="GX14" s="281"/>
      <c r="GY14" s="281"/>
      <c r="GZ14" s="281"/>
      <c r="HA14" s="281"/>
      <c r="HB14" s="281"/>
      <c r="HC14" s="281"/>
      <c r="HD14" s="281"/>
      <c r="HE14" s="281"/>
      <c r="HF14" s="281"/>
      <c r="HG14" s="281"/>
      <c r="HH14" s="281"/>
      <c r="HI14" s="281"/>
      <c r="HJ14" s="281"/>
      <c r="HK14" s="281"/>
      <c r="HL14" s="281"/>
      <c r="HM14" s="281"/>
      <c r="HN14" s="281"/>
      <c r="HO14" s="281"/>
      <c r="HP14" s="281"/>
      <c r="HQ14" s="281"/>
      <c r="HR14" s="281"/>
      <c r="HS14" s="281"/>
      <c r="HT14" s="281"/>
      <c r="HU14" s="281"/>
      <c r="HV14" s="281"/>
      <c r="HW14" s="281"/>
      <c r="HX14" s="281"/>
      <c r="HY14" s="281"/>
      <c r="HZ14" s="281"/>
      <c r="IA14" s="281"/>
      <c r="IB14" s="281"/>
      <c r="IC14" s="281"/>
      <c r="ID14" s="281"/>
      <c r="IE14" s="281"/>
      <c r="IF14" s="281"/>
      <c r="IG14" s="281"/>
      <c r="IH14" s="281"/>
      <c r="II14" s="281"/>
      <c r="IJ14" s="281"/>
      <c r="IK14" s="281"/>
      <c r="IL14" s="281"/>
      <c r="IM14" s="281"/>
      <c r="IN14" s="281"/>
      <c r="IO14" s="281"/>
      <c r="IP14" s="281"/>
      <c r="IQ14" s="281"/>
      <c r="IR14" s="281"/>
      <c r="IS14" s="281"/>
      <c r="IT14" s="281"/>
      <c r="IU14" s="281"/>
      <c r="IV14" s="281"/>
      <c r="IW14" s="281"/>
      <c r="IX14" s="281"/>
      <c r="IY14" s="281"/>
      <c r="IZ14" s="281"/>
      <c r="JA14" s="281"/>
      <c r="JB14" s="281"/>
      <c r="JC14" s="281"/>
      <c r="JD14" s="281"/>
      <c r="JE14" s="281"/>
      <c r="JF14" s="281"/>
      <c r="JG14" s="281"/>
      <c r="JH14" s="281"/>
      <c r="JI14" s="281"/>
      <c r="JJ14" s="281"/>
      <c r="JK14" s="281"/>
      <c r="JL14" s="281"/>
      <c r="JM14" s="281"/>
      <c r="JN14" s="281"/>
      <c r="JO14" s="281"/>
      <c r="JP14" s="281"/>
      <c r="JQ14" s="281"/>
      <c r="JR14" s="281"/>
      <c r="JS14" s="281"/>
      <c r="JT14" s="281"/>
      <c r="JU14" s="281"/>
      <c r="JV14" s="281"/>
      <c r="JW14" s="281"/>
      <c r="JX14" s="281"/>
      <c r="JY14" s="281"/>
      <c r="JZ14" s="281"/>
      <c r="KA14" s="281"/>
      <c r="KB14" s="281"/>
      <c r="KC14" s="281"/>
      <c r="KD14" s="281"/>
      <c r="KE14" s="281"/>
      <c r="KF14" s="281"/>
      <c r="KG14" s="281"/>
      <c r="KH14" s="281"/>
      <c r="KI14" s="281"/>
      <c r="KJ14" s="281"/>
      <c r="KK14" s="281"/>
      <c r="KL14" s="281"/>
      <c r="KM14" s="281"/>
      <c r="KN14" s="281"/>
      <c r="KO14" s="281"/>
      <c r="KP14" s="281"/>
      <c r="KQ14" s="281"/>
      <c r="KR14" s="281"/>
      <c r="KS14" s="281"/>
      <c r="KT14" s="281"/>
      <c r="KU14" s="281"/>
    </row>
    <row r="15" spans="1:307" s="271" customFormat="1" ht="24">
      <c r="A15" s="406"/>
      <c r="B15" s="278" t="s">
        <v>647</v>
      </c>
      <c r="C15" s="278" t="s">
        <v>648</v>
      </c>
      <c r="D15" s="278" t="s">
        <v>649</v>
      </c>
      <c r="E15" s="279" t="s">
        <v>650</v>
      </c>
      <c r="F15" s="279" t="s">
        <v>357</v>
      </c>
      <c r="G15" s="279"/>
      <c r="H15" s="279"/>
      <c r="I15" s="279" t="s">
        <v>57</v>
      </c>
      <c r="J15" s="278" t="s">
        <v>440</v>
      </c>
      <c r="K15" s="278" t="s">
        <v>366</v>
      </c>
      <c r="L15" s="407"/>
      <c r="M15" s="280"/>
      <c r="N15" s="281"/>
      <c r="O15" s="281"/>
      <c r="P15" s="281"/>
      <c r="Q15" s="281"/>
      <c r="R15" s="281"/>
      <c r="S15" s="281"/>
      <c r="T15" s="281"/>
      <c r="U15" s="281"/>
      <c r="V15" s="281"/>
      <c r="W15" s="281"/>
      <c r="X15" s="281"/>
      <c r="Y15" s="281"/>
      <c r="Z15" s="281"/>
      <c r="AA15" s="281"/>
      <c r="AB15" s="281"/>
      <c r="AC15" s="281"/>
      <c r="AD15" s="281"/>
      <c r="AE15" s="281"/>
      <c r="AF15" s="281"/>
      <c r="AG15" s="281"/>
      <c r="AH15" s="281"/>
      <c r="AI15" s="281"/>
      <c r="AJ15" s="281"/>
      <c r="AK15" s="281"/>
      <c r="AL15" s="281"/>
      <c r="AM15" s="281"/>
      <c r="AN15" s="281"/>
      <c r="AO15" s="281"/>
      <c r="AP15" s="281"/>
      <c r="AQ15" s="281"/>
      <c r="AR15" s="281"/>
      <c r="AS15" s="281"/>
      <c r="AT15" s="281"/>
      <c r="AU15" s="281"/>
      <c r="AV15" s="281"/>
      <c r="AW15" s="281"/>
      <c r="AX15" s="281"/>
      <c r="AY15" s="281"/>
      <c r="AZ15" s="281"/>
      <c r="BA15" s="281"/>
      <c r="BB15" s="281"/>
      <c r="BC15" s="281"/>
      <c r="BD15" s="281"/>
      <c r="BE15" s="281"/>
      <c r="BF15" s="281"/>
      <c r="BG15" s="281"/>
      <c r="BH15" s="281"/>
      <c r="BI15" s="281"/>
      <c r="BJ15" s="281"/>
      <c r="BK15" s="281"/>
      <c r="BL15" s="281"/>
      <c r="BM15" s="281"/>
      <c r="BN15" s="281"/>
      <c r="BO15" s="281"/>
      <c r="BP15" s="281"/>
      <c r="BQ15" s="281"/>
      <c r="BR15" s="281"/>
      <c r="BS15" s="281"/>
      <c r="BT15" s="281"/>
      <c r="BU15" s="281"/>
      <c r="BV15" s="281"/>
      <c r="BW15" s="281"/>
      <c r="BX15" s="281"/>
      <c r="BY15" s="281"/>
      <c r="BZ15" s="281"/>
      <c r="CA15" s="281"/>
      <c r="CB15" s="281"/>
      <c r="CC15" s="281"/>
      <c r="CD15" s="281"/>
      <c r="CE15" s="281"/>
      <c r="CF15" s="281"/>
      <c r="CG15" s="281"/>
      <c r="CH15" s="281"/>
      <c r="CI15" s="281"/>
      <c r="CJ15" s="281"/>
      <c r="CK15" s="281"/>
      <c r="CL15" s="281"/>
      <c r="CM15" s="281"/>
      <c r="CN15" s="281"/>
      <c r="CO15" s="281"/>
      <c r="CP15" s="281"/>
      <c r="CQ15" s="281"/>
      <c r="CR15" s="281"/>
      <c r="CS15" s="281"/>
      <c r="CT15" s="281"/>
      <c r="CU15" s="281"/>
      <c r="CV15" s="281"/>
      <c r="CW15" s="281"/>
      <c r="CX15" s="281"/>
      <c r="CY15" s="281"/>
      <c r="CZ15" s="281"/>
      <c r="DA15" s="281"/>
      <c r="DB15" s="281"/>
      <c r="DC15" s="281"/>
      <c r="DD15" s="281"/>
      <c r="DE15" s="281"/>
      <c r="DF15" s="281"/>
      <c r="DG15" s="281"/>
      <c r="DH15" s="281"/>
      <c r="DI15" s="281"/>
      <c r="DJ15" s="281"/>
      <c r="DK15" s="281"/>
      <c r="DL15" s="281"/>
      <c r="DM15" s="281"/>
      <c r="DN15" s="281"/>
      <c r="DO15" s="281"/>
      <c r="DP15" s="281"/>
      <c r="DQ15" s="281"/>
      <c r="DR15" s="281"/>
      <c r="DS15" s="281"/>
      <c r="DT15" s="281"/>
      <c r="DU15" s="281"/>
      <c r="DV15" s="281"/>
      <c r="DW15" s="281"/>
      <c r="DX15" s="281"/>
      <c r="DY15" s="281"/>
      <c r="DZ15" s="281"/>
      <c r="EA15" s="281"/>
      <c r="EB15" s="281"/>
      <c r="EC15" s="281"/>
      <c r="ED15" s="281"/>
      <c r="EE15" s="281"/>
      <c r="EF15" s="281"/>
      <c r="EG15" s="281"/>
      <c r="EH15" s="281"/>
      <c r="EI15" s="281"/>
      <c r="EJ15" s="281"/>
      <c r="EK15" s="281"/>
      <c r="EL15" s="281"/>
      <c r="EM15" s="281"/>
      <c r="EN15" s="281"/>
      <c r="EO15" s="281"/>
      <c r="EP15" s="281"/>
      <c r="EQ15" s="281"/>
      <c r="ER15" s="281"/>
      <c r="ES15" s="281"/>
      <c r="ET15" s="281"/>
      <c r="EU15" s="281"/>
      <c r="EV15" s="281"/>
      <c r="EW15" s="281"/>
      <c r="EX15" s="281"/>
      <c r="EY15" s="281"/>
      <c r="EZ15" s="281"/>
      <c r="FA15" s="281"/>
      <c r="FB15" s="281"/>
      <c r="FC15" s="281"/>
      <c r="FD15" s="281"/>
      <c r="FE15" s="281"/>
      <c r="FF15" s="281"/>
      <c r="FG15" s="281"/>
      <c r="FH15" s="281"/>
      <c r="FI15" s="281"/>
      <c r="FJ15" s="281"/>
      <c r="FK15" s="281"/>
      <c r="FL15" s="281"/>
      <c r="FM15" s="281"/>
      <c r="FN15" s="281"/>
      <c r="FO15" s="281"/>
      <c r="FP15" s="281"/>
      <c r="FQ15" s="281"/>
      <c r="FR15" s="281"/>
      <c r="FS15" s="281"/>
      <c r="FT15" s="281"/>
      <c r="FU15" s="281"/>
      <c r="FV15" s="281"/>
      <c r="FW15" s="281"/>
      <c r="FX15" s="281"/>
      <c r="FY15" s="281"/>
      <c r="FZ15" s="281"/>
      <c r="GA15" s="281"/>
      <c r="GB15" s="281"/>
      <c r="GC15" s="281"/>
      <c r="GD15" s="281"/>
      <c r="GE15" s="281"/>
      <c r="GF15" s="281"/>
      <c r="GG15" s="281"/>
      <c r="GH15" s="281"/>
      <c r="GI15" s="281"/>
      <c r="GJ15" s="281"/>
      <c r="GK15" s="281"/>
      <c r="GL15" s="281"/>
      <c r="GM15" s="281"/>
      <c r="GN15" s="281"/>
      <c r="GO15" s="281"/>
      <c r="GP15" s="281"/>
      <c r="GQ15" s="281"/>
      <c r="GR15" s="281"/>
      <c r="GS15" s="281"/>
      <c r="GT15" s="281"/>
      <c r="GU15" s="281"/>
      <c r="GV15" s="281"/>
      <c r="GW15" s="281"/>
      <c r="GX15" s="281"/>
      <c r="GY15" s="281"/>
      <c r="GZ15" s="281"/>
      <c r="HA15" s="281"/>
      <c r="HB15" s="281"/>
      <c r="HC15" s="281"/>
      <c r="HD15" s="281"/>
      <c r="HE15" s="281"/>
      <c r="HF15" s="281"/>
      <c r="HG15" s="281"/>
      <c r="HH15" s="281"/>
      <c r="HI15" s="281"/>
      <c r="HJ15" s="281"/>
      <c r="HK15" s="281"/>
      <c r="HL15" s="281"/>
      <c r="HM15" s="281"/>
      <c r="HN15" s="281"/>
      <c r="HO15" s="281"/>
      <c r="HP15" s="281"/>
      <c r="HQ15" s="281"/>
      <c r="HR15" s="281"/>
      <c r="HS15" s="281"/>
      <c r="HT15" s="281"/>
      <c r="HU15" s="281"/>
      <c r="HV15" s="281"/>
      <c r="HW15" s="281"/>
      <c r="HX15" s="281"/>
      <c r="HY15" s="281"/>
      <c r="HZ15" s="281"/>
      <c r="IA15" s="281"/>
      <c r="IB15" s="281"/>
      <c r="IC15" s="281"/>
      <c r="ID15" s="281"/>
      <c r="IE15" s="281"/>
      <c r="IF15" s="281"/>
      <c r="IG15" s="281"/>
      <c r="IH15" s="281"/>
      <c r="II15" s="281"/>
      <c r="IJ15" s="281"/>
      <c r="IK15" s="281"/>
      <c r="IL15" s="281"/>
      <c r="IM15" s="281"/>
      <c r="IN15" s="281"/>
      <c r="IO15" s="281"/>
      <c r="IP15" s="281"/>
      <c r="IQ15" s="281"/>
      <c r="IR15" s="281"/>
      <c r="IS15" s="281"/>
      <c r="IT15" s="281"/>
      <c r="IU15" s="281"/>
      <c r="IV15" s="281"/>
      <c r="IW15" s="281"/>
      <c r="IX15" s="281"/>
      <c r="IY15" s="281"/>
      <c r="IZ15" s="281"/>
      <c r="JA15" s="281"/>
      <c r="JB15" s="281"/>
      <c r="JC15" s="281"/>
      <c r="JD15" s="281"/>
      <c r="JE15" s="281"/>
      <c r="JF15" s="281"/>
      <c r="JG15" s="281"/>
      <c r="JH15" s="281"/>
      <c r="JI15" s="281"/>
      <c r="JJ15" s="281"/>
      <c r="JK15" s="281"/>
      <c r="JL15" s="281"/>
      <c r="JM15" s="281"/>
      <c r="JN15" s="281"/>
      <c r="JO15" s="281"/>
      <c r="JP15" s="281"/>
      <c r="JQ15" s="281"/>
      <c r="JR15" s="281"/>
      <c r="JS15" s="281"/>
      <c r="JT15" s="281"/>
      <c r="JU15" s="281"/>
      <c r="JV15" s="281"/>
      <c r="JW15" s="281"/>
      <c r="JX15" s="281"/>
      <c r="JY15" s="281"/>
      <c r="JZ15" s="281"/>
      <c r="KA15" s="281"/>
      <c r="KB15" s="281"/>
      <c r="KC15" s="281"/>
      <c r="KD15" s="281"/>
      <c r="KE15" s="281"/>
      <c r="KF15" s="281"/>
      <c r="KG15" s="281"/>
      <c r="KH15" s="281"/>
      <c r="KI15" s="281"/>
      <c r="KJ15" s="281"/>
      <c r="KK15" s="281"/>
      <c r="KL15" s="281"/>
      <c r="KM15" s="281"/>
      <c r="KN15" s="281"/>
      <c r="KO15" s="281"/>
      <c r="KP15" s="281"/>
      <c r="KQ15" s="281"/>
      <c r="KR15" s="281"/>
      <c r="KS15" s="281"/>
      <c r="KT15" s="281"/>
      <c r="KU15" s="281"/>
    </row>
    <row r="16" spans="1:307" s="271" customFormat="1" ht="96">
      <c r="A16" s="406"/>
      <c r="B16" s="278" t="s">
        <v>3306</v>
      </c>
      <c r="C16" s="278" t="s">
        <v>3307</v>
      </c>
      <c r="D16" s="278" t="s">
        <v>3308</v>
      </c>
      <c r="E16" s="279" t="s">
        <v>3309</v>
      </c>
      <c r="F16" s="279" t="s">
        <v>357</v>
      </c>
      <c r="G16" s="359" t="s">
        <v>366</v>
      </c>
      <c r="H16" s="359" t="s">
        <v>366</v>
      </c>
      <c r="I16" s="279" t="s">
        <v>57</v>
      </c>
      <c r="J16" s="278" t="s">
        <v>451</v>
      </c>
      <c r="K16" s="278" t="s">
        <v>3310</v>
      </c>
      <c r="L16" s="407"/>
      <c r="M16" s="376"/>
      <c r="N16" s="281"/>
      <c r="O16" s="281"/>
      <c r="P16" s="281"/>
      <c r="Q16" s="281"/>
      <c r="R16" s="281"/>
      <c r="S16" s="281"/>
      <c r="T16" s="281"/>
      <c r="U16" s="281"/>
      <c r="V16" s="281"/>
      <c r="W16" s="281"/>
      <c r="X16" s="281"/>
      <c r="Y16" s="281"/>
      <c r="Z16" s="281"/>
      <c r="AA16" s="281"/>
      <c r="AB16" s="281"/>
      <c r="AC16" s="281"/>
      <c r="AD16" s="281"/>
      <c r="AE16" s="281"/>
      <c r="AF16" s="281"/>
      <c r="AG16" s="281"/>
      <c r="AH16" s="281"/>
      <c r="AI16" s="281"/>
      <c r="AJ16" s="281"/>
      <c r="AK16" s="281"/>
      <c r="AL16" s="281"/>
      <c r="AM16" s="281"/>
      <c r="AN16" s="281"/>
      <c r="AO16" s="281"/>
      <c r="AP16" s="281"/>
      <c r="AQ16" s="281"/>
      <c r="AR16" s="281"/>
      <c r="AS16" s="281"/>
      <c r="AT16" s="281"/>
      <c r="AU16" s="281"/>
      <c r="AV16" s="281"/>
      <c r="AW16" s="281"/>
      <c r="AX16" s="281"/>
      <c r="AY16" s="281"/>
      <c r="AZ16" s="281"/>
      <c r="BA16" s="281"/>
      <c r="BB16" s="281"/>
      <c r="BC16" s="281"/>
      <c r="BD16" s="281"/>
      <c r="BE16" s="281"/>
      <c r="BF16" s="281"/>
      <c r="BG16" s="281"/>
      <c r="BH16" s="281"/>
      <c r="BI16" s="281"/>
      <c r="BJ16" s="281"/>
      <c r="BK16" s="281"/>
      <c r="BL16" s="281"/>
      <c r="BM16" s="281"/>
      <c r="BN16" s="281"/>
      <c r="BO16" s="281"/>
      <c r="BP16" s="281"/>
      <c r="BQ16" s="281"/>
      <c r="BR16" s="281"/>
      <c r="BS16" s="281"/>
      <c r="BT16" s="281"/>
      <c r="BU16" s="281"/>
      <c r="BV16" s="281"/>
      <c r="BW16" s="281"/>
      <c r="BX16" s="281"/>
      <c r="BY16" s="281"/>
      <c r="BZ16" s="281"/>
      <c r="CA16" s="281"/>
      <c r="CB16" s="281"/>
      <c r="CC16" s="281"/>
      <c r="CD16" s="281"/>
      <c r="CE16" s="281"/>
      <c r="CF16" s="281"/>
      <c r="CG16" s="281"/>
      <c r="CH16" s="281"/>
      <c r="CI16" s="281"/>
      <c r="CJ16" s="281"/>
      <c r="CK16" s="281"/>
      <c r="CL16" s="281"/>
      <c r="CM16" s="281"/>
      <c r="CN16" s="281"/>
      <c r="CO16" s="281"/>
      <c r="CP16" s="281"/>
      <c r="CQ16" s="281"/>
      <c r="CR16" s="281"/>
      <c r="CS16" s="281"/>
      <c r="CT16" s="281"/>
      <c r="CU16" s="281"/>
      <c r="CV16" s="281"/>
      <c r="CW16" s="281"/>
      <c r="CX16" s="281"/>
      <c r="CY16" s="281"/>
      <c r="CZ16" s="281"/>
      <c r="DA16" s="281"/>
      <c r="DB16" s="281"/>
      <c r="DC16" s="281"/>
      <c r="DD16" s="281"/>
      <c r="DE16" s="281"/>
      <c r="DF16" s="281"/>
      <c r="DG16" s="281"/>
      <c r="DH16" s="281"/>
      <c r="DI16" s="281"/>
      <c r="DJ16" s="281"/>
      <c r="DK16" s="281"/>
      <c r="DL16" s="281"/>
      <c r="DM16" s="281"/>
      <c r="DN16" s="281"/>
      <c r="DO16" s="281"/>
      <c r="DP16" s="281"/>
      <c r="DQ16" s="281"/>
      <c r="DR16" s="281"/>
      <c r="DS16" s="281"/>
      <c r="DT16" s="281"/>
      <c r="DU16" s="281"/>
      <c r="DV16" s="281"/>
      <c r="DW16" s="281"/>
      <c r="DX16" s="281"/>
      <c r="DY16" s="281"/>
      <c r="DZ16" s="281"/>
      <c r="EA16" s="281"/>
      <c r="EB16" s="281"/>
      <c r="EC16" s="281"/>
      <c r="ED16" s="281"/>
      <c r="EE16" s="281"/>
      <c r="EF16" s="281"/>
      <c r="EG16" s="281"/>
      <c r="EH16" s="281"/>
      <c r="EI16" s="281"/>
      <c r="EJ16" s="281"/>
      <c r="EK16" s="281"/>
      <c r="EL16" s="281"/>
      <c r="EM16" s="281"/>
      <c r="EN16" s="281"/>
      <c r="EO16" s="281"/>
      <c r="EP16" s="281"/>
      <c r="EQ16" s="281"/>
      <c r="ER16" s="281"/>
      <c r="ES16" s="281"/>
      <c r="ET16" s="281"/>
      <c r="EU16" s="281"/>
      <c r="EV16" s="281"/>
      <c r="EW16" s="281"/>
      <c r="EX16" s="281"/>
      <c r="EY16" s="281"/>
      <c r="EZ16" s="281"/>
      <c r="FA16" s="281"/>
      <c r="FB16" s="281"/>
      <c r="FC16" s="281"/>
      <c r="FD16" s="281"/>
      <c r="FE16" s="281"/>
      <c r="FF16" s="281"/>
      <c r="FG16" s="281"/>
      <c r="FH16" s="281"/>
      <c r="FI16" s="281"/>
      <c r="FJ16" s="281"/>
      <c r="FK16" s="281"/>
      <c r="FL16" s="281"/>
      <c r="FM16" s="281"/>
      <c r="FN16" s="281"/>
      <c r="FO16" s="281"/>
      <c r="FP16" s="281"/>
      <c r="FQ16" s="281"/>
      <c r="FR16" s="281"/>
      <c r="FS16" s="281"/>
      <c r="FT16" s="281"/>
      <c r="FU16" s="281"/>
      <c r="FV16" s="281"/>
      <c r="FW16" s="281"/>
      <c r="FX16" s="281"/>
      <c r="FY16" s="281"/>
      <c r="FZ16" s="281"/>
      <c r="GA16" s="281"/>
      <c r="GB16" s="281"/>
      <c r="GC16" s="281"/>
      <c r="GD16" s="281"/>
      <c r="GE16" s="281"/>
      <c r="GF16" s="281"/>
      <c r="GG16" s="281"/>
      <c r="GH16" s="281"/>
      <c r="GI16" s="281"/>
      <c r="GJ16" s="281"/>
      <c r="GK16" s="281"/>
      <c r="GL16" s="281"/>
      <c r="GM16" s="281"/>
      <c r="GN16" s="281"/>
      <c r="GO16" s="281"/>
      <c r="GP16" s="281"/>
      <c r="GQ16" s="281"/>
      <c r="GR16" s="281"/>
      <c r="GS16" s="281"/>
      <c r="GT16" s="281"/>
      <c r="GU16" s="281"/>
      <c r="GV16" s="281"/>
      <c r="GW16" s="281"/>
      <c r="GX16" s="281"/>
      <c r="GY16" s="281"/>
      <c r="GZ16" s="281"/>
      <c r="HA16" s="281"/>
      <c r="HB16" s="281"/>
      <c r="HC16" s="281"/>
      <c r="HD16" s="281"/>
      <c r="HE16" s="281"/>
      <c r="HF16" s="281"/>
      <c r="HG16" s="281"/>
      <c r="HH16" s="281"/>
      <c r="HI16" s="281"/>
      <c r="HJ16" s="281"/>
      <c r="HK16" s="281"/>
      <c r="HL16" s="281"/>
      <c r="HM16" s="281"/>
      <c r="HN16" s="281"/>
      <c r="HO16" s="281"/>
      <c r="HP16" s="281"/>
      <c r="HQ16" s="281"/>
      <c r="HR16" s="281"/>
      <c r="HS16" s="281"/>
      <c r="HT16" s="281"/>
      <c r="HU16" s="281"/>
      <c r="HV16" s="281"/>
      <c r="HW16" s="281"/>
      <c r="HX16" s="281"/>
      <c r="HY16" s="281"/>
      <c r="HZ16" s="281"/>
      <c r="IA16" s="281"/>
      <c r="IB16" s="281"/>
      <c r="IC16" s="281"/>
      <c r="ID16" s="281"/>
      <c r="IE16" s="281"/>
      <c r="IF16" s="281"/>
      <c r="IG16" s="281"/>
      <c r="IH16" s="281"/>
      <c r="II16" s="281"/>
      <c r="IJ16" s="281"/>
      <c r="IK16" s="281"/>
      <c r="IL16" s="281"/>
      <c r="IM16" s="281"/>
      <c r="IN16" s="281"/>
      <c r="IO16" s="281"/>
      <c r="IP16" s="281"/>
      <c r="IQ16" s="281"/>
      <c r="IR16" s="281"/>
      <c r="IS16" s="281"/>
      <c r="IT16" s="281"/>
      <c r="IU16" s="281"/>
      <c r="IV16" s="281"/>
      <c r="IW16" s="281"/>
      <c r="IX16" s="281"/>
      <c r="IY16" s="281"/>
      <c r="IZ16" s="281"/>
      <c r="JA16" s="281"/>
      <c r="JB16" s="281"/>
      <c r="JC16" s="281"/>
      <c r="JD16" s="281"/>
      <c r="JE16" s="281"/>
      <c r="JF16" s="281"/>
      <c r="JG16" s="281"/>
      <c r="JH16" s="281"/>
      <c r="JI16" s="281"/>
      <c r="JJ16" s="281"/>
      <c r="JK16" s="281"/>
      <c r="JL16" s="281"/>
      <c r="JM16" s="281"/>
      <c r="JN16" s="281"/>
      <c r="JO16" s="281"/>
      <c r="JP16" s="281"/>
      <c r="JQ16" s="281"/>
      <c r="JR16" s="281"/>
      <c r="JS16" s="281"/>
      <c r="JT16" s="281"/>
      <c r="JU16" s="281"/>
      <c r="JV16" s="281"/>
      <c r="JW16" s="281"/>
      <c r="JX16" s="281"/>
      <c r="JY16" s="281"/>
      <c r="JZ16" s="281"/>
      <c r="KA16" s="281"/>
      <c r="KB16" s="281"/>
      <c r="KC16" s="281"/>
      <c r="KD16" s="281"/>
      <c r="KE16" s="281"/>
      <c r="KF16" s="281"/>
      <c r="KG16" s="281"/>
      <c r="KH16" s="281"/>
      <c r="KI16" s="281"/>
      <c r="KJ16" s="281"/>
      <c r="KK16" s="281"/>
      <c r="KL16" s="281"/>
      <c r="KM16" s="281"/>
      <c r="KN16" s="281"/>
      <c r="KO16" s="281"/>
      <c r="KP16" s="281"/>
      <c r="KQ16" s="281"/>
      <c r="KR16" s="281"/>
      <c r="KS16" s="281"/>
      <c r="KT16" s="281"/>
      <c r="KU16" s="281"/>
    </row>
    <row r="17" spans="1:62" s="271" customFormat="1" ht="24">
      <c r="A17" s="406"/>
      <c r="B17" s="278" t="s">
        <v>651</v>
      </c>
      <c r="C17" s="278" t="s">
        <v>652</v>
      </c>
      <c r="D17" s="278" t="s">
        <v>653</v>
      </c>
      <c r="E17" s="279" t="s">
        <v>654</v>
      </c>
      <c r="F17" s="279" t="s">
        <v>357</v>
      </c>
      <c r="G17" s="279"/>
      <c r="H17" s="279"/>
      <c r="I17" s="279" t="s">
        <v>57</v>
      </c>
      <c r="J17" s="278" t="s">
        <v>451</v>
      </c>
      <c r="K17" s="278" t="s">
        <v>655</v>
      </c>
      <c r="L17" s="407"/>
      <c r="M17" s="408" t="s">
        <v>656</v>
      </c>
      <c r="N17" s="281"/>
      <c r="O17" s="281"/>
      <c r="P17" s="281"/>
      <c r="Q17" s="281"/>
      <c r="R17" s="281"/>
      <c r="S17" s="281"/>
      <c r="T17" s="281"/>
      <c r="U17" s="281"/>
      <c r="V17" s="281"/>
      <c r="W17" s="281"/>
      <c r="X17" s="281"/>
      <c r="Y17" s="281"/>
      <c r="Z17" s="281"/>
      <c r="AA17" s="281"/>
      <c r="AB17" s="281"/>
      <c r="AC17" s="281"/>
      <c r="AD17" s="281"/>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row>
    <row r="18" spans="1:62" s="271" customFormat="1" ht="36">
      <c r="A18" s="406"/>
      <c r="B18" s="278" t="s">
        <v>657</v>
      </c>
      <c r="C18" s="278" t="s">
        <v>658</v>
      </c>
      <c r="D18" s="278" t="s">
        <v>617</v>
      </c>
      <c r="E18" s="279" t="s">
        <v>618</v>
      </c>
      <c r="F18" s="279" t="s">
        <v>357</v>
      </c>
      <c r="G18" s="279"/>
      <c r="H18" s="279"/>
      <c r="I18" s="279" t="s">
        <v>57</v>
      </c>
      <c r="J18" s="278" t="s">
        <v>387</v>
      </c>
      <c r="K18" s="278" t="s">
        <v>619</v>
      </c>
      <c r="L18" s="407"/>
      <c r="M18" s="409"/>
      <c r="N18" s="281"/>
      <c r="O18" s="281"/>
      <c r="P18" s="281"/>
      <c r="Q18" s="281"/>
      <c r="R18" s="281"/>
      <c r="S18" s="281"/>
      <c r="T18" s="281"/>
      <c r="U18" s="281"/>
      <c r="V18" s="281"/>
      <c r="W18" s="281"/>
      <c r="X18" s="281"/>
      <c r="Y18" s="281"/>
      <c r="Z18" s="281"/>
      <c r="AA18" s="281"/>
      <c r="AB18" s="281"/>
      <c r="AC18" s="281"/>
      <c r="AD18" s="281"/>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row>
    <row r="19" spans="1:62" s="271" customFormat="1" ht="24">
      <c r="A19" s="406"/>
      <c r="B19" s="278" t="s">
        <v>659</v>
      </c>
      <c r="C19" s="278" t="s">
        <v>660</v>
      </c>
      <c r="D19" s="278" t="s">
        <v>622</v>
      </c>
      <c r="E19" s="279" t="s">
        <v>623</v>
      </c>
      <c r="F19" s="279" t="s">
        <v>357</v>
      </c>
      <c r="G19" s="279"/>
      <c r="H19" s="279"/>
      <c r="I19" s="279" t="s">
        <v>57</v>
      </c>
      <c r="J19" s="278" t="s">
        <v>387</v>
      </c>
      <c r="K19" s="278" t="s">
        <v>366</v>
      </c>
      <c r="L19" s="407"/>
      <c r="M19" s="409"/>
      <c r="N19" s="281"/>
      <c r="O19" s="281"/>
      <c r="P19" s="281"/>
      <c r="Q19" s="281"/>
      <c r="R19" s="281"/>
      <c r="S19" s="281"/>
      <c r="T19" s="281"/>
      <c r="U19" s="281"/>
      <c r="V19" s="281"/>
      <c r="W19" s="281"/>
      <c r="X19" s="281"/>
      <c r="Y19" s="281"/>
      <c r="Z19" s="281"/>
      <c r="AA19" s="281"/>
      <c r="AB19" s="281"/>
      <c r="AC19" s="281"/>
      <c r="AD19" s="281"/>
      <c r="AE19" s="281"/>
      <c r="AF19" s="281"/>
      <c r="AG19" s="281"/>
      <c r="AH19" s="281"/>
      <c r="AI19" s="281"/>
      <c r="AJ19" s="281"/>
      <c r="AK19" s="281"/>
      <c r="AL19" s="281"/>
      <c r="AM19" s="281"/>
      <c r="AN19" s="281"/>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row>
    <row r="20" spans="1:62" s="271" customFormat="1" ht="24">
      <c r="A20" s="406"/>
      <c r="B20" s="278" t="s">
        <v>661</v>
      </c>
      <c r="C20" s="278" t="s">
        <v>662</v>
      </c>
      <c r="D20" s="278" t="s">
        <v>626</v>
      </c>
      <c r="E20" s="279" t="s">
        <v>627</v>
      </c>
      <c r="F20" s="279" t="s">
        <v>357</v>
      </c>
      <c r="G20" s="279"/>
      <c r="H20" s="279"/>
      <c r="I20" s="279" t="s">
        <v>57</v>
      </c>
      <c r="J20" s="278" t="s">
        <v>628</v>
      </c>
      <c r="K20" s="278" t="s">
        <v>366</v>
      </c>
      <c r="L20" s="407"/>
      <c r="M20" s="409"/>
      <c r="N20" s="281"/>
      <c r="O20" s="281"/>
      <c r="P20" s="281"/>
      <c r="Q20" s="281"/>
      <c r="R20" s="281"/>
      <c r="S20" s="281"/>
      <c r="T20" s="281"/>
      <c r="U20" s="281"/>
      <c r="V20" s="281"/>
      <c r="W20" s="281"/>
      <c r="X20" s="281"/>
      <c r="Y20" s="281"/>
      <c r="Z20" s="281"/>
      <c r="AA20" s="281"/>
      <c r="AB20" s="281"/>
      <c r="AC20" s="281"/>
      <c r="AD20" s="281"/>
      <c r="AE20" s="281"/>
      <c r="AF20" s="281"/>
      <c r="AG20" s="281"/>
      <c r="AH20" s="281"/>
      <c r="AI20" s="281"/>
      <c r="AJ20" s="281"/>
      <c r="AK20" s="281"/>
      <c r="AL20" s="281"/>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row>
    <row r="21" spans="1:62" s="271" customFormat="1" ht="36">
      <c r="A21" s="406"/>
      <c r="B21" s="278" t="s">
        <v>663</v>
      </c>
      <c r="C21" s="278" t="s">
        <v>664</v>
      </c>
      <c r="D21" s="278" t="s">
        <v>631</v>
      </c>
      <c r="E21" s="279" t="s">
        <v>665</v>
      </c>
      <c r="F21" s="279" t="s">
        <v>357</v>
      </c>
      <c r="G21" s="279"/>
      <c r="H21" s="279"/>
      <c r="I21" s="279" t="s">
        <v>57</v>
      </c>
      <c r="J21" s="278" t="s">
        <v>359</v>
      </c>
      <c r="K21" s="278" t="s">
        <v>633</v>
      </c>
      <c r="L21" s="407"/>
      <c r="M21" s="409"/>
      <c r="N21" s="281"/>
      <c r="O21" s="281"/>
      <c r="P21" s="281"/>
      <c r="Q21" s="281"/>
      <c r="R21" s="281"/>
      <c r="S21" s="281"/>
      <c r="T21" s="281"/>
      <c r="U21" s="281"/>
      <c r="V21" s="281"/>
      <c r="W21" s="281"/>
      <c r="X21" s="281"/>
      <c r="Y21" s="281"/>
      <c r="Z21" s="281"/>
      <c r="AA21" s="281"/>
      <c r="AB21" s="281"/>
      <c r="AC21" s="281"/>
      <c r="AD21" s="281"/>
      <c r="AE21" s="281"/>
      <c r="AF21" s="281"/>
      <c r="AG21" s="281"/>
      <c r="AH21" s="281"/>
      <c r="AI21" s="281"/>
      <c r="AJ21" s="281"/>
      <c r="AK21" s="281"/>
      <c r="AL21" s="281"/>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row>
    <row r="22" spans="1:62" s="271" customFormat="1" ht="24">
      <c r="A22" s="406"/>
      <c r="B22" s="278" t="s">
        <v>666</v>
      </c>
      <c r="C22" s="278" t="s">
        <v>667</v>
      </c>
      <c r="D22" s="278" t="s">
        <v>668</v>
      </c>
      <c r="E22" s="279" t="s">
        <v>669</v>
      </c>
      <c r="F22" s="279" t="s">
        <v>357</v>
      </c>
      <c r="G22" s="279"/>
      <c r="H22" s="279"/>
      <c r="I22" s="279" t="s">
        <v>57</v>
      </c>
      <c r="J22" s="278" t="s">
        <v>496</v>
      </c>
      <c r="K22" s="278" t="s">
        <v>670</v>
      </c>
      <c r="L22" s="407"/>
      <c r="M22" s="409"/>
      <c r="N22" s="281"/>
      <c r="O22" s="281"/>
      <c r="P22" s="281"/>
      <c r="Q22" s="281"/>
      <c r="R22" s="281"/>
      <c r="S22" s="281"/>
      <c r="T22" s="281"/>
      <c r="U22" s="281"/>
      <c r="V22" s="281"/>
      <c r="W22" s="281"/>
      <c r="X22" s="281"/>
      <c r="Y22" s="281"/>
      <c r="Z22" s="281"/>
      <c r="AA22" s="281"/>
      <c r="AB22" s="281"/>
      <c r="AC22" s="281"/>
      <c r="AD22" s="281"/>
      <c r="AE22" s="281"/>
      <c r="AF22" s="281"/>
      <c r="AG22" s="281"/>
      <c r="AH22" s="281"/>
      <c r="AI22" s="281"/>
      <c r="AJ22" s="281"/>
      <c r="AK22" s="281"/>
      <c r="AL22" s="281"/>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row>
    <row r="23" spans="1:62" s="271" customFormat="1" ht="36">
      <c r="A23" s="406"/>
      <c r="B23" s="278" t="s">
        <v>671</v>
      </c>
      <c r="C23" s="278" t="s">
        <v>672</v>
      </c>
      <c r="D23" s="278" t="s">
        <v>673</v>
      </c>
      <c r="E23" s="279" t="s">
        <v>674</v>
      </c>
      <c r="F23" s="279" t="s">
        <v>357</v>
      </c>
      <c r="G23" s="279"/>
      <c r="H23" s="279"/>
      <c r="I23" s="279" t="s">
        <v>57</v>
      </c>
      <c r="J23" s="278" t="s">
        <v>496</v>
      </c>
      <c r="K23" s="278" t="s">
        <v>675</v>
      </c>
      <c r="L23" s="407"/>
      <c r="M23" s="410"/>
      <c r="N23" s="281"/>
      <c r="O23" s="281"/>
      <c r="P23" s="281"/>
      <c r="Q23" s="281"/>
      <c r="R23" s="281"/>
      <c r="S23" s="281"/>
      <c r="T23" s="281"/>
      <c r="U23" s="281"/>
      <c r="V23" s="281"/>
      <c r="W23" s="281"/>
      <c r="X23" s="281"/>
      <c r="Y23" s="281"/>
      <c r="Z23" s="281"/>
      <c r="AA23" s="281"/>
      <c r="AB23" s="281"/>
      <c r="AC23" s="281"/>
      <c r="AD23" s="281"/>
      <c r="AE23" s="281"/>
      <c r="AF23" s="281"/>
      <c r="AG23" s="281"/>
      <c r="AH23" s="281"/>
      <c r="AI23" s="281"/>
      <c r="AJ23" s="281"/>
      <c r="AK23" s="281"/>
      <c r="AL23" s="281"/>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row>
    <row r="24" spans="1:62" s="271" customFormat="1" ht="24">
      <c r="A24" s="406"/>
      <c r="B24" s="278" t="s">
        <v>676</v>
      </c>
      <c r="C24" s="278" t="s">
        <v>677</v>
      </c>
      <c r="D24" s="278" t="s">
        <v>678</v>
      </c>
      <c r="E24" s="279" t="s">
        <v>679</v>
      </c>
      <c r="F24" s="279" t="s">
        <v>357</v>
      </c>
      <c r="G24" s="279"/>
      <c r="H24" s="279"/>
      <c r="I24" s="279" t="s">
        <v>57</v>
      </c>
      <c r="J24" s="278" t="s">
        <v>440</v>
      </c>
      <c r="K24" s="278" t="s">
        <v>366</v>
      </c>
      <c r="L24" s="407"/>
      <c r="M24" s="280"/>
      <c r="N24" s="281"/>
      <c r="O24" s="281"/>
      <c r="P24" s="281"/>
      <c r="Q24" s="281"/>
      <c r="R24" s="281"/>
      <c r="S24" s="281"/>
      <c r="T24" s="281"/>
      <c r="U24" s="281"/>
      <c r="V24" s="281"/>
      <c r="W24" s="281"/>
      <c r="X24" s="281"/>
      <c r="Y24" s="281"/>
      <c r="Z24" s="281"/>
      <c r="AA24" s="281"/>
      <c r="AB24" s="281"/>
      <c r="AC24" s="281"/>
      <c r="AD24" s="281"/>
      <c r="AE24" s="281"/>
      <c r="AF24" s="281"/>
      <c r="AG24" s="281"/>
      <c r="AH24" s="281"/>
      <c r="AI24" s="281"/>
      <c r="AJ24" s="281"/>
      <c r="AK24" s="281"/>
      <c r="AL24" s="281"/>
      <c r="AM24" s="281"/>
      <c r="AN24" s="281"/>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row>
    <row r="25" spans="1:62" s="271" customFormat="1" ht="24">
      <c r="A25" s="406"/>
      <c r="B25" s="278" t="s">
        <v>680</v>
      </c>
      <c r="C25" s="278" t="s">
        <v>681</v>
      </c>
      <c r="D25" s="278" t="s">
        <v>641</v>
      </c>
      <c r="E25" s="279" t="s">
        <v>642</v>
      </c>
      <c r="F25" s="279" t="s">
        <v>357</v>
      </c>
      <c r="G25" s="279"/>
      <c r="H25" s="279"/>
      <c r="I25" s="279" t="s">
        <v>57</v>
      </c>
      <c r="J25" s="278" t="s">
        <v>3317</v>
      </c>
      <c r="K25" s="278" t="s">
        <v>366</v>
      </c>
      <c r="L25" s="407"/>
      <c r="M25" s="280"/>
      <c r="N25" s="281"/>
      <c r="O25" s="281"/>
      <c r="P25" s="281"/>
      <c r="Q25" s="281"/>
      <c r="R25" s="281"/>
      <c r="S25" s="281"/>
      <c r="T25" s="281"/>
      <c r="U25" s="281"/>
      <c r="V25" s="281"/>
      <c r="W25" s="281"/>
      <c r="X25" s="281"/>
      <c r="Y25" s="281"/>
      <c r="Z25" s="281"/>
      <c r="AA25" s="281"/>
      <c r="AB25" s="281"/>
      <c r="AC25" s="281"/>
      <c r="AD25" s="281"/>
      <c r="AE25" s="281"/>
      <c r="AF25" s="281"/>
      <c r="AG25" s="281"/>
      <c r="AH25" s="281"/>
      <c r="AI25" s="281"/>
      <c r="AJ25" s="281"/>
      <c r="AK25" s="281"/>
      <c r="AL25" s="281"/>
      <c r="AM25" s="281"/>
      <c r="AN25" s="281"/>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row>
    <row r="26" spans="1:62" s="271" customFormat="1" ht="24">
      <c r="A26" s="406"/>
      <c r="B26" s="278" t="s">
        <v>682</v>
      </c>
      <c r="C26" s="278" t="s">
        <v>683</v>
      </c>
      <c r="D26" s="278" t="s">
        <v>684</v>
      </c>
      <c r="E26" s="279" t="s">
        <v>685</v>
      </c>
      <c r="F26" s="279" t="s">
        <v>357</v>
      </c>
      <c r="G26" s="279"/>
      <c r="H26" s="279"/>
      <c r="I26" s="279" t="s">
        <v>57</v>
      </c>
      <c r="J26" s="278" t="s">
        <v>359</v>
      </c>
      <c r="K26" s="278" t="s">
        <v>366</v>
      </c>
      <c r="L26" s="407"/>
      <c r="M26" s="280"/>
      <c r="N26" s="281"/>
      <c r="O26" s="281"/>
      <c r="P26" s="281"/>
      <c r="Q26" s="281"/>
      <c r="R26" s="281"/>
      <c r="S26" s="281"/>
      <c r="T26" s="281"/>
      <c r="U26" s="281"/>
      <c r="V26" s="281"/>
      <c r="W26" s="281"/>
      <c r="X26" s="281"/>
      <c r="Y26" s="281"/>
      <c r="Z26" s="281"/>
      <c r="AA26" s="281"/>
      <c r="AB26" s="281"/>
      <c r="AC26" s="281"/>
      <c r="AD26" s="281"/>
      <c r="AE26" s="281"/>
      <c r="AF26" s="281"/>
      <c r="AG26" s="281"/>
      <c r="AH26" s="281"/>
      <c r="AI26" s="281"/>
      <c r="AJ26" s="281"/>
      <c r="AK26" s="281"/>
      <c r="AL26" s="281"/>
      <c r="AM26" s="281"/>
      <c r="AN26" s="281"/>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row>
    <row r="27" spans="1:62" s="271" customFormat="1" ht="96">
      <c r="A27" s="406"/>
      <c r="B27" s="278" t="s">
        <v>3311</v>
      </c>
      <c r="C27" s="278" t="s">
        <v>3312</v>
      </c>
      <c r="D27" s="278" t="s">
        <v>3308</v>
      </c>
      <c r="E27" s="279" t="s">
        <v>3309</v>
      </c>
      <c r="F27" s="279" t="s">
        <v>357</v>
      </c>
      <c r="G27" s="359" t="s">
        <v>366</v>
      </c>
      <c r="H27" s="359" t="s">
        <v>366</v>
      </c>
      <c r="I27" s="279" t="s">
        <v>57</v>
      </c>
      <c r="J27" s="278" t="s">
        <v>451</v>
      </c>
      <c r="K27" s="278" t="s">
        <v>3310</v>
      </c>
      <c r="L27" s="407"/>
      <c r="M27" s="280"/>
      <c r="N27" s="281"/>
      <c r="O27" s="281"/>
      <c r="P27" s="281"/>
      <c r="Q27" s="281"/>
      <c r="R27" s="281"/>
      <c r="S27" s="281"/>
      <c r="T27" s="281"/>
      <c r="U27" s="281"/>
      <c r="V27" s="281"/>
      <c r="W27" s="281"/>
      <c r="X27" s="281"/>
      <c r="Y27" s="281"/>
      <c r="Z27" s="281"/>
      <c r="AA27" s="281"/>
      <c r="AB27" s="281"/>
      <c r="AC27" s="281"/>
      <c r="AD27" s="281"/>
      <c r="AE27" s="281"/>
      <c r="AF27" s="281"/>
      <c r="AG27" s="281"/>
      <c r="AH27" s="281"/>
      <c r="AI27" s="281"/>
      <c r="AJ27" s="281"/>
      <c r="AK27" s="281"/>
      <c r="AL27" s="281"/>
      <c r="AM27" s="281"/>
      <c r="AN27" s="281"/>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row>
    <row r="28" spans="1:62" s="271" customFormat="1" ht="24">
      <c r="A28" s="406"/>
      <c r="B28" s="278" t="s">
        <v>686</v>
      </c>
      <c r="C28" s="278" t="s">
        <v>687</v>
      </c>
      <c r="D28" s="278" t="s">
        <v>653</v>
      </c>
      <c r="E28" s="279" t="s">
        <v>654</v>
      </c>
      <c r="F28" s="279" t="s">
        <v>357</v>
      </c>
      <c r="G28" s="279"/>
      <c r="H28" s="279"/>
      <c r="I28" s="279" t="s">
        <v>57</v>
      </c>
      <c r="J28" s="278" t="s">
        <v>451</v>
      </c>
      <c r="K28" s="278" t="s">
        <v>655</v>
      </c>
      <c r="L28" s="407"/>
      <c r="M28" s="280"/>
      <c r="N28" s="281"/>
      <c r="O28" s="281"/>
      <c r="P28" s="281"/>
      <c r="Q28" s="281"/>
      <c r="R28" s="281"/>
      <c r="S28" s="281"/>
      <c r="T28" s="281"/>
      <c r="U28" s="281"/>
      <c r="V28" s="281"/>
      <c r="W28" s="281"/>
      <c r="X28" s="281"/>
      <c r="Y28" s="281"/>
      <c r="Z28" s="281"/>
      <c r="AA28" s="281"/>
      <c r="AB28" s="281"/>
      <c r="AC28" s="281"/>
      <c r="AD28" s="281"/>
      <c r="AE28" s="281"/>
      <c r="AF28" s="281"/>
      <c r="AG28" s="281"/>
      <c r="AH28" s="281"/>
      <c r="AI28" s="281"/>
      <c r="AJ28" s="281"/>
      <c r="AK28" s="281"/>
      <c r="AL28" s="281"/>
      <c r="AM28" s="281"/>
      <c r="AN28" s="281"/>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row>
    <row r="29" spans="1:62" s="271" customFormat="1" ht="36">
      <c r="A29" s="406"/>
      <c r="B29" s="278" t="s">
        <v>688</v>
      </c>
      <c r="C29" s="278" t="s">
        <v>689</v>
      </c>
      <c r="D29" s="278" t="s">
        <v>617</v>
      </c>
      <c r="E29" s="279" t="s">
        <v>618</v>
      </c>
      <c r="F29" s="279" t="s">
        <v>357</v>
      </c>
      <c r="G29" s="279"/>
      <c r="H29" s="279"/>
      <c r="I29" s="279" t="s">
        <v>57</v>
      </c>
      <c r="J29" s="278" t="s">
        <v>387</v>
      </c>
      <c r="K29" s="278" t="s">
        <v>619</v>
      </c>
      <c r="L29" s="407"/>
      <c r="M29" s="280"/>
      <c r="N29" s="281"/>
      <c r="O29" s="281"/>
      <c r="P29" s="281"/>
      <c r="Q29" s="281"/>
      <c r="R29" s="281"/>
      <c r="S29" s="281"/>
      <c r="T29" s="281"/>
      <c r="U29" s="281"/>
      <c r="V29" s="281"/>
      <c r="W29" s="281"/>
      <c r="X29" s="281"/>
      <c r="Y29" s="281"/>
      <c r="Z29" s="281"/>
      <c r="AA29" s="281"/>
      <c r="AB29" s="281"/>
      <c r="AC29" s="281"/>
      <c r="AD29" s="281"/>
      <c r="AE29" s="281"/>
      <c r="AF29" s="281"/>
      <c r="AG29" s="281"/>
      <c r="AH29" s="281"/>
      <c r="AI29" s="281"/>
      <c r="AJ29" s="281"/>
      <c r="AK29" s="281"/>
      <c r="AL29" s="281"/>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row>
    <row r="30" spans="1:62" s="271" customFormat="1" ht="24">
      <c r="A30" s="406"/>
      <c r="B30" s="278" t="s">
        <v>690</v>
      </c>
      <c r="C30" s="278" t="s">
        <v>691</v>
      </c>
      <c r="D30" s="278" t="s">
        <v>622</v>
      </c>
      <c r="E30" s="279" t="s">
        <v>623</v>
      </c>
      <c r="F30" s="279" t="s">
        <v>357</v>
      </c>
      <c r="G30" s="279"/>
      <c r="H30" s="279"/>
      <c r="I30" s="279" t="s">
        <v>57</v>
      </c>
      <c r="J30" s="278" t="s">
        <v>387</v>
      </c>
      <c r="K30" s="278" t="s">
        <v>366</v>
      </c>
      <c r="L30" s="407"/>
      <c r="M30" s="280"/>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row>
    <row r="31" spans="1:62" s="271" customFormat="1" ht="24">
      <c r="A31" s="406"/>
      <c r="B31" s="278" t="s">
        <v>692</v>
      </c>
      <c r="C31" s="278" t="s">
        <v>693</v>
      </c>
      <c r="D31" s="278" t="s">
        <v>626</v>
      </c>
      <c r="E31" s="279" t="s">
        <v>627</v>
      </c>
      <c r="F31" s="279" t="s">
        <v>357</v>
      </c>
      <c r="G31" s="279"/>
      <c r="H31" s="279"/>
      <c r="I31" s="279" t="s">
        <v>57</v>
      </c>
      <c r="J31" s="278" t="s">
        <v>628</v>
      </c>
      <c r="K31" s="278" t="s">
        <v>366</v>
      </c>
      <c r="L31" s="407"/>
      <c r="M31" s="280"/>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row>
    <row r="32" spans="1:62" s="271" customFormat="1" ht="36">
      <c r="A32" s="406"/>
      <c r="B32" s="278" t="s">
        <v>694</v>
      </c>
      <c r="C32" s="278" t="s">
        <v>695</v>
      </c>
      <c r="D32" s="278" t="s">
        <v>631</v>
      </c>
      <c r="E32" s="279" t="s">
        <v>696</v>
      </c>
      <c r="F32" s="279" t="s">
        <v>357</v>
      </c>
      <c r="G32" s="279"/>
      <c r="H32" s="279"/>
      <c r="I32" s="279" t="s">
        <v>57</v>
      </c>
      <c r="J32" s="278" t="s">
        <v>359</v>
      </c>
      <c r="K32" s="278" t="s">
        <v>633</v>
      </c>
      <c r="L32" s="407"/>
      <c r="M32" s="280"/>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row>
    <row r="33" spans="1:62" s="271" customFormat="1" ht="24">
      <c r="A33" s="406"/>
      <c r="B33" s="278" t="s">
        <v>697</v>
      </c>
      <c r="C33" s="278" t="s">
        <v>698</v>
      </c>
      <c r="D33" s="278" t="s">
        <v>668</v>
      </c>
      <c r="E33" s="279" t="s">
        <v>669</v>
      </c>
      <c r="F33" s="279" t="s">
        <v>357</v>
      </c>
      <c r="G33" s="279"/>
      <c r="H33" s="279"/>
      <c r="I33" s="279" t="s">
        <v>57</v>
      </c>
      <c r="J33" s="278" t="s">
        <v>496</v>
      </c>
      <c r="K33" s="278" t="s">
        <v>670</v>
      </c>
      <c r="L33" s="407"/>
      <c r="M33" s="280"/>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row>
    <row r="34" spans="1:62" s="271" customFormat="1" ht="36">
      <c r="A34" s="406"/>
      <c r="B34" s="278" t="s">
        <v>699</v>
      </c>
      <c r="C34" s="278" t="s">
        <v>700</v>
      </c>
      <c r="D34" s="278" t="s">
        <v>673</v>
      </c>
      <c r="E34" s="279" t="s">
        <v>674</v>
      </c>
      <c r="F34" s="279" t="s">
        <v>357</v>
      </c>
      <c r="G34" s="279"/>
      <c r="H34" s="279"/>
      <c r="I34" s="279" t="s">
        <v>57</v>
      </c>
      <c r="J34" s="278" t="s">
        <v>496</v>
      </c>
      <c r="K34" s="278" t="s">
        <v>701</v>
      </c>
      <c r="L34" s="407"/>
      <c r="M34" s="280"/>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row>
    <row r="35" spans="1:62" s="271" customFormat="1" ht="24">
      <c r="A35" s="406"/>
      <c r="B35" s="278" t="s">
        <v>702</v>
      </c>
      <c r="C35" s="278" t="s">
        <v>703</v>
      </c>
      <c r="D35" s="278" t="s">
        <v>678</v>
      </c>
      <c r="E35" s="279" t="s">
        <v>679</v>
      </c>
      <c r="F35" s="279" t="s">
        <v>357</v>
      </c>
      <c r="G35" s="279"/>
      <c r="H35" s="279"/>
      <c r="I35" s="279" t="s">
        <v>57</v>
      </c>
      <c r="J35" s="278" t="s">
        <v>440</v>
      </c>
      <c r="K35" s="278" t="s">
        <v>366</v>
      </c>
      <c r="L35" s="407"/>
      <c r="M35" s="280"/>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row>
    <row r="36" spans="1:62" s="271" customFormat="1" ht="24">
      <c r="A36" s="406"/>
      <c r="B36" s="278" t="s">
        <v>704</v>
      </c>
      <c r="C36" s="278" t="s">
        <v>705</v>
      </c>
      <c r="D36" s="278" t="s">
        <v>641</v>
      </c>
      <c r="E36" s="279" t="s">
        <v>642</v>
      </c>
      <c r="F36" s="279" t="s">
        <v>357</v>
      </c>
      <c r="G36" s="279"/>
      <c r="H36" s="279"/>
      <c r="I36" s="279" t="s">
        <v>57</v>
      </c>
      <c r="J36" s="278" t="s">
        <v>3317</v>
      </c>
      <c r="K36" s="278" t="s">
        <v>366</v>
      </c>
      <c r="L36" s="407"/>
      <c r="M36" s="280"/>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row>
    <row r="37" spans="1:62" s="271" customFormat="1" ht="24">
      <c r="A37" s="406"/>
      <c r="B37" s="278" t="s">
        <v>706</v>
      </c>
      <c r="C37" s="278" t="s">
        <v>707</v>
      </c>
      <c r="D37" s="278" t="s">
        <v>684</v>
      </c>
      <c r="E37" s="279" t="s">
        <v>685</v>
      </c>
      <c r="F37" s="279" t="s">
        <v>357</v>
      </c>
      <c r="G37" s="279"/>
      <c r="H37" s="279"/>
      <c r="I37" s="279" t="s">
        <v>57</v>
      </c>
      <c r="J37" s="278" t="s">
        <v>359</v>
      </c>
      <c r="K37" s="278" t="s">
        <v>366</v>
      </c>
      <c r="L37" s="407"/>
      <c r="M37" s="280"/>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row>
    <row r="38" spans="1:62" s="271" customFormat="1" ht="96">
      <c r="A38" s="406"/>
      <c r="B38" s="278" t="s">
        <v>3313</v>
      </c>
      <c r="C38" s="278" t="s">
        <v>3314</v>
      </c>
      <c r="D38" s="278" t="s">
        <v>3308</v>
      </c>
      <c r="E38" s="279" t="s">
        <v>3309</v>
      </c>
      <c r="F38" s="279" t="s">
        <v>357</v>
      </c>
      <c r="G38" s="359" t="s">
        <v>366</v>
      </c>
      <c r="H38" s="359" t="s">
        <v>366</v>
      </c>
      <c r="I38" s="279" t="s">
        <v>57</v>
      </c>
      <c r="J38" s="278" t="s">
        <v>451</v>
      </c>
      <c r="K38" s="278" t="s">
        <v>3310</v>
      </c>
      <c r="L38" s="407"/>
      <c r="M38" s="280"/>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row>
    <row r="39" spans="1:62" s="271" customFormat="1" ht="24">
      <c r="A39" s="406"/>
      <c r="B39" s="278" t="s">
        <v>708</v>
      </c>
      <c r="C39" s="278" t="s">
        <v>709</v>
      </c>
      <c r="D39" s="278" t="s">
        <v>653</v>
      </c>
      <c r="E39" s="279" t="s">
        <v>654</v>
      </c>
      <c r="F39" s="279" t="s">
        <v>357</v>
      </c>
      <c r="G39" s="279"/>
      <c r="H39" s="279"/>
      <c r="I39" s="279" t="s">
        <v>57</v>
      </c>
      <c r="J39" s="278" t="s">
        <v>451</v>
      </c>
      <c r="K39" s="278" t="s">
        <v>655</v>
      </c>
      <c r="L39" s="407"/>
      <c r="M39" s="280"/>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row>
    <row r="40" spans="1:62" s="271" customFormat="1" ht="36">
      <c r="A40" s="406"/>
      <c r="B40" s="278" t="s">
        <v>710</v>
      </c>
      <c r="C40" s="278" t="s">
        <v>711</v>
      </c>
      <c r="D40" s="278" t="s">
        <v>617</v>
      </c>
      <c r="E40" s="279" t="s">
        <v>618</v>
      </c>
      <c r="F40" s="279" t="s">
        <v>357</v>
      </c>
      <c r="G40" s="279"/>
      <c r="H40" s="279"/>
      <c r="I40" s="279" t="s">
        <v>57</v>
      </c>
      <c r="J40" s="278" t="s">
        <v>387</v>
      </c>
      <c r="K40" s="278" t="s">
        <v>619</v>
      </c>
      <c r="L40" s="407"/>
      <c r="M40" s="280"/>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row>
    <row r="41" spans="1:62" s="271" customFormat="1" ht="24">
      <c r="A41" s="406"/>
      <c r="B41" s="278" t="s">
        <v>712</v>
      </c>
      <c r="C41" s="278" t="s">
        <v>713</v>
      </c>
      <c r="D41" s="278" t="s">
        <v>622</v>
      </c>
      <c r="E41" s="279" t="s">
        <v>623</v>
      </c>
      <c r="F41" s="279" t="s">
        <v>357</v>
      </c>
      <c r="G41" s="279"/>
      <c r="H41" s="279"/>
      <c r="I41" s="279" t="s">
        <v>57</v>
      </c>
      <c r="J41" s="278" t="s">
        <v>387</v>
      </c>
      <c r="K41" s="278" t="s">
        <v>366</v>
      </c>
      <c r="L41" s="407"/>
      <c r="M41" s="280"/>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row>
    <row r="42" spans="1:62" s="271" customFormat="1" ht="24">
      <c r="A42" s="406"/>
      <c r="B42" s="278" t="s">
        <v>714</v>
      </c>
      <c r="C42" s="278" t="s">
        <v>715</v>
      </c>
      <c r="D42" s="278" t="s">
        <v>626</v>
      </c>
      <c r="E42" s="279" t="s">
        <v>627</v>
      </c>
      <c r="F42" s="279" t="s">
        <v>357</v>
      </c>
      <c r="G42" s="279"/>
      <c r="H42" s="279"/>
      <c r="I42" s="279" t="s">
        <v>57</v>
      </c>
      <c r="J42" s="278" t="s">
        <v>628</v>
      </c>
      <c r="K42" s="278" t="s">
        <v>366</v>
      </c>
      <c r="L42" s="407"/>
      <c r="M42" s="280"/>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row>
    <row r="43" spans="1:62" s="271" customFormat="1" ht="36">
      <c r="A43" s="406"/>
      <c r="B43" s="278" t="s">
        <v>716</v>
      </c>
      <c r="C43" s="278" t="s">
        <v>717</v>
      </c>
      <c r="D43" s="278" t="s">
        <v>631</v>
      </c>
      <c r="E43" s="279" t="s">
        <v>696</v>
      </c>
      <c r="F43" s="279" t="s">
        <v>357</v>
      </c>
      <c r="G43" s="279"/>
      <c r="H43" s="279"/>
      <c r="I43" s="279" t="s">
        <v>57</v>
      </c>
      <c r="J43" s="278" t="s">
        <v>359</v>
      </c>
      <c r="K43" s="278" t="s">
        <v>633</v>
      </c>
      <c r="L43" s="407"/>
      <c r="M43" s="280"/>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row>
    <row r="44" spans="1:62" s="271" customFormat="1" ht="24">
      <c r="A44" s="406"/>
      <c r="B44" s="278" t="s">
        <v>718</v>
      </c>
      <c r="C44" s="278" t="s">
        <v>719</v>
      </c>
      <c r="D44" s="278" t="s">
        <v>668</v>
      </c>
      <c r="E44" s="279" t="s">
        <v>669</v>
      </c>
      <c r="F44" s="279" t="s">
        <v>357</v>
      </c>
      <c r="G44" s="279"/>
      <c r="H44" s="279"/>
      <c r="I44" s="279" t="s">
        <v>57</v>
      </c>
      <c r="J44" s="278" t="s">
        <v>496</v>
      </c>
      <c r="K44" s="278" t="s">
        <v>670</v>
      </c>
      <c r="L44" s="407"/>
      <c r="M44" s="280"/>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row>
    <row r="45" spans="1:62" s="271" customFormat="1" ht="36">
      <c r="A45" s="406"/>
      <c r="B45" s="278" t="s">
        <v>720</v>
      </c>
      <c r="C45" s="278" t="s">
        <v>721</v>
      </c>
      <c r="D45" s="278" t="s">
        <v>673</v>
      </c>
      <c r="E45" s="279" t="s">
        <v>674</v>
      </c>
      <c r="F45" s="279" t="s">
        <v>357</v>
      </c>
      <c r="G45" s="279"/>
      <c r="H45" s="279"/>
      <c r="I45" s="279" t="s">
        <v>57</v>
      </c>
      <c r="J45" s="278" t="s">
        <v>496</v>
      </c>
      <c r="K45" s="278" t="s">
        <v>701</v>
      </c>
      <c r="L45" s="407"/>
      <c r="M45" s="280"/>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row>
    <row r="46" spans="1:62" s="271" customFormat="1" ht="24">
      <c r="A46" s="406"/>
      <c r="B46" s="278" t="s">
        <v>722</v>
      </c>
      <c r="C46" s="278" t="s">
        <v>723</v>
      </c>
      <c r="D46" s="278" t="s">
        <v>678</v>
      </c>
      <c r="E46" s="279" t="s">
        <v>679</v>
      </c>
      <c r="F46" s="279" t="s">
        <v>357</v>
      </c>
      <c r="G46" s="279"/>
      <c r="H46" s="279"/>
      <c r="I46" s="279" t="s">
        <v>57</v>
      </c>
      <c r="J46" s="278" t="s">
        <v>440</v>
      </c>
      <c r="K46" s="278" t="s">
        <v>366</v>
      </c>
      <c r="L46" s="407"/>
      <c r="M46" s="280"/>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c r="BA46" s="281"/>
      <c r="BB46" s="281"/>
      <c r="BC46" s="281"/>
      <c r="BD46" s="281"/>
      <c r="BE46" s="281"/>
      <c r="BF46" s="281"/>
      <c r="BG46" s="281"/>
      <c r="BH46" s="281"/>
      <c r="BI46" s="281"/>
      <c r="BJ46" s="281"/>
    </row>
    <row r="47" spans="1:62" s="271" customFormat="1" ht="24">
      <c r="A47" s="406"/>
      <c r="B47" s="278" t="s">
        <v>724</v>
      </c>
      <c r="C47" s="278" t="s">
        <v>725</v>
      </c>
      <c r="D47" s="278" t="s">
        <v>641</v>
      </c>
      <c r="E47" s="279" t="s">
        <v>642</v>
      </c>
      <c r="F47" s="279" t="s">
        <v>357</v>
      </c>
      <c r="G47" s="279"/>
      <c r="H47" s="279"/>
      <c r="I47" s="279" t="s">
        <v>57</v>
      </c>
      <c r="J47" s="278" t="s">
        <v>3317</v>
      </c>
      <c r="K47" s="278" t="s">
        <v>366</v>
      </c>
      <c r="L47" s="407"/>
      <c r="M47" s="280"/>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c r="BA47" s="281"/>
      <c r="BB47" s="281"/>
      <c r="BC47" s="281"/>
      <c r="BD47" s="281"/>
      <c r="BE47" s="281"/>
      <c r="BF47" s="281"/>
      <c r="BG47" s="281"/>
      <c r="BH47" s="281"/>
      <c r="BI47" s="281"/>
      <c r="BJ47" s="281"/>
    </row>
    <row r="48" spans="1:62" s="271" customFormat="1" ht="24">
      <c r="A48" s="406"/>
      <c r="B48" s="278" t="s">
        <v>726</v>
      </c>
      <c r="C48" s="278" t="s">
        <v>727</v>
      </c>
      <c r="D48" s="278" t="s">
        <v>684</v>
      </c>
      <c r="E48" s="279" t="s">
        <v>685</v>
      </c>
      <c r="F48" s="279" t="s">
        <v>357</v>
      </c>
      <c r="G48" s="279"/>
      <c r="H48" s="279"/>
      <c r="I48" s="279" t="s">
        <v>57</v>
      </c>
      <c r="J48" s="278" t="s">
        <v>359</v>
      </c>
      <c r="K48" s="278" t="s">
        <v>366</v>
      </c>
      <c r="L48" s="407"/>
      <c r="M48" s="280"/>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row>
    <row r="49" spans="1:62" s="271" customFormat="1" ht="96">
      <c r="A49" s="406"/>
      <c r="B49" s="278" t="s">
        <v>3315</v>
      </c>
      <c r="C49" s="278" t="s">
        <v>3316</v>
      </c>
      <c r="D49" s="278" t="s">
        <v>3308</v>
      </c>
      <c r="E49" s="279" t="s">
        <v>3309</v>
      </c>
      <c r="F49" s="279" t="s">
        <v>357</v>
      </c>
      <c r="G49" s="359" t="s">
        <v>366</v>
      </c>
      <c r="H49" s="359" t="s">
        <v>366</v>
      </c>
      <c r="I49" s="279" t="s">
        <v>57</v>
      </c>
      <c r="J49" s="278" t="s">
        <v>451</v>
      </c>
      <c r="K49" s="278" t="s">
        <v>3310</v>
      </c>
      <c r="L49" s="407"/>
      <c r="M49" s="280"/>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c r="BA49" s="281"/>
      <c r="BB49" s="281"/>
      <c r="BC49" s="281"/>
      <c r="BD49" s="281"/>
      <c r="BE49" s="281"/>
      <c r="BF49" s="281"/>
      <c r="BG49" s="281"/>
      <c r="BH49" s="281"/>
      <c r="BI49" s="281"/>
      <c r="BJ49" s="281"/>
    </row>
    <row r="50" spans="1:62" s="271" customFormat="1" ht="24">
      <c r="A50" s="406"/>
      <c r="B50" s="278" t="s">
        <v>728</v>
      </c>
      <c r="C50" s="278" t="s">
        <v>729</v>
      </c>
      <c r="D50" s="278" t="s">
        <v>653</v>
      </c>
      <c r="E50" s="279" t="s">
        <v>654</v>
      </c>
      <c r="F50" s="279" t="s">
        <v>357</v>
      </c>
      <c r="G50" s="279"/>
      <c r="H50" s="279"/>
      <c r="I50" s="279" t="s">
        <v>57</v>
      </c>
      <c r="J50" s="278" t="s">
        <v>451</v>
      </c>
      <c r="K50" s="278" t="s">
        <v>655</v>
      </c>
      <c r="L50" s="407"/>
      <c r="M50" s="280"/>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c r="BA50" s="281"/>
      <c r="BB50" s="281"/>
      <c r="BC50" s="281"/>
      <c r="BD50" s="281"/>
      <c r="BE50" s="281"/>
      <c r="BF50" s="281"/>
      <c r="BG50" s="281"/>
      <c r="BH50" s="281"/>
      <c r="BI50" s="281"/>
      <c r="BJ50" s="281"/>
    </row>
    <row r="51" spans="1:62" s="271" customFormat="1" ht="36">
      <c r="A51" s="406"/>
      <c r="B51" s="278" t="s">
        <v>730</v>
      </c>
      <c r="C51" s="278" t="s">
        <v>731</v>
      </c>
      <c r="D51" s="278" t="s">
        <v>617</v>
      </c>
      <c r="E51" s="279" t="s">
        <v>618</v>
      </c>
      <c r="F51" s="279" t="s">
        <v>357</v>
      </c>
      <c r="G51" s="279"/>
      <c r="H51" s="279"/>
      <c r="I51" s="279" t="s">
        <v>57</v>
      </c>
      <c r="J51" s="278" t="s">
        <v>387</v>
      </c>
      <c r="K51" s="278" t="s">
        <v>619</v>
      </c>
      <c r="L51" s="407"/>
      <c r="M51" s="280"/>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c r="BA51" s="281"/>
      <c r="BB51" s="281"/>
      <c r="BC51" s="281"/>
      <c r="BD51" s="281"/>
      <c r="BE51" s="281"/>
      <c r="BF51" s="281"/>
      <c r="BG51" s="281"/>
      <c r="BH51" s="281"/>
      <c r="BI51" s="281"/>
      <c r="BJ51" s="281"/>
    </row>
    <row r="52" spans="1:62" s="271" customFormat="1" ht="24">
      <c r="A52" s="406"/>
      <c r="B52" s="278" t="s">
        <v>732</v>
      </c>
      <c r="C52" s="278" t="s">
        <v>733</v>
      </c>
      <c r="D52" s="278" t="s">
        <v>622</v>
      </c>
      <c r="E52" s="279" t="s">
        <v>623</v>
      </c>
      <c r="F52" s="279" t="s">
        <v>357</v>
      </c>
      <c r="G52" s="279"/>
      <c r="H52" s="279"/>
      <c r="I52" s="279" t="s">
        <v>57</v>
      </c>
      <c r="J52" s="278" t="s">
        <v>387</v>
      </c>
      <c r="K52" s="278" t="s">
        <v>366</v>
      </c>
      <c r="L52" s="407"/>
      <c r="M52" s="280"/>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c r="BA52" s="281"/>
      <c r="BB52" s="281"/>
      <c r="BC52" s="281"/>
      <c r="BD52" s="281"/>
      <c r="BE52" s="281"/>
      <c r="BF52" s="281"/>
      <c r="BG52" s="281"/>
      <c r="BH52" s="281"/>
      <c r="BI52" s="281"/>
      <c r="BJ52" s="281"/>
    </row>
    <row r="53" spans="1:62" s="271" customFormat="1" ht="24">
      <c r="A53" s="406"/>
      <c r="B53" s="278" t="s">
        <v>734</v>
      </c>
      <c r="C53" s="278" t="s">
        <v>735</v>
      </c>
      <c r="D53" s="278" t="s">
        <v>626</v>
      </c>
      <c r="E53" s="279" t="s">
        <v>627</v>
      </c>
      <c r="F53" s="279" t="s">
        <v>357</v>
      </c>
      <c r="G53" s="279"/>
      <c r="H53" s="279"/>
      <c r="I53" s="279" t="s">
        <v>57</v>
      </c>
      <c r="J53" s="278" t="s">
        <v>628</v>
      </c>
      <c r="K53" s="278" t="s">
        <v>366</v>
      </c>
      <c r="L53" s="407"/>
      <c r="M53" s="280"/>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c r="BA53" s="281"/>
      <c r="BB53" s="281"/>
      <c r="BC53" s="281"/>
      <c r="BD53" s="281"/>
      <c r="BE53" s="281"/>
      <c r="BF53" s="281"/>
      <c r="BG53" s="281"/>
      <c r="BH53" s="281"/>
      <c r="BI53" s="281"/>
      <c r="BJ53" s="281"/>
    </row>
    <row r="54" spans="1:62" s="271" customFormat="1" ht="36">
      <c r="A54" s="406"/>
      <c r="B54" s="278" t="s">
        <v>736</v>
      </c>
      <c r="C54" s="278" t="s">
        <v>737</v>
      </c>
      <c r="D54" s="278" t="s">
        <v>631</v>
      </c>
      <c r="E54" s="279" t="s">
        <v>696</v>
      </c>
      <c r="F54" s="279" t="s">
        <v>357</v>
      </c>
      <c r="G54" s="279"/>
      <c r="H54" s="279"/>
      <c r="I54" s="279" t="s">
        <v>57</v>
      </c>
      <c r="J54" s="278" t="s">
        <v>359</v>
      </c>
      <c r="K54" s="278" t="s">
        <v>633</v>
      </c>
      <c r="L54" s="407"/>
      <c r="M54" s="280"/>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c r="BA54" s="281"/>
      <c r="BB54" s="281"/>
      <c r="BC54" s="281"/>
      <c r="BD54" s="281"/>
      <c r="BE54" s="281"/>
      <c r="BF54" s="281"/>
      <c r="BG54" s="281"/>
      <c r="BH54" s="281"/>
      <c r="BI54" s="281"/>
      <c r="BJ54" s="281"/>
    </row>
    <row r="55" spans="1:62" s="271" customFormat="1" ht="24">
      <c r="A55" s="406"/>
      <c r="B55" s="278" t="s">
        <v>738</v>
      </c>
      <c r="C55" s="278" t="s">
        <v>739</v>
      </c>
      <c r="D55" s="278" t="s">
        <v>668</v>
      </c>
      <c r="E55" s="279" t="s">
        <v>669</v>
      </c>
      <c r="F55" s="279" t="s">
        <v>357</v>
      </c>
      <c r="G55" s="279"/>
      <c r="H55" s="279"/>
      <c r="I55" s="279" t="s">
        <v>57</v>
      </c>
      <c r="J55" s="278" t="s">
        <v>496</v>
      </c>
      <c r="K55" s="278" t="s">
        <v>670</v>
      </c>
      <c r="L55" s="407"/>
      <c r="M55" s="280"/>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c r="BA55" s="281"/>
      <c r="BB55" s="281"/>
      <c r="BC55" s="281"/>
      <c r="BD55" s="281"/>
      <c r="BE55" s="281"/>
      <c r="BF55" s="281"/>
      <c r="BG55" s="281"/>
      <c r="BH55" s="281"/>
      <c r="BI55" s="281"/>
      <c r="BJ55" s="281"/>
    </row>
    <row r="56" spans="1:62" s="271" customFormat="1" ht="36">
      <c r="A56" s="406"/>
      <c r="B56" s="278" t="s">
        <v>740</v>
      </c>
      <c r="C56" s="278" t="s">
        <v>741</v>
      </c>
      <c r="D56" s="278" t="s">
        <v>673</v>
      </c>
      <c r="E56" s="279" t="s">
        <v>674</v>
      </c>
      <c r="F56" s="279" t="s">
        <v>357</v>
      </c>
      <c r="G56" s="279"/>
      <c r="H56" s="279"/>
      <c r="I56" s="279" t="s">
        <v>57</v>
      </c>
      <c r="J56" s="278" t="s">
        <v>496</v>
      </c>
      <c r="K56" s="278" t="s">
        <v>701</v>
      </c>
      <c r="L56" s="407"/>
      <c r="M56" s="280"/>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c r="BA56" s="281"/>
      <c r="BB56" s="281"/>
      <c r="BC56" s="281"/>
      <c r="BD56" s="281"/>
      <c r="BE56" s="281"/>
      <c r="BF56" s="281"/>
      <c r="BG56" s="281"/>
      <c r="BH56" s="281"/>
      <c r="BI56" s="281"/>
      <c r="BJ56" s="281"/>
    </row>
  </sheetData>
  <autoFilter ref="A1:KU56">
    <extLst/>
  </autoFilter>
  <mergeCells count="3">
    <mergeCell ref="A2:A56"/>
    <mergeCell ref="L2:L56"/>
    <mergeCell ref="M17:M23"/>
  </mergeCells>
  <phoneticPr fontId="21" type="noConversion"/>
  <pageMargins left="0.69930555555555596" right="0.69930555555555596"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dimension ref="A1:AK6"/>
  <sheetViews>
    <sheetView workbookViewId="0">
      <pane xSplit="2" ySplit="1" topLeftCell="C2" activePane="bottomRight" state="frozen"/>
      <selection pane="topRight"/>
      <selection pane="bottomLeft"/>
      <selection pane="bottomRight" activeCell="B19" sqref="B19"/>
    </sheetView>
  </sheetViews>
  <sheetFormatPr defaultColWidth="9" defaultRowHeight="14"/>
  <cols>
    <col min="1" max="1" width="11.36328125" customWidth="1"/>
    <col min="2" max="2" width="48.90625" customWidth="1"/>
    <col min="3" max="3" width="36.36328125" customWidth="1"/>
    <col min="4" max="4" width="18.90625" customWidth="1"/>
    <col min="5" max="5" width="17.1796875" style="6" customWidth="1"/>
    <col min="6" max="6" width="6.36328125" style="6" customWidth="1"/>
    <col min="7" max="7" width="9.08984375" customWidth="1"/>
    <col min="8" max="8" width="14.1796875" customWidth="1"/>
    <col min="9" max="9" width="11.36328125" customWidth="1"/>
    <col min="10" max="10" width="13" customWidth="1"/>
    <col min="11" max="12" width="43.90625" customWidth="1"/>
    <col min="13" max="13" width="42" customWidth="1"/>
  </cols>
  <sheetData>
    <row r="1" spans="1:37" s="268" customFormat="1" ht="13">
      <c r="A1" s="164" t="s">
        <v>343</v>
      </c>
      <c r="B1" s="165" t="s">
        <v>344</v>
      </c>
      <c r="C1" s="165" t="s">
        <v>345</v>
      </c>
      <c r="D1" s="165" t="s">
        <v>346</v>
      </c>
      <c r="E1" s="166" t="s">
        <v>347</v>
      </c>
      <c r="F1" s="166" t="s">
        <v>348</v>
      </c>
      <c r="G1" s="165" t="s">
        <v>349</v>
      </c>
      <c r="H1" s="165" t="s">
        <v>350</v>
      </c>
      <c r="I1" s="165" t="s">
        <v>8</v>
      </c>
      <c r="J1" s="165" t="s">
        <v>6</v>
      </c>
      <c r="K1" s="18" t="s">
        <v>351</v>
      </c>
      <c r="L1" s="18" t="s">
        <v>273</v>
      </c>
      <c r="M1" s="18" t="s">
        <v>352</v>
      </c>
      <c r="N1" s="269"/>
      <c r="O1" s="269"/>
      <c r="P1" s="269"/>
      <c r="Q1" s="269"/>
      <c r="R1" s="269"/>
      <c r="S1" s="269"/>
      <c r="T1" s="269"/>
      <c r="U1" s="269"/>
      <c r="V1" s="269"/>
      <c r="W1" s="269"/>
      <c r="X1" s="269"/>
      <c r="Y1" s="269"/>
      <c r="Z1" s="269"/>
      <c r="AA1" s="269"/>
      <c r="AB1" s="269"/>
      <c r="AC1" s="269"/>
      <c r="AD1" s="269"/>
      <c r="AE1" s="269"/>
      <c r="AF1" s="269"/>
      <c r="AG1" s="269"/>
      <c r="AH1" s="269"/>
      <c r="AI1" s="269"/>
      <c r="AJ1" s="269"/>
      <c r="AK1" s="269"/>
    </row>
    <row r="2" spans="1:37" s="27" customFormat="1" ht="60">
      <c r="A2" s="411" t="s">
        <v>301</v>
      </c>
      <c r="B2" s="29" t="s">
        <v>742</v>
      </c>
      <c r="C2" s="29" t="s">
        <v>743</v>
      </c>
      <c r="D2" s="29" t="s">
        <v>191</v>
      </c>
      <c r="E2" s="29" t="s">
        <v>744</v>
      </c>
      <c r="F2" s="30" t="s">
        <v>357</v>
      </c>
      <c r="G2" s="414" t="s">
        <v>366</v>
      </c>
      <c r="H2" s="414" t="s">
        <v>366</v>
      </c>
      <c r="I2" s="30" t="s">
        <v>24</v>
      </c>
      <c r="J2" s="32" t="s">
        <v>71</v>
      </c>
      <c r="K2" s="29" t="s">
        <v>745</v>
      </c>
      <c r="L2" s="417" t="s">
        <v>746</v>
      </c>
      <c r="M2" s="53"/>
      <c r="N2" s="55"/>
      <c r="O2" s="55"/>
      <c r="P2" s="55"/>
    </row>
    <row r="3" spans="1:37" s="27" customFormat="1" ht="24">
      <c r="A3" s="412"/>
      <c r="B3" s="29" t="s">
        <v>747</v>
      </c>
      <c r="C3" s="29" t="s">
        <v>748</v>
      </c>
      <c r="D3" s="29" t="s">
        <v>494</v>
      </c>
      <c r="E3" s="29" t="s">
        <v>749</v>
      </c>
      <c r="F3" s="30" t="s">
        <v>357</v>
      </c>
      <c r="G3" s="415"/>
      <c r="H3" s="415"/>
      <c r="I3" s="30" t="s">
        <v>24</v>
      </c>
      <c r="J3" s="32" t="s">
        <v>496</v>
      </c>
      <c r="K3" s="29" t="s">
        <v>750</v>
      </c>
      <c r="L3" s="417"/>
      <c r="M3" s="53"/>
      <c r="N3" s="55"/>
      <c r="O3" s="55"/>
      <c r="P3" s="55"/>
    </row>
    <row r="4" spans="1:37" s="27" customFormat="1" ht="24">
      <c r="A4" s="412"/>
      <c r="B4" s="29" t="s">
        <v>751</v>
      </c>
      <c r="C4" s="29" t="s">
        <v>752</v>
      </c>
      <c r="D4" s="29" t="s">
        <v>501</v>
      </c>
      <c r="E4" s="29" t="s">
        <v>753</v>
      </c>
      <c r="F4" s="30" t="s">
        <v>357</v>
      </c>
      <c r="G4" s="415"/>
      <c r="H4" s="415"/>
      <c r="I4" s="30" t="s">
        <v>24</v>
      </c>
      <c r="J4" s="32" t="s">
        <v>496</v>
      </c>
      <c r="K4" s="29" t="s">
        <v>754</v>
      </c>
      <c r="L4" s="417"/>
      <c r="M4" s="53"/>
      <c r="N4" s="55"/>
      <c r="O4" s="55"/>
      <c r="P4" s="55"/>
    </row>
    <row r="5" spans="1:37" s="27" customFormat="1" ht="48">
      <c r="A5" s="412"/>
      <c r="B5" s="29" t="s">
        <v>755</v>
      </c>
      <c r="C5" s="29" t="s">
        <v>756</v>
      </c>
      <c r="D5" s="29" t="s">
        <v>506</v>
      </c>
      <c r="E5" s="29" t="s">
        <v>757</v>
      </c>
      <c r="F5" s="30" t="s">
        <v>357</v>
      </c>
      <c r="G5" s="415"/>
      <c r="H5" s="415"/>
      <c r="I5" s="30" t="s">
        <v>24</v>
      </c>
      <c r="J5" s="32" t="s">
        <v>496</v>
      </c>
      <c r="K5" s="29" t="s">
        <v>758</v>
      </c>
      <c r="L5" s="417"/>
      <c r="M5" s="53"/>
      <c r="N5" s="55"/>
      <c r="O5" s="55"/>
      <c r="P5" s="55"/>
    </row>
    <row r="6" spans="1:37" s="27" customFormat="1">
      <c r="A6" s="413"/>
      <c r="B6" s="29" t="s">
        <v>759</v>
      </c>
      <c r="C6" s="29" t="s">
        <v>760</v>
      </c>
      <c r="D6" s="29" t="s">
        <v>761</v>
      </c>
      <c r="E6" s="29" t="s">
        <v>762</v>
      </c>
      <c r="F6" s="30" t="s">
        <v>357</v>
      </c>
      <c r="G6" s="416"/>
      <c r="H6" s="416"/>
      <c r="I6" s="30" t="s">
        <v>24</v>
      </c>
      <c r="J6" s="32" t="s">
        <v>524</v>
      </c>
      <c r="K6" s="29"/>
      <c r="L6" s="417"/>
      <c r="M6" s="53"/>
      <c r="N6" s="55"/>
      <c r="O6" s="55"/>
      <c r="P6" s="55"/>
    </row>
  </sheetData>
  <mergeCells count="4">
    <mergeCell ref="A2:A6"/>
    <mergeCell ref="G2:G6"/>
    <mergeCell ref="H2:H6"/>
    <mergeCell ref="L2:L6"/>
  </mergeCells>
  <phoneticPr fontId="21" type="noConversion"/>
  <pageMargins left="0.69930555555555596" right="0.69930555555555596"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dimension ref="A1:BJ55"/>
  <sheetViews>
    <sheetView workbookViewId="0">
      <pane xSplit="2" ySplit="1" topLeftCell="F2" activePane="bottomRight" state="frozen"/>
      <selection pane="topRight"/>
      <selection pane="bottomLeft"/>
      <selection pane="bottomRight" activeCell="B26" sqref="B26"/>
    </sheetView>
  </sheetViews>
  <sheetFormatPr defaultColWidth="43.36328125" defaultRowHeight="13"/>
  <cols>
    <col min="1" max="1" width="15.1796875" style="149" customWidth="1"/>
    <col min="2" max="2" width="235.08984375" style="150" customWidth="1"/>
    <col min="3" max="3" width="61.36328125" style="150" customWidth="1"/>
    <col min="4" max="5" width="43.36328125" style="238"/>
    <col min="6" max="6" width="43.36328125" style="152"/>
    <col min="7" max="7" width="43.36328125" style="150"/>
    <col min="8" max="8" width="43.36328125" style="239"/>
    <col min="9" max="12" width="43.36328125" style="152"/>
    <col min="13" max="13" width="54.453125" style="218" customWidth="1"/>
    <col min="14" max="16384" width="43.36328125" style="150"/>
  </cols>
  <sheetData>
    <row r="1" spans="1:52" s="1" customFormat="1">
      <c r="A1" s="7" t="s">
        <v>343</v>
      </c>
      <c r="B1" s="8" t="s">
        <v>344</v>
      </c>
      <c r="C1" s="8" t="s">
        <v>345</v>
      </c>
      <c r="D1" s="92" t="s">
        <v>346</v>
      </c>
      <c r="E1" s="92" t="s">
        <v>347</v>
      </c>
      <c r="F1" s="8" t="s">
        <v>348</v>
      </c>
      <c r="G1" s="21" t="s">
        <v>349</v>
      </c>
      <c r="H1" s="7" t="s">
        <v>350</v>
      </c>
      <c r="I1" s="8" t="s">
        <v>8</v>
      </c>
      <c r="J1" s="8" t="s">
        <v>6</v>
      </c>
      <c r="K1" s="8" t="s">
        <v>351</v>
      </c>
      <c r="L1" s="21" t="s">
        <v>273</v>
      </c>
      <c r="M1" s="18" t="s">
        <v>352</v>
      </c>
      <c r="N1" s="155"/>
      <c r="O1" s="155"/>
      <c r="P1" s="155"/>
      <c r="Q1" s="155"/>
      <c r="R1" s="155"/>
      <c r="S1" s="155"/>
      <c r="T1" s="155"/>
    </row>
    <row r="2" spans="1:52" s="73" customFormat="1">
      <c r="A2" s="75" t="s">
        <v>763</v>
      </c>
      <c r="B2" s="40" t="s">
        <v>764</v>
      </c>
      <c r="C2" s="40" t="s">
        <v>765</v>
      </c>
      <c r="D2" s="77" t="s">
        <v>766</v>
      </c>
      <c r="E2" s="77" t="s">
        <v>767</v>
      </c>
      <c r="F2" s="76" t="s">
        <v>357</v>
      </c>
      <c r="G2" s="80"/>
      <c r="H2" s="76" t="s">
        <v>768</v>
      </c>
      <c r="I2" s="76" t="s">
        <v>24</v>
      </c>
      <c r="J2" s="96" t="s">
        <v>71</v>
      </c>
      <c r="K2" s="79" t="s">
        <v>557</v>
      </c>
      <c r="L2" s="30" t="s">
        <v>769</v>
      </c>
      <c r="M2" s="122"/>
      <c r="N2" s="72"/>
      <c r="O2" s="72"/>
      <c r="P2" s="72"/>
      <c r="Q2" s="72"/>
      <c r="R2" s="72"/>
      <c r="S2" s="72"/>
      <c r="T2" s="72"/>
    </row>
    <row r="3" spans="1:52" s="233" customFormat="1">
      <c r="A3" s="428" t="s">
        <v>770</v>
      </c>
      <c r="B3" s="42" t="s">
        <v>771</v>
      </c>
      <c r="C3" s="42" t="s">
        <v>772</v>
      </c>
      <c r="D3" s="93" t="s">
        <v>773</v>
      </c>
      <c r="E3" s="93" t="s">
        <v>774</v>
      </c>
      <c r="F3" s="78" t="s">
        <v>357</v>
      </c>
      <c r="G3" s="82"/>
      <c r="H3" s="78" t="s">
        <v>366</v>
      </c>
      <c r="I3" s="78" t="s">
        <v>24</v>
      </c>
      <c r="J3" s="254" t="s">
        <v>775</v>
      </c>
      <c r="K3" s="78" t="s">
        <v>776</v>
      </c>
      <c r="L3" s="39" t="s">
        <v>777</v>
      </c>
      <c r="M3" s="99" t="s">
        <v>778</v>
      </c>
      <c r="N3" s="234"/>
      <c r="O3" s="234"/>
      <c r="P3" s="234"/>
      <c r="Q3" s="234"/>
      <c r="R3" s="234"/>
      <c r="S3" s="234"/>
      <c r="T3" s="234"/>
    </row>
    <row r="4" spans="1:52" s="73" customFormat="1">
      <c r="A4" s="420"/>
      <c r="B4" s="40" t="s">
        <v>779</v>
      </c>
      <c r="C4" s="40" t="s">
        <v>780</v>
      </c>
      <c r="D4" s="77" t="s">
        <v>781</v>
      </c>
      <c r="E4" s="77" t="s">
        <v>781</v>
      </c>
      <c r="F4" s="76" t="s">
        <v>357</v>
      </c>
      <c r="G4" s="80"/>
      <c r="H4" s="76" t="s">
        <v>782</v>
      </c>
      <c r="I4" s="76" t="s">
        <v>24</v>
      </c>
      <c r="J4" s="231" t="s">
        <v>584</v>
      </c>
      <c r="K4" s="76" t="s">
        <v>783</v>
      </c>
      <c r="L4" s="30" t="s">
        <v>769</v>
      </c>
      <c r="M4" s="122"/>
      <c r="N4" s="72"/>
      <c r="O4" s="72"/>
      <c r="P4" s="72"/>
      <c r="Q4" s="72"/>
      <c r="R4" s="72"/>
      <c r="S4" s="72"/>
      <c r="T4" s="72"/>
    </row>
    <row r="5" spans="1:52" s="70" customFormat="1" ht="24">
      <c r="A5" s="431" t="s">
        <v>784</v>
      </c>
      <c r="B5" s="40" t="s">
        <v>785</v>
      </c>
      <c r="C5" s="40" t="s">
        <v>786</v>
      </c>
      <c r="D5" s="77" t="s">
        <v>787</v>
      </c>
      <c r="E5" s="77" t="s">
        <v>788</v>
      </c>
      <c r="F5" s="76" t="s">
        <v>789</v>
      </c>
      <c r="G5" s="40" t="s">
        <v>790</v>
      </c>
      <c r="H5" s="76" t="s">
        <v>791</v>
      </c>
      <c r="I5" s="76" t="s">
        <v>57</v>
      </c>
      <c r="J5" s="255" t="s">
        <v>374</v>
      </c>
      <c r="K5" s="96" t="s">
        <v>366</v>
      </c>
      <c r="L5" s="76" t="s">
        <v>407</v>
      </c>
      <c r="M5" s="256" t="s">
        <v>792</v>
      </c>
    </row>
    <row r="6" spans="1:52" s="70" customFormat="1" ht="24">
      <c r="A6" s="431"/>
      <c r="B6" s="40" t="s">
        <v>793</v>
      </c>
      <c r="C6" s="40" t="s">
        <v>794</v>
      </c>
      <c r="D6" s="77" t="s">
        <v>795</v>
      </c>
      <c r="E6" s="77" t="s">
        <v>796</v>
      </c>
      <c r="F6" s="76" t="s">
        <v>789</v>
      </c>
      <c r="G6" s="40"/>
      <c r="H6" s="76" t="s">
        <v>791</v>
      </c>
      <c r="I6" s="76" t="s">
        <v>57</v>
      </c>
      <c r="J6" s="96" t="s">
        <v>584</v>
      </c>
      <c r="K6" s="96" t="s">
        <v>366</v>
      </c>
      <c r="L6" s="76" t="s">
        <v>407</v>
      </c>
      <c r="M6" s="122"/>
    </row>
    <row r="7" spans="1:52" s="70" customFormat="1" ht="24">
      <c r="A7" s="431"/>
      <c r="B7" s="40" t="s">
        <v>797</v>
      </c>
      <c r="C7" s="40" t="s">
        <v>798</v>
      </c>
      <c r="D7" s="77" t="s">
        <v>799</v>
      </c>
      <c r="E7" s="77" t="s">
        <v>800</v>
      </c>
      <c r="F7" s="76" t="s">
        <v>789</v>
      </c>
      <c r="G7" s="40"/>
      <c r="H7" s="76" t="s">
        <v>791</v>
      </c>
      <c r="I7" s="76" t="s">
        <v>57</v>
      </c>
      <c r="J7" s="96" t="s">
        <v>801</v>
      </c>
      <c r="K7" s="96" t="s">
        <v>366</v>
      </c>
      <c r="L7" s="76" t="s">
        <v>407</v>
      </c>
      <c r="M7" s="122"/>
    </row>
    <row r="8" spans="1:52" s="70" customFormat="1" ht="24">
      <c r="A8" s="431"/>
      <c r="B8" s="40" t="s">
        <v>802</v>
      </c>
      <c r="C8" s="40" t="s">
        <v>803</v>
      </c>
      <c r="D8" s="77" t="s">
        <v>804</v>
      </c>
      <c r="E8" s="77" t="s">
        <v>805</v>
      </c>
      <c r="F8" s="76" t="s">
        <v>789</v>
      </c>
      <c r="G8" s="40"/>
      <c r="H8" s="76" t="s">
        <v>806</v>
      </c>
      <c r="I8" s="76" t="s">
        <v>57</v>
      </c>
      <c r="J8" s="257" t="s">
        <v>387</v>
      </c>
      <c r="K8" s="96" t="s">
        <v>366</v>
      </c>
      <c r="L8" s="76" t="s">
        <v>407</v>
      </c>
      <c r="M8" s="122"/>
    </row>
    <row r="9" spans="1:52" s="70" customFormat="1" ht="24">
      <c r="A9" s="431"/>
      <c r="B9" s="40" t="s">
        <v>807</v>
      </c>
      <c r="C9" s="40" t="s">
        <v>808</v>
      </c>
      <c r="D9" s="77" t="s">
        <v>809</v>
      </c>
      <c r="E9" s="77" t="s">
        <v>810</v>
      </c>
      <c r="F9" s="76" t="s">
        <v>789</v>
      </c>
      <c r="G9" s="40"/>
      <c r="H9" s="76" t="s">
        <v>806</v>
      </c>
      <c r="I9" s="76" t="s">
        <v>57</v>
      </c>
      <c r="J9" s="257" t="s">
        <v>387</v>
      </c>
      <c r="K9" s="96" t="s">
        <v>366</v>
      </c>
      <c r="L9" s="76" t="s">
        <v>407</v>
      </c>
      <c r="M9" s="122"/>
    </row>
    <row r="10" spans="1:52" s="72" customFormat="1">
      <c r="A10" s="406" t="s">
        <v>811</v>
      </c>
      <c r="B10" s="40" t="s">
        <v>812</v>
      </c>
      <c r="C10" s="40" t="s">
        <v>813</v>
      </c>
      <c r="D10" s="77" t="s">
        <v>814</v>
      </c>
      <c r="E10" s="77" t="s">
        <v>815</v>
      </c>
      <c r="F10" s="76" t="s">
        <v>357</v>
      </c>
      <c r="G10" s="396" t="s">
        <v>816</v>
      </c>
      <c r="H10" s="76" t="s">
        <v>814</v>
      </c>
      <c r="I10" s="76" t="s">
        <v>57</v>
      </c>
      <c r="J10" s="257" t="s">
        <v>387</v>
      </c>
      <c r="K10" s="96" t="s">
        <v>366</v>
      </c>
      <c r="L10" s="76" t="s">
        <v>407</v>
      </c>
      <c r="M10" s="122"/>
    </row>
    <row r="11" spans="1:52" s="72" customFormat="1">
      <c r="A11" s="428"/>
      <c r="B11" s="111" t="s">
        <v>817</v>
      </c>
      <c r="C11" s="111" t="s">
        <v>818</v>
      </c>
      <c r="D11" s="240" t="s">
        <v>819</v>
      </c>
      <c r="E11" s="240" t="s">
        <v>820</v>
      </c>
      <c r="F11" s="94" t="s">
        <v>357</v>
      </c>
      <c r="G11" s="425"/>
      <c r="H11" s="94" t="s">
        <v>819</v>
      </c>
      <c r="I11" s="94" t="s">
        <v>57</v>
      </c>
      <c r="J11" s="257" t="s">
        <v>387</v>
      </c>
      <c r="K11" s="156" t="s">
        <v>366</v>
      </c>
      <c r="L11" s="94" t="s">
        <v>407</v>
      </c>
      <c r="M11" s="258"/>
    </row>
    <row r="12" spans="1:52" s="49" customFormat="1" ht="14.5">
      <c r="A12" s="432" t="s">
        <v>821</v>
      </c>
      <c r="B12" s="29" t="s">
        <v>822</v>
      </c>
      <c r="C12" s="29" t="s">
        <v>823</v>
      </c>
      <c r="D12" s="241" t="s">
        <v>824</v>
      </c>
      <c r="E12" s="241" t="s">
        <v>825</v>
      </c>
      <c r="F12" s="76" t="s">
        <v>357</v>
      </c>
      <c r="G12" s="30" t="s">
        <v>826</v>
      </c>
      <c r="H12" s="30" t="s">
        <v>806</v>
      </c>
      <c r="I12" s="30" t="s">
        <v>24</v>
      </c>
      <c r="J12" s="32" t="s">
        <v>387</v>
      </c>
      <c r="K12" s="32"/>
      <c r="L12" s="30" t="s">
        <v>769</v>
      </c>
      <c r="M12" s="259"/>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row>
    <row r="13" spans="1:52" s="49" customFormat="1" ht="14.5">
      <c r="A13" s="432"/>
      <c r="B13" s="29" t="s">
        <v>827</v>
      </c>
      <c r="C13" s="29" t="s">
        <v>828</v>
      </c>
      <c r="D13" s="241" t="s">
        <v>829</v>
      </c>
      <c r="E13" s="241" t="s">
        <v>830</v>
      </c>
      <c r="F13" s="76" t="s">
        <v>357</v>
      </c>
      <c r="G13" s="30"/>
      <c r="H13" s="30" t="s">
        <v>806</v>
      </c>
      <c r="I13" s="30" t="s">
        <v>24</v>
      </c>
      <c r="J13" s="32" t="s">
        <v>387</v>
      </c>
      <c r="K13" s="32"/>
      <c r="L13" s="30" t="s">
        <v>769</v>
      </c>
      <c r="M13" s="259"/>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row>
    <row r="14" spans="1:52" s="49" customFormat="1" ht="14.5">
      <c r="A14" s="432"/>
      <c r="B14" s="29" t="s">
        <v>831</v>
      </c>
      <c r="C14" s="29" t="s">
        <v>832</v>
      </c>
      <c r="D14" s="241" t="s">
        <v>833</v>
      </c>
      <c r="E14" s="241" t="s">
        <v>834</v>
      </c>
      <c r="F14" s="76" t="s">
        <v>357</v>
      </c>
      <c r="G14" s="30"/>
      <c r="H14" s="30" t="s">
        <v>806</v>
      </c>
      <c r="I14" s="30" t="s">
        <v>24</v>
      </c>
      <c r="J14" s="32" t="s">
        <v>387</v>
      </c>
      <c r="K14" s="32"/>
      <c r="L14" s="30" t="s">
        <v>769</v>
      </c>
      <c r="M14" s="259"/>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row>
    <row r="15" spans="1:52" s="49" customFormat="1" ht="24">
      <c r="A15" s="412" t="s">
        <v>835</v>
      </c>
      <c r="B15" s="242" t="s">
        <v>836</v>
      </c>
      <c r="C15" s="242" t="s">
        <v>837</v>
      </c>
      <c r="D15" s="243" t="s">
        <v>838</v>
      </c>
      <c r="E15" s="243" t="s">
        <v>839</v>
      </c>
      <c r="F15" s="244" t="s">
        <v>789</v>
      </c>
      <c r="G15" s="207"/>
      <c r="H15" s="245" t="s">
        <v>840</v>
      </c>
      <c r="I15" s="207" t="s">
        <v>24</v>
      </c>
      <c r="J15" s="260" t="s">
        <v>71</v>
      </c>
      <c r="K15" s="207" t="s">
        <v>841</v>
      </c>
      <c r="L15" s="415" t="s">
        <v>407</v>
      </c>
      <c r="M15" s="261"/>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row>
    <row r="16" spans="1:52" s="27" customFormat="1">
      <c r="A16" s="403"/>
      <c r="B16" s="29" t="s">
        <v>842</v>
      </c>
      <c r="C16" s="29" t="s">
        <v>843</v>
      </c>
      <c r="D16" s="241" t="s">
        <v>844</v>
      </c>
      <c r="E16" s="241" t="s">
        <v>845</v>
      </c>
      <c r="F16" s="76" t="s">
        <v>789</v>
      </c>
      <c r="G16" s="30"/>
      <c r="H16" s="30" t="s">
        <v>806</v>
      </c>
      <c r="I16" s="30" t="s">
        <v>24</v>
      </c>
      <c r="J16" s="32" t="s">
        <v>387</v>
      </c>
      <c r="K16" s="32"/>
      <c r="L16" s="415"/>
      <c r="M16" s="259"/>
    </row>
    <row r="17" spans="1:62" s="27" customFormat="1">
      <c r="A17" s="403"/>
      <c r="B17" s="29" t="s">
        <v>846</v>
      </c>
      <c r="C17" s="29" t="s">
        <v>847</v>
      </c>
      <c r="D17" s="241" t="s">
        <v>848</v>
      </c>
      <c r="E17" s="241" t="s">
        <v>849</v>
      </c>
      <c r="F17" s="76" t="s">
        <v>789</v>
      </c>
      <c r="G17" s="30"/>
      <c r="H17" s="30" t="s">
        <v>806</v>
      </c>
      <c r="I17" s="30" t="s">
        <v>24</v>
      </c>
      <c r="J17" s="32" t="s">
        <v>387</v>
      </c>
      <c r="K17" s="32"/>
      <c r="L17" s="415"/>
      <c r="M17" s="259"/>
    </row>
    <row r="18" spans="1:62" s="55" customFormat="1" ht="14">
      <c r="A18" s="403"/>
      <c r="B18" s="29" t="s">
        <v>850</v>
      </c>
      <c r="C18" s="29" t="s">
        <v>851</v>
      </c>
      <c r="D18" s="241" t="s">
        <v>852</v>
      </c>
      <c r="E18" s="241" t="s">
        <v>853</v>
      </c>
      <c r="F18" s="76" t="s">
        <v>789</v>
      </c>
      <c r="G18" s="30"/>
      <c r="H18" s="30" t="s">
        <v>806</v>
      </c>
      <c r="I18" s="30" t="s">
        <v>24</v>
      </c>
      <c r="J18" s="32" t="s">
        <v>387</v>
      </c>
      <c r="K18" s="32"/>
      <c r="L18" s="416"/>
      <c r="M18" s="122"/>
    </row>
    <row r="19" spans="1:62" s="55" customFormat="1" ht="14">
      <c r="A19" s="403"/>
      <c r="B19" s="29" t="s">
        <v>854</v>
      </c>
      <c r="C19" s="29" t="s">
        <v>855</v>
      </c>
      <c r="D19" s="241" t="s">
        <v>856</v>
      </c>
      <c r="E19" s="241" t="s">
        <v>857</v>
      </c>
      <c r="F19" s="76" t="s">
        <v>789</v>
      </c>
      <c r="G19" s="30"/>
      <c r="H19" s="30" t="s">
        <v>366</v>
      </c>
      <c r="I19" s="30" t="s">
        <v>24</v>
      </c>
      <c r="J19" s="32" t="s">
        <v>387</v>
      </c>
      <c r="K19" s="32"/>
      <c r="L19" s="414" t="s">
        <v>470</v>
      </c>
      <c r="M19" s="122"/>
    </row>
    <row r="20" spans="1:62" s="55" customFormat="1" ht="14">
      <c r="A20" s="403"/>
      <c r="B20" s="29" t="s">
        <v>858</v>
      </c>
      <c r="C20" s="29" t="s">
        <v>859</v>
      </c>
      <c r="D20" s="241" t="s">
        <v>860</v>
      </c>
      <c r="E20" s="241" t="s">
        <v>861</v>
      </c>
      <c r="F20" s="76" t="s">
        <v>789</v>
      </c>
      <c r="G20" s="30"/>
      <c r="H20" s="30" t="s">
        <v>366</v>
      </c>
      <c r="I20" s="30" t="s">
        <v>24</v>
      </c>
      <c r="J20" s="32" t="s">
        <v>387</v>
      </c>
      <c r="K20" s="32"/>
      <c r="L20" s="415"/>
      <c r="M20" s="122"/>
    </row>
    <row r="21" spans="1:62" s="55" customFormat="1" ht="14">
      <c r="A21" s="404"/>
      <c r="B21" s="29" t="s">
        <v>862</v>
      </c>
      <c r="C21" s="29" t="s">
        <v>863</v>
      </c>
      <c r="D21" s="241" t="s">
        <v>864</v>
      </c>
      <c r="E21" s="241" t="s">
        <v>865</v>
      </c>
      <c r="F21" s="76" t="s">
        <v>789</v>
      </c>
      <c r="G21" s="30"/>
      <c r="H21" s="30" t="s">
        <v>366</v>
      </c>
      <c r="I21" s="30" t="s">
        <v>24</v>
      </c>
      <c r="J21" s="32" t="s">
        <v>387</v>
      </c>
      <c r="K21" s="32"/>
      <c r="L21" s="416"/>
      <c r="M21" s="122"/>
    </row>
    <row r="22" spans="1:62" s="72" customFormat="1">
      <c r="A22" s="428" t="s">
        <v>866</v>
      </c>
      <c r="B22" s="40" t="s">
        <v>867</v>
      </c>
      <c r="C22" s="40" t="s">
        <v>868</v>
      </c>
      <c r="D22" s="77" t="s">
        <v>787</v>
      </c>
      <c r="E22" s="77" t="s">
        <v>787</v>
      </c>
      <c r="F22" s="76" t="s">
        <v>357</v>
      </c>
      <c r="G22" s="425" t="s">
        <v>869</v>
      </c>
      <c r="H22" s="418" t="s">
        <v>366</v>
      </c>
      <c r="I22" s="76" t="s">
        <v>24</v>
      </c>
      <c r="J22" s="144" t="s">
        <v>374</v>
      </c>
      <c r="K22" s="76" t="s">
        <v>366</v>
      </c>
      <c r="L22" s="418" t="s">
        <v>470</v>
      </c>
      <c r="M22" s="256" t="s">
        <v>792</v>
      </c>
    </row>
    <row r="23" spans="1:62" s="72" customFormat="1">
      <c r="A23" s="420"/>
      <c r="B23" s="40" t="s">
        <v>870</v>
      </c>
      <c r="C23" s="40" t="s">
        <v>871</v>
      </c>
      <c r="D23" s="77" t="s">
        <v>872</v>
      </c>
      <c r="E23" s="77" t="s">
        <v>873</v>
      </c>
      <c r="F23" s="76" t="s">
        <v>357</v>
      </c>
      <c r="G23" s="426"/>
      <c r="H23" s="418"/>
      <c r="I23" s="76" t="s">
        <v>24</v>
      </c>
      <c r="J23" s="76" t="s">
        <v>28</v>
      </c>
      <c r="K23" s="76" t="s">
        <v>366</v>
      </c>
      <c r="L23" s="418"/>
      <c r="M23" s="122"/>
    </row>
    <row r="24" spans="1:62" s="72" customFormat="1">
      <c r="A24" s="420"/>
      <c r="B24" s="40" t="s">
        <v>874</v>
      </c>
      <c r="C24" s="40" t="s">
        <v>875</v>
      </c>
      <c r="D24" s="77" t="s">
        <v>876</v>
      </c>
      <c r="E24" s="77" t="s">
        <v>877</v>
      </c>
      <c r="F24" s="76" t="s">
        <v>357</v>
      </c>
      <c r="G24" s="426"/>
      <c r="H24" s="418"/>
      <c r="I24" s="76" t="s">
        <v>24</v>
      </c>
      <c r="J24" s="76" t="s">
        <v>28</v>
      </c>
      <c r="K24" s="76" t="s">
        <v>366</v>
      </c>
      <c r="L24" s="418"/>
      <c r="M24" s="122"/>
    </row>
    <row r="25" spans="1:62" s="72" customFormat="1">
      <c r="A25" s="420"/>
      <c r="B25" s="111" t="s">
        <v>878</v>
      </c>
      <c r="C25" s="111" t="s">
        <v>879</v>
      </c>
      <c r="D25" s="240" t="s">
        <v>880</v>
      </c>
      <c r="E25" s="240" t="s">
        <v>881</v>
      </c>
      <c r="F25" s="94" t="s">
        <v>357</v>
      </c>
      <c r="G25" s="426"/>
      <c r="H25" s="94" t="s">
        <v>882</v>
      </c>
      <c r="I25" s="94" t="s">
        <v>24</v>
      </c>
      <c r="J25" s="94" t="s">
        <v>387</v>
      </c>
      <c r="K25" s="94" t="s">
        <v>366</v>
      </c>
      <c r="L25" s="94" t="s">
        <v>407</v>
      </c>
      <c r="M25" s="258"/>
    </row>
    <row r="26" spans="1:62" s="234" customFormat="1">
      <c r="A26" s="429"/>
      <c r="B26" s="148" t="s">
        <v>883</v>
      </c>
      <c r="C26" s="148" t="s">
        <v>884</v>
      </c>
      <c r="D26" s="208" t="s">
        <v>885</v>
      </c>
      <c r="E26" s="208" t="s">
        <v>886</v>
      </c>
      <c r="F26" s="135" t="s">
        <v>357</v>
      </c>
      <c r="G26" s="427"/>
      <c r="H26" s="135" t="s">
        <v>882</v>
      </c>
      <c r="I26" s="135" t="s">
        <v>24</v>
      </c>
      <c r="J26" s="135" t="s">
        <v>387</v>
      </c>
      <c r="K26" s="135" t="s">
        <v>366</v>
      </c>
      <c r="L26" s="135" t="s">
        <v>407</v>
      </c>
      <c r="M26" s="262" t="s">
        <v>887</v>
      </c>
    </row>
    <row r="27" spans="1:62" s="50" customFormat="1" ht="24">
      <c r="A27" s="246" t="s">
        <v>888</v>
      </c>
      <c r="B27" s="42" t="s">
        <v>889</v>
      </c>
      <c r="C27" s="42" t="s">
        <v>890</v>
      </c>
      <c r="D27" s="93" t="s">
        <v>891</v>
      </c>
      <c r="E27" s="93" t="s">
        <v>888</v>
      </c>
      <c r="F27" s="78" t="s">
        <v>357</v>
      </c>
      <c r="G27" s="42" t="s">
        <v>892</v>
      </c>
      <c r="H27" s="78" t="s">
        <v>891</v>
      </c>
      <c r="I27" s="78" t="s">
        <v>24</v>
      </c>
      <c r="J27" s="78" t="s">
        <v>71</v>
      </c>
      <c r="K27" s="78" t="s">
        <v>893</v>
      </c>
      <c r="L27" s="78" t="s">
        <v>407</v>
      </c>
      <c r="M27" s="99" t="s">
        <v>778</v>
      </c>
      <c r="N27" s="36"/>
      <c r="O27" s="36"/>
      <c r="P27" s="36"/>
      <c r="Q27" s="36"/>
      <c r="R27" s="36"/>
      <c r="S27" s="36"/>
      <c r="T27" s="36"/>
      <c r="U27" s="36"/>
      <c r="V27" s="36"/>
      <c r="W27" s="36"/>
      <c r="X27" s="36"/>
      <c r="Y27" s="36"/>
      <c r="Z27" s="36"/>
      <c r="AA27" s="36"/>
      <c r="AB27" s="36"/>
      <c r="AC27" s="36"/>
      <c r="AD27" s="36"/>
      <c r="AE27" s="36"/>
      <c r="AF27" s="36"/>
      <c r="AG27" s="36"/>
      <c r="AH27" s="36"/>
      <c r="AI27" s="36"/>
      <c r="AJ27" s="234"/>
      <c r="AK27" s="234"/>
      <c r="AL27" s="234"/>
      <c r="AM27" s="234"/>
      <c r="AN27" s="234"/>
      <c r="AO27" s="234"/>
      <c r="AP27" s="234"/>
      <c r="AQ27" s="234"/>
      <c r="AR27" s="234"/>
      <c r="AS27" s="234"/>
      <c r="AT27" s="234"/>
      <c r="AU27" s="234"/>
      <c r="AV27" s="234"/>
      <c r="AW27" s="234"/>
      <c r="AX27" s="234"/>
      <c r="AY27" s="234"/>
      <c r="AZ27" s="234"/>
      <c r="BA27" s="234"/>
      <c r="BB27" s="234"/>
      <c r="BC27" s="234"/>
      <c r="BD27" s="234"/>
      <c r="BE27" s="234"/>
      <c r="BF27" s="234"/>
      <c r="BG27" s="234"/>
      <c r="BH27" s="234"/>
      <c r="BI27" s="234"/>
      <c r="BJ27" s="234"/>
    </row>
    <row r="28" spans="1:62" s="72" customFormat="1">
      <c r="A28" s="421" t="s">
        <v>894</v>
      </c>
      <c r="B28" s="114" t="s">
        <v>895</v>
      </c>
      <c r="C28" s="114" t="s">
        <v>896</v>
      </c>
      <c r="D28" s="247" t="s">
        <v>897</v>
      </c>
      <c r="E28" s="247" t="s">
        <v>898</v>
      </c>
      <c r="F28" s="244" t="s">
        <v>357</v>
      </c>
      <c r="G28" s="248"/>
      <c r="H28" s="244" t="s">
        <v>897</v>
      </c>
      <c r="I28" s="244" t="s">
        <v>24</v>
      </c>
      <c r="J28" s="263" t="s">
        <v>584</v>
      </c>
      <c r="K28" s="264" t="s">
        <v>366</v>
      </c>
      <c r="L28" s="207" t="s">
        <v>407</v>
      </c>
      <c r="M28" s="265"/>
    </row>
    <row r="29" spans="1:62" s="234" customFormat="1">
      <c r="A29" s="406"/>
      <c r="B29" s="42" t="s">
        <v>899</v>
      </c>
      <c r="C29" s="42" t="s">
        <v>900</v>
      </c>
      <c r="D29" s="93" t="s">
        <v>901</v>
      </c>
      <c r="E29" s="93" t="s">
        <v>902</v>
      </c>
      <c r="F29" s="78" t="s">
        <v>357</v>
      </c>
      <c r="G29" s="82"/>
      <c r="H29" s="78" t="s">
        <v>901</v>
      </c>
      <c r="I29" s="78" t="s">
        <v>57</v>
      </c>
      <c r="J29" s="231" t="s">
        <v>903</v>
      </c>
      <c r="K29" s="81" t="s">
        <v>366</v>
      </c>
      <c r="L29" s="39" t="s">
        <v>769</v>
      </c>
      <c r="M29" s="99" t="s">
        <v>778</v>
      </c>
    </row>
    <row r="30" spans="1:62" s="72" customFormat="1">
      <c r="A30" s="406"/>
      <c r="B30" s="40" t="s">
        <v>904</v>
      </c>
      <c r="C30" s="40" t="s">
        <v>905</v>
      </c>
      <c r="D30" s="77" t="s">
        <v>906</v>
      </c>
      <c r="E30" s="77" t="s">
        <v>907</v>
      </c>
      <c r="F30" s="76" t="s">
        <v>357</v>
      </c>
      <c r="G30" s="80"/>
      <c r="H30" s="76" t="s">
        <v>906</v>
      </c>
      <c r="I30" s="76" t="s">
        <v>57</v>
      </c>
      <c r="J30" s="96" t="s">
        <v>584</v>
      </c>
      <c r="K30" s="79" t="s">
        <v>366</v>
      </c>
      <c r="L30" s="30" t="s">
        <v>407</v>
      </c>
      <c r="M30" s="122"/>
    </row>
    <row r="31" spans="1:62" s="233" customFormat="1">
      <c r="A31" s="420" t="s">
        <v>908</v>
      </c>
      <c r="B31" s="42" t="s">
        <v>909</v>
      </c>
      <c r="C31" s="42" t="s">
        <v>910</v>
      </c>
      <c r="D31" s="93" t="s">
        <v>787</v>
      </c>
      <c r="E31" s="93" t="s">
        <v>911</v>
      </c>
      <c r="F31" s="78" t="s">
        <v>357</v>
      </c>
      <c r="G31" s="82"/>
      <c r="H31" s="78" t="s">
        <v>912</v>
      </c>
      <c r="I31" s="78" t="s">
        <v>24</v>
      </c>
      <c r="J31" s="254" t="s">
        <v>374</v>
      </c>
      <c r="K31" s="78" t="s">
        <v>913</v>
      </c>
      <c r="L31" s="39" t="s">
        <v>769</v>
      </c>
      <c r="M31" s="99" t="s">
        <v>778</v>
      </c>
      <c r="N31" s="234"/>
      <c r="O31" s="234"/>
      <c r="P31" s="234"/>
      <c r="Q31" s="234"/>
      <c r="R31" s="234"/>
      <c r="S31" s="234"/>
      <c r="T31" s="234"/>
    </row>
    <row r="32" spans="1:62" s="73" customFormat="1" ht="24">
      <c r="A32" s="421"/>
      <c r="B32" s="40" t="s">
        <v>914</v>
      </c>
      <c r="C32" s="40" t="s">
        <v>915</v>
      </c>
      <c r="D32" s="77" t="s">
        <v>916</v>
      </c>
      <c r="E32" s="77" t="s">
        <v>917</v>
      </c>
      <c r="F32" s="76" t="s">
        <v>357</v>
      </c>
      <c r="G32" s="80"/>
      <c r="H32" s="76" t="s">
        <v>366</v>
      </c>
      <c r="I32" s="76" t="s">
        <v>24</v>
      </c>
      <c r="J32" s="96" t="s">
        <v>71</v>
      </c>
      <c r="K32" s="76" t="s">
        <v>918</v>
      </c>
      <c r="L32" s="30" t="s">
        <v>769</v>
      </c>
      <c r="M32" s="122"/>
      <c r="N32" s="72"/>
      <c r="O32" s="72"/>
      <c r="P32" s="72"/>
      <c r="Q32" s="72"/>
      <c r="R32" s="72"/>
      <c r="S32" s="72"/>
      <c r="T32" s="72"/>
    </row>
    <row r="33" spans="1:20" s="73" customFormat="1" ht="24">
      <c r="A33" s="406" t="s">
        <v>919</v>
      </c>
      <c r="B33" s="40" t="s">
        <v>920</v>
      </c>
      <c r="C33" s="40" t="s">
        <v>921</v>
      </c>
      <c r="D33" s="77" t="s">
        <v>922</v>
      </c>
      <c r="E33" s="77" t="s">
        <v>923</v>
      </c>
      <c r="F33" s="76" t="s">
        <v>789</v>
      </c>
      <c r="G33" s="80"/>
      <c r="H33" s="76" t="s">
        <v>922</v>
      </c>
      <c r="I33" s="76" t="s">
        <v>24</v>
      </c>
      <c r="J33" s="76" t="s">
        <v>924</v>
      </c>
      <c r="K33" s="79" t="s">
        <v>366</v>
      </c>
      <c r="L33" s="30" t="s">
        <v>407</v>
      </c>
      <c r="M33" s="79"/>
      <c r="N33" s="266"/>
      <c r="O33" s="266"/>
      <c r="P33" s="72"/>
      <c r="Q33" s="72"/>
      <c r="R33" s="72"/>
      <c r="S33" s="72"/>
      <c r="T33" s="72"/>
    </row>
    <row r="34" spans="1:20" s="73" customFormat="1" ht="24">
      <c r="A34" s="406"/>
      <c r="B34" s="40" t="s">
        <v>925</v>
      </c>
      <c r="C34" s="40" t="s">
        <v>926</v>
      </c>
      <c r="D34" s="77" t="s">
        <v>927</v>
      </c>
      <c r="E34" s="77" t="s">
        <v>928</v>
      </c>
      <c r="F34" s="76" t="s">
        <v>789</v>
      </c>
      <c r="G34" s="80"/>
      <c r="H34" s="76" t="s">
        <v>927</v>
      </c>
      <c r="I34" s="76" t="s">
        <v>24</v>
      </c>
      <c r="J34" s="76" t="s">
        <v>924</v>
      </c>
      <c r="K34" s="76" t="s">
        <v>366</v>
      </c>
      <c r="L34" s="30" t="s">
        <v>407</v>
      </c>
      <c r="M34" s="79"/>
      <c r="N34" s="266"/>
      <c r="O34" s="266"/>
      <c r="P34" s="72"/>
      <c r="Q34" s="72"/>
      <c r="R34" s="72"/>
      <c r="S34" s="72"/>
      <c r="T34" s="72"/>
    </row>
    <row r="35" spans="1:20" s="235" customFormat="1" ht="60">
      <c r="A35" s="428" t="s">
        <v>929</v>
      </c>
      <c r="B35" s="220" t="s">
        <v>930</v>
      </c>
      <c r="C35" s="235" t="s">
        <v>931</v>
      </c>
      <c r="D35" s="249" t="s">
        <v>355</v>
      </c>
      <c r="E35" s="29" t="s">
        <v>356</v>
      </c>
      <c r="F35" s="30" t="s">
        <v>357</v>
      </c>
      <c r="G35" s="30" t="s">
        <v>932</v>
      </c>
      <c r="H35" s="29" t="s">
        <v>355</v>
      </c>
      <c r="I35" s="30" t="s">
        <v>24</v>
      </c>
      <c r="J35" s="30" t="s">
        <v>359</v>
      </c>
      <c r="K35" s="29" t="s">
        <v>360</v>
      </c>
      <c r="L35" s="29" t="s">
        <v>361</v>
      </c>
      <c r="M35" s="29"/>
    </row>
    <row r="36" spans="1:20" s="234" customFormat="1">
      <c r="A36" s="430"/>
      <c r="B36" s="42" t="s">
        <v>933</v>
      </c>
      <c r="C36" s="42" t="s">
        <v>934</v>
      </c>
      <c r="D36" s="93" t="s">
        <v>935</v>
      </c>
      <c r="E36" s="93" t="s">
        <v>936</v>
      </c>
      <c r="F36" s="78" t="s">
        <v>357</v>
      </c>
      <c r="G36" s="82" t="s">
        <v>937</v>
      </c>
      <c r="H36" s="78" t="s">
        <v>938</v>
      </c>
      <c r="I36" s="78" t="s">
        <v>24</v>
      </c>
      <c r="J36" s="254" t="s">
        <v>939</v>
      </c>
      <c r="K36" s="78" t="s">
        <v>936</v>
      </c>
      <c r="L36" s="39" t="s">
        <v>769</v>
      </c>
      <c r="M36" s="99" t="s">
        <v>778</v>
      </c>
    </row>
    <row r="37" spans="1:20" s="234" customFormat="1">
      <c r="A37" s="430"/>
      <c r="B37" s="104" t="s">
        <v>940</v>
      </c>
      <c r="C37" s="104" t="s">
        <v>941</v>
      </c>
      <c r="D37" s="125" t="s">
        <v>942</v>
      </c>
      <c r="E37" s="93" t="s">
        <v>943</v>
      </c>
      <c r="F37" s="78" t="s">
        <v>357</v>
      </c>
      <c r="G37" s="82"/>
      <c r="H37" s="78" t="s">
        <v>944</v>
      </c>
      <c r="I37" s="78" t="s">
        <v>24</v>
      </c>
      <c r="J37" s="254" t="s">
        <v>451</v>
      </c>
      <c r="K37" s="78" t="s">
        <v>943</v>
      </c>
      <c r="L37" s="39" t="s">
        <v>769</v>
      </c>
      <c r="M37" s="199" t="s">
        <v>945</v>
      </c>
    </row>
    <row r="38" spans="1:20" s="234" customFormat="1">
      <c r="A38" s="430"/>
      <c r="B38" s="42" t="s">
        <v>946</v>
      </c>
      <c r="C38" s="42" t="s">
        <v>947</v>
      </c>
      <c r="D38" s="93" t="s">
        <v>948</v>
      </c>
      <c r="E38" s="93" t="s">
        <v>949</v>
      </c>
      <c r="F38" s="78" t="s">
        <v>357</v>
      </c>
      <c r="G38" s="82"/>
      <c r="H38" s="78" t="s">
        <v>950</v>
      </c>
      <c r="I38" s="78" t="s">
        <v>24</v>
      </c>
      <c r="J38" s="254" t="s">
        <v>530</v>
      </c>
      <c r="K38" s="78" t="s">
        <v>949</v>
      </c>
      <c r="L38" s="39" t="s">
        <v>769</v>
      </c>
      <c r="M38" s="99" t="s">
        <v>778</v>
      </c>
    </row>
    <row r="39" spans="1:20" s="234" customFormat="1">
      <c r="A39" s="430"/>
      <c r="B39" s="42" t="s">
        <v>951</v>
      </c>
      <c r="C39" s="42" t="s">
        <v>952</v>
      </c>
      <c r="D39" s="93" t="s">
        <v>953</v>
      </c>
      <c r="E39" s="93" t="s">
        <v>954</v>
      </c>
      <c r="F39" s="78" t="s">
        <v>357</v>
      </c>
      <c r="G39" s="82"/>
      <c r="H39" s="418" t="s">
        <v>366</v>
      </c>
      <c r="I39" s="78" t="s">
        <v>24</v>
      </c>
      <c r="J39" s="254" t="s">
        <v>530</v>
      </c>
      <c r="K39" s="78" t="s">
        <v>954</v>
      </c>
      <c r="L39" s="39" t="s">
        <v>777</v>
      </c>
      <c r="M39" s="99" t="s">
        <v>778</v>
      </c>
    </row>
    <row r="40" spans="1:20" s="234" customFormat="1">
      <c r="A40" s="430"/>
      <c r="B40" s="42" t="s">
        <v>955</v>
      </c>
      <c r="C40" s="42" t="s">
        <v>956</v>
      </c>
      <c r="D40" s="93" t="s">
        <v>957</v>
      </c>
      <c r="E40" s="93" t="s">
        <v>958</v>
      </c>
      <c r="F40" s="78" t="s">
        <v>357</v>
      </c>
      <c r="G40" s="82"/>
      <c r="H40" s="418"/>
      <c r="I40" s="78" t="s">
        <v>24</v>
      </c>
      <c r="J40" s="254" t="s">
        <v>451</v>
      </c>
      <c r="K40" s="78" t="s">
        <v>959</v>
      </c>
      <c r="L40" s="39" t="s">
        <v>777</v>
      </c>
      <c r="M40" s="99" t="s">
        <v>778</v>
      </c>
    </row>
    <row r="41" spans="1:20" s="236" customFormat="1" ht="24">
      <c r="A41" s="430"/>
      <c r="B41" s="131" t="s">
        <v>960</v>
      </c>
      <c r="C41" s="131" t="s">
        <v>961</v>
      </c>
      <c r="D41" s="132" t="s">
        <v>962</v>
      </c>
      <c r="E41" s="132" t="s">
        <v>963</v>
      </c>
      <c r="F41" s="133" t="s">
        <v>357</v>
      </c>
      <c r="G41" s="250"/>
      <c r="H41" s="418"/>
      <c r="I41" s="133" t="s">
        <v>24</v>
      </c>
      <c r="J41" s="267" t="s">
        <v>451</v>
      </c>
      <c r="K41" s="133" t="s">
        <v>964</v>
      </c>
      <c r="L41" s="140" t="s">
        <v>777</v>
      </c>
      <c r="M41" s="99" t="s">
        <v>778</v>
      </c>
    </row>
    <row r="42" spans="1:20" s="234" customFormat="1">
      <c r="A42" s="430"/>
      <c r="B42" s="42" t="s">
        <v>965</v>
      </c>
      <c r="C42" s="42" t="s">
        <v>966</v>
      </c>
      <c r="D42" s="93" t="s">
        <v>967</v>
      </c>
      <c r="E42" s="93" t="s">
        <v>968</v>
      </c>
      <c r="F42" s="78" t="s">
        <v>357</v>
      </c>
      <c r="G42" s="82"/>
      <c r="H42" s="418"/>
      <c r="I42" s="78" t="s">
        <v>24</v>
      </c>
      <c r="J42" s="254" t="s">
        <v>451</v>
      </c>
      <c r="K42" s="78" t="s">
        <v>969</v>
      </c>
      <c r="L42" s="39" t="s">
        <v>777</v>
      </c>
      <c r="M42" s="99" t="s">
        <v>778</v>
      </c>
    </row>
    <row r="43" spans="1:20" s="234" customFormat="1">
      <c r="A43" s="430"/>
      <c r="B43" s="42" t="s">
        <v>970</v>
      </c>
      <c r="C43" s="42" t="s">
        <v>971</v>
      </c>
      <c r="D43" s="93" t="s">
        <v>972</v>
      </c>
      <c r="E43" s="93" t="s">
        <v>973</v>
      </c>
      <c r="F43" s="78" t="s">
        <v>357</v>
      </c>
      <c r="G43" s="82"/>
      <c r="H43" s="418"/>
      <c r="I43" s="78" t="s">
        <v>24</v>
      </c>
      <c r="J43" s="254" t="s">
        <v>628</v>
      </c>
      <c r="K43" s="78" t="s">
        <v>974</v>
      </c>
      <c r="L43" s="39" t="s">
        <v>777</v>
      </c>
      <c r="M43" s="99" t="s">
        <v>778</v>
      </c>
    </row>
    <row r="44" spans="1:20" s="234" customFormat="1">
      <c r="A44" s="430"/>
      <c r="B44" s="42" t="s">
        <v>975</v>
      </c>
      <c r="C44" s="106" t="s">
        <v>976</v>
      </c>
      <c r="D44" s="251" t="s">
        <v>977</v>
      </c>
      <c r="E44" s="93" t="s">
        <v>978</v>
      </c>
      <c r="F44" s="78" t="s">
        <v>357</v>
      </c>
      <c r="G44" s="82"/>
      <c r="H44" s="78" t="s">
        <v>979</v>
      </c>
      <c r="I44" s="78" t="s">
        <v>24</v>
      </c>
      <c r="J44" s="254" t="s">
        <v>980</v>
      </c>
      <c r="K44" s="78" t="s">
        <v>978</v>
      </c>
      <c r="L44" s="39" t="s">
        <v>769</v>
      </c>
      <c r="M44" s="99" t="s">
        <v>778</v>
      </c>
      <c r="N44" s="234" t="s">
        <v>981</v>
      </c>
    </row>
    <row r="45" spans="1:20" s="234" customFormat="1">
      <c r="A45" s="430"/>
      <c r="B45" s="42" t="s">
        <v>982</v>
      </c>
      <c r="C45" s="42" t="s">
        <v>983</v>
      </c>
      <c r="D45" s="252" t="s">
        <v>984</v>
      </c>
      <c r="E45" s="93" t="s">
        <v>985</v>
      </c>
      <c r="F45" s="78" t="s">
        <v>357</v>
      </c>
      <c r="G45" s="82"/>
      <c r="H45" s="253" t="s">
        <v>986</v>
      </c>
      <c r="I45" s="78" t="s">
        <v>57</v>
      </c>
      <c r="J45" s="254" t="s">
        <v>987</v>
      </c>
      <c r="K45" s="78" t="s">
        <v>985</v>
      </c>
      <c r="L45" s="78" t="s">
        <v>407</v>
      </c>
      <c r="M45" s="99" t="s">
        <v>778</v>
      </c>
    </row>
    <row r="46" spans="1:20" s="234" customFormat="1">
      <c r="A46" s="429"/>
      <c r="B46" s="42" t="s">
        <v>988</v>
      </c>
      <c r="C46" s="42" t="s">
        <v>989</v>
      </c>
      <c r="D46" s="93" t="s">
        <v>990</v>
      </c>
      <c r="E46" s="93" t="s">
        <v>991</v>
      </c>
      <c r="F46" s="78" t="s">
        <v>357</v>
      </c>
      <c r="G46" s="82"/>
      <c r="H46" s="78" t="s">
        <v>990</v>
      </c>
      <c r="I46" s="78" t="s">
        <v>24</v>
      </c>
      <c r="J46" s="254" t="s">
        <v>451</v>
      </c>
      <c r="K46" s="78" t="s">
        <v>992</v>
      </c>
      <c r="L46" s="39" t="s">
        <v>769</v>
      </c>
      <c r="M46" s="99" t="s">
        <v>778</v>
      </c>
    </row>
    <row r="47" spans="1:20" s="237" customFormat="1" ht="14.5">
      <c r="A47" s="419" t="s">
        <v>993</v>
      </c>
      <c r="B47" s="40" t="s">
        <v>994</v>
      </c>
      <c r="C47" s="40" t="s">
        <v>995</v>
      </c>
      <c r="D47" s="77" t="s">
        <v>996</v>
      </c>
      <c r="E47" s="77" t="s">
        <v>997</v>
      </c>
      <c r="F47" s="76" t="s">
        <v>357</v>
      </c>
      <c r="G47" s="80"/>
      <c r="H47" s="76" t="s">
        <v>366</v>
      </c>
      <c r="I47" s="76" t="s">
        <v>24</v>
      </c>
      <c r="J47" s="76" t="s">
        <v>998</v>
      </c>
      <c r="K47" s="76" t="s">
        <v>999</v>
      </c>
      <c r="L47" s="30" t="s">
        <v>769</v>
      </c>
      <c r="M47" s="122"/>
      <c r="N47" s="72"/>
      <c r="O47" s="72"/>
      <c r="P47" s="72"/>
      <c r="Q47" s="72"/>
      <c r="R47" s="72"/>
      <c r="S47" s="72"/>
      <c r="T47" s="72"/>
    </row>
    <row r="48" spans="1:20" s="237" customFormat="1" ht="14.5">
      <c r="A48" s="419"/>
      <c r="B48" s="40" t="s">
        <v>1000</v>
      </c>
      <c r="C48" s="40" t="s">
        <v>1001</v>
      </c>
      <c r="D48" s="77" t="s">
        <v>872</v>
      </c>
      <c r="E48" s="77" t="s">
        <v>873</v>
      </c>
      <c r="F48" s="76" t="s">
        <v>357</v>
      </c>
      <c r="G48" s="80" t="s">
        <v>1002</v>
      </c>
      <c r="H48" s="76" t="s">
        <v>872</v>
      </c>
      <c r="I48" s="76" t="s">
        <v>24</v>
      </c>
      <c r="J48" s="76" t="s">
        <v>1003</v>
      </c>
      <c r="K48" s="76" t="s">
        <v>1004</v>
      </c>
      <c r="L48" s="30" t="s">
        <v>470</v>
      </c>
      <c r="M48" s="122"/>
      <c r="N48" s="72"/>
      <c r="O48" s="72"/>
      <c r="P48" s="72"/>
      <c r="Q48" s="72"/>
      <c r="R48" s="72"/>
      <c r="S48" s="72"/>
      <c r="T48" s="72"/>
    </row>
    <row r="49" spans="1:13" s="72" customFormat="1" ht="24">
      <c r="A49" s="420" t="s">
        <v>1005</v>
      </c>
      <c r="B49" s="40" t="s">
        <v>1006</v>
      </c>
      <c r="C49" s="40" t="s">
        <v>1007</v>
      </c>
      <c r="D49" s="77" t="s">
        <v>1008</v>
      </c>
      <c r="E49" s="77" t="s">
        <v>1009</v>
      </c>
      <c r="F49" s="76" t="s">
        <v>357</v>
      </c>
      <c r="G49" s="80"/>
      <c r="H49" s="76" t="s">
        <v>1010</v>
      </c>
      <c r="I49" s="76" t="s">
        <v>24</v>
      </c>
      <c r="J49" s="96" t="s">
        <v>387</v>
      </c>
      <c r="K49" s="76" t="s">
        <v>1011</v>
      </c>
      <c r="L49" s="30" t="s">
        <v>407</v>
      </c>
      <c r="M49" s="122"/>
    </row>
    <row r="50" spans="1:13" s="72" customFormat="1">
      <c r="A50" s="421"/>
      <c r="B50" s="40" t="s">
        <v>1012</v>
      </c>
      <c r="C50" s="40" t="s">
        <v>1013</v>
      </c>
      <c r="D50" s="77" t="s">
        <v>1014</v>
      </c>
      <c r="E50" s="77" t="s">
        <v>1015</v>
      </c>
      <c r="F50" s="76" t="s">
        <v>789</v>
      </c>
      <c r="G50" s="80"/>
      <c r="H50" s="76" t="s">
        <v>1014</v>
      </c>
      <c r="I50" s="76" t="s">
        <v>24</v>
      </c>
      <c r="J50" s="96" t="s">
        <v>387</v>
      </c>
      <c r="K50" s="76" t="s">
        <v>1016</v>
      </c>
      <c r="L50" s="30" t="s">
        <v>407</v>
      </c>
      <c r="M50" s="122"/>
    </row>
    <row r="51" spans="1:13" s="72" customFormat="1">
      <c r="A51" s="406" t="s">
        <v>1017</v>
      </c>
      <c r="B51" s="40" t="s">
        <v>1018</v>
      </c>
      <c r="C51" s="40" t="s">
        <v>1019</v>
      </c>
      <c r="D51" s="77" t="s">
        <v>1020</v>
      </c>
      <c r="E51" s="77" t="s">
        <v>1021</v>
      </c>
      <c r="F51" s="76" t="s">
        <v>789</v>
      </c>
      <c r="G51" s="80"/>
      <c r="H51" s="76" t="s">
        <v>1020</v>
      </c>
      <c r="I51" s="76" t="s">
        <v>24</v>
      </c>
      <c r="J51" s="96" t="s">
        <v>387</v>
      </c>
      <c r="K51" s="76" t="s">
        <v>1016</v>
      </c>
      <c r="L51" s="30" t="s">
        <v>407</v>
      </c>
      <c r="M51" s="122"/>
    </row>
    <row r="52" spans="1:13" s="72" customFormat="1">
      <c r="A52" s="406"/>
      <c r="B52" s="40" t="s">
        <v>1022</v>
      </c>
      <c r="C52" s="40" t="s">
        <v>1023</v>
      </c>
      <c r="D52" s="77" t="s">
        <v>1024</v>
      </c>
      <c r="E52" s="77" t="s">
        <v>1025</v>
      </c>
      <c r="F52" s="76" t="s">
        <v>789</v>
      </c>
      <c r="G52" s="80"/>
      <c r="H52" s="76" t="s">
        <v>1024</v>
      </c>
      <c r="I52" s="76" t="s">
        <v>24</v>
      </c>
      <c r="J52" s="96" t="s">
        <v>387</v>
      </c>
      <c r="K52" s="76" t="s">
        <v>1016</v>
      </c>
      <c r="L52" s="30" t="s">
        <v>407</v>
      </c>
      <c r="M52" s="122"/>
    </row>
    <row r="53" spans="1:13" s="71" customFormat="1" ht="36">
      <c r="A53" s="422" t="s">
        <v>1026</v>
      </c>
      <c r="B53" s="42" t="s">
        <v>1027</v>
      </c>
      <c r="C53" s="42" t="s">
        <v>1028</v>
      </c>
      <c r="D53" s="42" t="s">
        <v>1029</v>
      </c>
      <c r="E53" s="42" t="s">
        <v>1030</v>
      </c>
      <c r="F53" s="78" t="s">
        <v>357</v>
      </c>
      <c r="G53" s="42"/>
      <c r="H53" s="42"/>
      <c r="I53" s="78" t="s">
        <v>24</v>
      </c>
      <c r="J53" s="254" t="s">
        <v>71</v>
      </c>
      <c r="K53" s="78" t="s">
        <v>1031</v>
      </c>
      <c r="L53" s="39" t="s">
        <v>777</v>
      </c>
      <c r="M53" s="93" t="s">
        <v>1032</v>
      </c>
    </row>
    <row r="54" spans="1:13" s="71" customFormat="1" ht="36">
      <c r="A54" s="423"/>
      <c r="B54" s="42" t="s">
        <v>1033</v>
      </c>
      <c r="C54" s="42" t="s">
        <v>1034</v>
      </c>
      <c r="D54" s="42" t="s">
        <v>1035</v>
      </c>
      <c r="E54" s="42" t="s">
        <v>1036</v>
      </c>
      <c r="F54" s="78" t="s">
        <v>357</v>
      </c>
      <c r="G54" s="42"/>
      <c r="H54" s="42"/>
      <c r="I54" s="78" t="s">
        <v>57</v>
      </c>
      <c r="J54" s="254" t="s">
        <v>71</v>
      </c>
      <c r="K54" s="78" t="s">
        <v>1037</v>
      </c>
      <c r="L54" s="39" t="s">
        <v>1038</v>
      </c>
      <c r="M54" s="93" t="s">
        <v>1039</v>
      </c>
    </row>
    <row r="55" spans="1:13" s="71" customFormat="1" ht="36">
      <c r="A55" s="424"/>
      <c r="B55" s="42" t="s">
        <v>1040</v>
      </c>
      <c r="C55" s="42" t="s">
        <v>1041</v>
      </c>
      <c r="D55" s="42" t="s">
        <v>1042</v>
      </c>
      <c r="E55" s="42" t="s">
        <v>1043</v>
      </c>
      <c r="F55" s="78" t="s">
        <v>357</v>
      </c>
      <c r="G55" s="42"/>
      <c r="H55" s="42"/>
      <c r="I55" s="78" t="s">
        <v>57</v>
      </c>
      <c r="J55" s="254" t="s">
        <v>71</v>
      </c>
      <c r="K55" s="78" t="s">
        <v>1031</v>
      </c>
      <c r="L55" s="39" t="s">
        <v>1044</v>
      </c>
      <c r="M55" s="93" t="s">
        <v>1045</v>
      </c>
    </row>
  </sheetData>
  <mergeCells count="21">
    <mergeCell ref="A3:A4"/>
    <mergeCell ref="A5:A9"/>
    <mergeCell ref="A10:A11"/>
    <mergeCell ref="A12:A14"/>
    <mergeCell ref="A15:A21"/>
    <mergeCell ref="A47:A48"/>
    <mergeCell ref="A49:A50"/>
    <mergeCell ref="A51:A52"/>
    <mergeCell ref="A53:A55"/>
    <mergeCell ref="G10:G11"/>
    <mergeCell ref="G22:G26"/>
    <mergeCell ref="A22:A26"/>
    <mergeCell ref="A28:A30"/>
    <mergeCell ref="A31:A32"/>
    <mergeCell ref="A33:A34"/>
    <mergeCell ref="A35:A46"/>
    <mergeCell ref="H22:H24"/>
    <mergeCell ref="H39:H43"/>
    <mergeCell ref="L15:L18"/>
    <mergeCell ref="L19:L21"/>
    <mergeCell ref="L22:L24"/>
  </mergeCells>
  <phoneticPr fontId="21" type="noConversion"/>
  <pageMargins left="0.69930555555555596" right="0.69930555555555596"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dimension ref="A1:N14"/>
  <sheetViews>
    <sheetView workbookViewId="0">
      <pane xSplit="2" ySplit="1" topLeftCell="M2" activePane="bottomRight" state="frozen"/>
      <selection pane="topRight"/>
      <selection pane="bottomLeft"/>
      <selection pane="bottomRight" activeCell="N15" sqref="N15"/>
    </sheetView>
  </sheetViews>
  <sheetFormatPr defaultColWidth="57.36328125" defaultRowHeight="12"/>
  <cols>
    <col min="1" max="1" width="11.6328125" style="218" customWidth="1"/>
    <col min="2" max="2" width="75.453125" style="218" customWidth="1"/>
    <col min="3" max="3" width="63" style="218" customWidth="1"/>
    <col min="4" max="4" width="21.36328125" style="218" customWidth="1"/>
    <col min="5" max="5" width="18.90625" style="218" customWidth="1"/>
    <col min="6" max="6" width="6.36328125" style="218" customWidth="1"/>
    <col min="7" max="7" width="9.08984375" style="218" customWidth="1"/>
    <col min="8" max="8" width="27.1796875" style="219" customWidth="1"/>
    <col min="9" max="9" width="11.36328125" style="219" customWidth="1"/>
    <col min="10" max="10" width="13.90625" style="219" customWidth="1"/>
    <col min="11" max="11" width="4.81640625" style="219" customWidth="1"/>
    <col min="12" max="12" width="24.81640625" style="218" customWidth="1"/>
    <col min="13" max="13" width="43.6328125" style="218" customWidth="1"/>
    <col min="14" max="16384" width="57.36328125" style="218"/>
  </cols>
  <sheetData>
    <row r="1" spans="1:14" s="215" customFormat="1">
      <c r="A1" s="7" t="s">
        <v>343</v>
      </c>
      <c r="B1" s="8" t="s">
        <v>344</v>
      </c>
      <c r="C1" s="8" t="s">
        <v>345</v>
      </c>
      <c r="D1" s="8" t="s">
        <v>346</v>
      </c>
      <c r="E1" s="8" t="s">
        <v>347</v>
      </c>
      <c r="F1" s="8" t="s">
        <v>348</v>
      </c>
      <c r="G1" s="8" t="s">
        <v>349</v>
      </c>
      <c r="H1" s="8" t="s">
        <v>350</v>
      </c>
      <c r="I1" s="8" t="s">
        <v>8</v>
      </c>
      <c r="J1" s="8" t="s">
        <v>6</v>
      </c>
      <c r="K1" s="8" t="s">
        <v>351</v>
      </c>
      <c r="L1" s="21" t="s">
        <v>273</v>
      </c>
      <c r="M1" s="18" t="s">
        <v>352</v>
      </c>
      <c r="N1" s="122"/>
    </row>
    <row r="2" spans="1:14" s="216" customFormat="1">
      <c r="A2" s="433" t="s">
        <v>307</v>
      </c>
      <c r="B2" s="220" t="s">
        <v>1046</v>
      </c>
      <c r="C2" s="220" t="s">
        <v>1047</v>
      </c>
      <c r="D2" s="220" t="s">
        <v>1048</v>
      </c>
      <c r="E2" s="220" t="s">
        <v>1049</v>
      </c>
      <c r="F2" s="221" t="s">
        <v>357</v>
      </c>
      <c r="G2" s="222"/>
      <c r="H2" s="436" t="s">
        <v>366</v>
      </c>
      <c r="I2" s="227" t="s">
        <v>24</v>
      </c>
      <c r="J2" s="228" t="s">
        <v>1050</v>
      </c>
      <c r="K2" s="221" t="s">
        <v>366</v>
      </c>
      <c r="L2" s="30" t="s">
        <v>777</v>
      </c>
      <c r="M2" s="122"/>
    </row>
    <row r="3" spans="1:14" s="216" customFormat="1">
      <c r="A3" s="434"/>
      <c r="B3" s="220" t="s">
        <v>1051</v>
      </c>
      <c r="C3" s="220" t="s">
        <v>1052</v>
      </c>
      <c r="D3" s="220" t="s">
        <v>1053</v>
      </c>
      <c r="E3" s="220" t="s">
        <v>1054</v>
      </c>
      <c r="F3" s="221" t="s">
        <v>357</v>
      </c>
      <c r="G3" s="223"/>
      <c r="H3" s="437"/>
      <c r="I3" s="227" t="s">
        <v>24</v>
      </c>
      <c r="J3" s="228" t="s">
        <v>28</v>
      </c>
      <c r="K3" s="221" t="s">
        <v>366</v>
      </c>
      <c r="L3" s="30" t="s">
        <v>777</v>
      </c>
      <c r="M3" s="122"/>
    </row>
    <row r="4" spans="1:14" s="216" customFormat="1">
      <c r="A4" s="434"/>
      <c r="B4" s="220" t="s">
        <v>1055</v>
      </c>
      <c r="C4" s="220" t="s">
        <v>1056</v>
      </c>
      <c r="D4" s="220" t="s">
        <v>1057</v>
      </c>
      <c r="E4" s="220" t="s">
        <v>1058</v>
      </c>
      <c r="F4" s="221" t="s">
        <v>357</v>
      </c>
      <c r="G4" s="223"/>
      <c r="H4" s="437"/>
      <c r="I4" s="227" t="s">
        <v>24</v>
      </c>
      <c r="J4" s="228" t="s">
        <v>28</v>
      </c>
      <c r="K4" s="221" t="s">
        <v>366</v>
      </c>
      <c r="L4" s="30" t="s">
        <v>777</v>
      </c>
      <c r="M4" s="122"/>
    </row>
    <row r="5" spans="1:14" s="216" customFormat="1">
      <c r="A5" s="434"/>
      <c r="B5" s="220" t="s">
        <v>1059</v>
      </c>
      <c r="C5" s="220" t="s">
        <v>1060</v>
      </c>
      <c r="D5" s="220" t="s">
        <v>1061</v>
      </c>
      <c r="E5" s="220" t="s">
        <v>1062</v>
      </c>
      <c r="F5" s="221" t="s">
        <v>357</v>
      </c>
      <c r="G5" s="223"/>
      <c r="H5" s="437"/>
      <c r="I5" s="227" t="s">
        <v>24</v>
      </c>
      <c r="J5" s="228" t="s">
        <v>28</v>
      </c>
      <c r="K5" s="221" t="s">
        <v>366</v>
      </c>
      <c r="L5" s="30" t="s">
        <v>777</v>
      </c>
      <c r="M5" s="122"/>
    </row>
    <row r="6" spans="1:14" s="216" customFormat="1">
      <c r="A6" s="434"/>
      <c r="B6" s="220" t="s">
        <v>1063</v>
      </c>
      <c r="C6" s="220" t="s">
        <v>1064</v>
      </c>
      <c r="D6" s="220" t="s">
        <v>1065</v>
      </c>
      <c r="E6" s="220" t="s">
        <v>1066</v>
      </c>
      <c r="F6" s="221" t="s">
        <v>357</v>
      </c>
      <c r="G6" s="223"/>
      <c r="H6" s="437"/>
      <c r="I6" s="227" t="s">
        <v>24</v>
      </c>
      <c r="J6" s="228" t="s">
        <v>28</v>
      </c>
      <c r="K6" s="221" t="s">
        <v>366</v>
      </c>
      <c r="L6" s="30" t="s">
        <v>777</v>
      </c>
      <c r="M6" s="122"/>
    </row>
    <row r="7" spans="1:14" s="216" customFormat="1">
      <c r="A7" s="434"/>
      <c r="B7" s="220" t="s">
        <v>1067</v>
      </c>
      <c r="C7" s="220" t="s">
        <v>1068</v>
      </c>
      <c r="D7" s="220" t="s">
        <v>1069</v>
      </c>
      <c r="E7" s="220" t="s">
        <v>1070</v>
      </c>
      <c r="F7" s="221" t="s">
        <v>357</v>
      </c>
      <c r="G7" s="223"/>
      <c r="H7" s="437"/>
      <c r="I7" s="227" t="s">
        <v>24</v>
      </c>
      <c r="J7" s="229" t="s">
        <v>524</v>
      </c>
      <c r="K7" s="221" t="s">
        <v>366</v>
      </c>
      <c r="L7" s="30" t="s">
        <v>777</v>
      </c>
      <c r="M7" s="122"/>
    </row>
    <row r="8" spans="1:14" s="216" customFormat="1">
      <c r="A8" s="434"/>
      <c r="B8" s="220" t="s">
        <v>1071</v>
      </c>
      <c r="C8" s="220" t="s">
        <v>1072</v>
      </c>
      <c r="D8" s="220" t="s">
        <v>1073</v>
      </c>
      <c r="E8" s="220" t="s">
        <v>1074</v>
      </c>
      <c r="F8" s="221" t="s">
        <v>357</v>
      </c>
      <c r="G8" s="223"/>
      <c r="H8" s="437"/>
      <c r="I8" s="227" t="s">
        <v>24</v>
      </c>
      <c r="J8" s="228" t="s">
        <v>28</v>
      </c>
      <c r="K8" s="221" t="s">
        <v>366</v>
      </c>
      <c r="L8" s="30" t="s">
        <v>777</v>
      </c>
      <c r="M8" s="122"/>
    </row>
    <row r="9" spans="1:14" s="216" customFormat="1">
      <c r="A9" s="434"/>
      <c r="B9" s="220" t="s">
        <v>1075</v>
      </c>
      <c r="C9" s="220" t="s">
        <v>1076</v>
      </c>
      <c r="D9" s="220" t="s">
        <v>1077</v>
      </c>
      <c r="E9" s="220" t="s">
        <v>1078</v>
      </c>
      <c r="F9" s="221" t="s">
        <v>357</v>
      </c>
      <c r="G9" s="223"/>
      <c r="H9" s="437"/>
      <c r="I9" s="227" t="s">
        <v>24</v>
      </c>
      <c r="J9" s="228" t="s">
        <v>28</v>
      </c>
      <c r="K9" s="221" t="s">
        <v>366</v>
      </c>
      <c r="L9" s="30" t="s">
        <v>777</v>
      </c>
      <c r="M9" s="122"/>
    </row>
    <row r="10" spans="1:14" s="216" customFormat="1">
      <c r="A10" s="434"/>
      <c r="B10" s="220" t="s">
        <v>1079</v>
      </c>
      <c r="C10" s="220" t="s">
        <v>1080</v>
      </c>
      <c r="D10" s="220" t="s">
        <v>1081</v>
      </c>
      <c r="E10" s="220" t="s">
        <v>1082</v>
      </c>
      <c r="F10" s="221" t="s">
        <v>357</v>
      </c>
      <c r="G10" s="224"/>
      <c r="H10" s="438"/>
      <c r="I10" s="227" t="s">
        <v>24</v>
      </c>
      <c r="J10" s="228" t="s">
        <v>28</v>
      </c>
      <c r="K10" s="228" t="s">
        <v>366</v>
      </c>
      <c r="L10" s="228" t="s">
        <v>777</v>
      </c>
      <c r="M10" s="122"/>
    </row>
    <row r="11" spans="1:14" s="217" customFormat="1" ht="11.25" customHeight="1">
      <c r="A11" s="434"/>
      <c r="B11" s="225" t="s">
        <v>1083</v>
      </c>
      <c r="C11" s="225" t="s">
        <v>1084</v>
      </c>
      <c r="D11" s="225" t="s">
        <v>1085</v>
      </c>
      <c r="E11" s="225" t="s">
        <v>1086</v>
      </c>
      <c r="F11" s="226" t="s">
        <v>357</v>
      </c>
      <c r="G11" s="225"/>
      <c r="H11" s="226" t="s">
        <v>1085</v>
      </c>
      <c r="I11" s="230" t="s">
        <v>57</v>
      </c>
      <c r="J11" s="231" t="s">
        <v>387</v>
      </c>
      <c r="K11" s="232" t="s">
        <v>366</v>
      </c>
      <c r="L11" s="439" t="s">
        <v>1087</v>
      </c>
      <c r="M11" s="442" t="s">
        <v>1088</v>
      </c>
    </row>
    <row r="12" spans="1:14" s="217" customFormat="1" ht="11.25" customHeight="1">
      <c r="A12" s="434"/>
      <c r="B12" s="225" t="s">
        <v>1089</v>
      </c>
      <c r="C12" s="225" t="s">
        <v>1090</v>
      </c>
      <c r="D12" s="225" t="s">
        <v>1091</v>
      </c>
      <c r="E12" s="225" t="s">
        <v>1092</v>
      </c>
      <c r="F12" s="226" t="s">
        <v>357</v>
      </c>
      <c r="G12" s="225"/>
      <c r="H12" s="226" t="s">
        <v>1085</v>
      </c>
      <c r="I12" s="230" t="s">
        <v>57</v>
      </c>
      <c r="J12" s="232" t="s">
        <v>28</v>
      </c>
      <c r="K12" s="232" t="s">
        <v>366</v>
      </c>
      <c r="L12" s="440"/>
      <c r="M12" s="443"/>
    </row>
    <row r="13" spans="1:14" s="217" customFormat="1">
      <c r="A13" s="434"/>
      <c r="B13" s="225" t="s">
        <v>1093</v>
      </c>
      <c r="C13" s="225" t="s">
        <v>1094</v>
      </c>
      <c r="D13" s="225" t="s">
        <v>1095</v>
      </c>
      <c r="E13" s="225" t="s">
        <v>1096</v>
      </c>
      <c r="F13" s="226" t="s">
        <v>357</v>
      </c>
      <c r="G13" s="225" t="s">
        <v>1097</v>
      </c>
      <c r="H13" s="226" t="s">
        <v>1098</v>
      </c>
      <c r="I13" s="230" t="s">
        <v>57</v>
      </c>
      <c r="J13" s="231" t="s">
        <v>387</v>
      </c>
      <c r="K13" s="232" t="s">
        <v>366</v>
      </c>
      <c r="L13" s="440"/>
      <c r="M13" s="443"/>
    </row>
    <row r="14" spans="1:14" s="217" customFormat="1">
      <c r="A14" s="435"/>
      <c r="B14" s="225" t="s">
        <v>1099</v>
      </c>
      <c r="C14" s="225" t="s">
        <v>1100</v>
      </c>
      <c r="D14" s="225" t="s">
        <v>1101</v>
      </c>
      <c r="E14" s="225" t="s">
        <v>1102</v>
      </c>
      <c r="F14" s="226" t="s">
        <v>357</v>
      </c>
      <c r="G14" s="225"/>
      <c r="H14" s="226" t="s">
        <v>1098</v>
      </c>
      <c r="I14" s="230" t="s">
        <v>57</v>
      </c>
      <c r="J14" s="232" t="s">
        <v>28</v>
      </c>
      <c r="K14" s="232" t="s">
        <v>366</v>
      </c>
      <c r="L14" s="441"/>
      <c r="M14" s="444"/>
    </row>
  </sheetData>
  <mergeCells count="4">
    <mergeCell ref="A2:A14"/>
    <mergeCell ref="H2:H10"/>
    <mergeCell ref="L11:L14"/>
    <mergeCell ref="M11:M14"/>
  </mergeCells>
  <phoneticPr fontId="21" type="noConversion"/>
  <pageMargins left="0.69930555555555596" right="0.69930555555555596"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dimension ref="A1:AU72"/>
  <sheetViews>
    <sheetView workbookViewId="0">
      <pane xSplit="2" ySplit="1" topLeftCell="K60" activePane="bottomRight" state="frozen"/>
      <selection pane="topRight"/>
      <selection pane="bottomLeft"/>
      <selection pane="bottomRight" activeCell="B34" sqref="B34"/>
    </sheetView>
  </sheetViews>
  <sheetFormatPr defaultColWidth="9" defaultRowHeight="14"/>
  <cols>
    <col min="1" max="1" width="12.90625" style="28" customWidth="1"/>
    <col min="2" max="3" width="82.08984375" customWidth="1"/>
    <col min="4" max="4" width="30.6328125" style="6" customWidth="1"/>
    <col min="5" max="5" width="29.6328125" customWidth="1"/>
    <col min="6" max="6" width="6.36328125" customWidth="1"/>
    <col min="7" max="7" width="9.08984375" style="6" customWidth="1"/>
    <col min="8" max="8" width="38.08984375" style="161" customWidth="1"/>
    <col min="9" max="9" width="11.36328125" style="28" customWidth="1"/>
    <col min="10" max="10" width="27" style="6" customWidth="1"/>
    <col min="11" max="11" width="84.453125" customWidth="1"/>
    <col min="12" max="12" width="39" customWidth="1"/>
    <col min="13" max="13" width="31.36328125" style="162" customWidth="1"/>
    <col min="14" max="47" width="9" style="163"/>
  </cols>
  <sheetData>
    <row r="1" spans="1:47" s="157" customFormat="1" ht="13">
      <c r="A1" s="164" t="s">
        <v>6</v>
      </c>
      <c r="B1" s="165" t="s">
        <v>344</v>
      </c>
      <c r="C1" s="165" t="s">
        <v>345</v>
      </c>
      <c r="D1" s="166" t="s">
        <v>346</v>
      </c>
      <c r="E1" s="165" t="s">
        <v>347</v>
      </c>
      <c r="F1" s="165" t="s">
        <v>348</v>
      </c>
      <c r="G1" s="165" t="s">
        <v>349</v>
      </c>
      <c r="H1" s="154" t="s">
        <v>350</v>
      </c>
      <c r="I1" s="165" t="s">
        <v>8</v>
      </c>
      <c r="J1" s="166" t="s">
        <v>6</v>
      </c>
      <c r="K1" s="166" t="s">
        <v>351</v>
      </c>
      <c r="L1" s="165" t="s">
        <v>273</v>
      </c>
      <c r="M1" s="18" t="s">
        <v>1103</v>
      </c>
      <c r="N1" s="196"/>
      <c r="O1" s="196"/>
      <c r="P1" s="196"/>
      <c r="Q1" s="196"/>
      <c r="R1" s="196"/>
      <c r="S1" s="196"/>
      <c r="T1" s="196"/>
      <c r="U1" s="196"/>
      <c r="V1" s="196"/>
      <c r="W1" s="196"/>
      <c r="X1" s="196"/>
      <c r="Y1" s="196"/>
      <c r="Z1" s="196"/>
      <c r="AA1" s="196"/>
      <c r="AB1" s="196"/>
      <c r="AC1" s="196"/>
      <c r="AD1" s="196"/>
      <c r="AE1" s="196"/>
      <c r="AF1" s="196"/>
      <c r="AG1" s="196"/>
      <c r="AH1" s="196"/>
      <c r="AI1" s="196"/>
      <c r="AJ1" s="196"/>
      <c r="AK1" s="196"/>
      <c r="AL1" s="196"/>
      <c r="AM1" s="196"/>
      <c r="AN1" s="196"/>
      <c r="AO1" s="196"/>
      <c r="AP1" s="196"/>
      <c r="AQ1" s="196"/>
      <c r="AR1" s="196"/>
      <c r="AS1" s="196"/>
      <c r="AT1" s="196"/>
      <c r="AU1" s="196"/>
    </row>
    <row r="2" spans="1:47" s="55" customFormat="1" ht="60">
      <c r="A2" s="445" t="s">
        <v>1104</v>
      </c>
      <c r="B2" s="167" t="s">
        <v>1105</v>
      </c>
      <c r="C2" s="167" t="s">
        <v>1106</v>
      </c>
      <c r="D2" s="167" t="s">
        <v>1107</v>
      </c>
      <c r="E2" s="167" t="s">
        <v>1108</v>
      </c>
      <c r="F2" s="168" t="s">
        <v>789</v>
      </c>
      <c r="G2" s="167" t="s">
        <v>1109</v>
      </c>
      <c r="H2" s="168" t="s">
        <v>366</v>
      </c>
      <c r="I2" s="168" t="s">
        <v>24</v>
      </c>
      <c r="J2" s="167" t="s">
        <v>1110</v>
      </c>
      <c r="K2" s="167" t="s">
        <v>1111</v>
      </c>
      <c r="L2" s="30" t="s">
        <v>777</v>
      </c>
      <c r="M2" s="122"/>
    </row>
    <row r="3" spans="1:47" s="158" customFormat="1" ht="31.5" customHeight="1">
      <c r="A3" s="446"/>
      <c r="B3" s="169" t="s">
        <v>1112</v>
      </c>
      <c r="C3" s="169" t="s">
        <v>1113</v>
      </c>
      <c r="D3" s="169" t="s">
        <v>1114</v>
      </c>
      <c r="E3" s="169" t="s">
        <v>1115</v>
      </c>
      <c r="F3" s="170" t="s">
        <v>789</v>
      </c>
      <c r="G3" s="169"/>
      <c r="H3" s="170" t="s">
        <v>366</v>
      </c>
      <c r="I3" s="170" t="s">
        <v>24</v>
      </c>
      <c r="J3" s="197" t="s">
        <v>1116</v>
      </c>
      <c r="K3" s="169" t="s">
        <v>1117</v>
      </c>
      <c r="L3" s="39" t="s">
        <v>769</v>
      </c>
      <c r="M3" s="99" t="s">
        <v>1088</v>
      </c>
    </row>
    <row r="4" spans="1:47" s="158" customFormat="1" ht="24">
      <c r="A4" s="446"/>
      <c r="B4" s="169" t="s">
        <v>1118</v>
      </c>
      <c r="C4" s="169" t="s">
        <v>1119</v>
      </c>
      <c r="D4" s="169" t="s">
        <v>1120</v>
      </c>
      <c r="E4" s="169" t="s">
        <v>1121</v>
      </c>
      <c r="F4" s="170" t="s">
        <v>789</v>
      </c>
      <c r="G4" s="169"/>
      <c r="H4" s="170" t="s">
        <v>366</v>
      </c>
      <c r="I4" s="170" t="s">
        <v>24</v>
      </c>
      <c r="J4" s="197" t="s">
        <v>1122</v>
      </c>
      <c r="K4" s="169" t="s">
        <v>1123</v>
      </c>
      <c r="L4" s="39" t="s">
        <v>769</v>
      </c>
      <c r="M4" s="99" t="s">
        <v>1088</v>
      </c>
    </row>
    <row r="5" spans="1:47" s="55" customFormat="1" ht="48">
      <c r="A5" s="446"/>
      <c r="B5" s="167" t="s">
        <v>1124</v>
      </c>
      <c r="C5" s="167" t="s">
        <v>1125</v>
      </c>
      <c r="D5" s="167" t="s">
        <v>1126</v>
      </c>
      <c r="E5" s="167" t="s">
        <v>1127</v>
      </c>
      <c r="F5" s="168" t="s">
        <v>789</v>
      </c>
      <c r="G5" s="167"/>
      <c r="H5" s="168" t="s">
        <v>366</v>
      </c>
      <c r="I5" s="168" t="s">
        <v>24</v>
      </c>
      <c r="J5" s="167" t="s">
        <v>1128</v>
      </c>
      <c r="K5" s="167" t="s">
        <v>1129</v>
      </c>
      <c r="L5" s="30" t="s">
        <v>777</v>
      </c>
      <c r="M5" s="122"/>
    </row>
    <row r="6" spans="1:47" s="55" customFormat="1" ht="24">
      <c r="A6" s="446"/>
      <c r="B6" s="167" t="s">
        <v>1130</v>
      </c>
      <c r="C6" s="167" t="s">
        <v>1131</v>
      </c>
      <c r="D6" s="167" t="s">
        <v>1132</v>
      </c>
      <c r="E6" s="167" t="s">
        <v>1133</v>
      </c>
      <c r="F6" s="168" t="s">
        <v>789</v>
      </c>
      <c r="G6" s="167"/>
      <c r="H6" s="168" t="s">
        <v>366</v>
      </c>
      <c r="I6" s="168" t="s">
        <v>24</v>
      </c>
      <c r="J6" s="167" t="s">
        <v>387</v>
      </c>
      <c r="K6" s="167" t="s">
        <v>1134</v>
      </c>
      <c r="L6" s="30" t="s">
        <v>777</v>
      </c>
      <c r="M6" s="122"/>
    </row>
    <row r="7" spans="1:47" s="55" customFormat="1" ht="24">
      <c r="A7" s="446"/>
      <c r="B7" s="167" t="s">
        <v>1135</v>
      </c>
      <c r="C7" s="167" t="s">
        <v>1136</v>
      </c>
      <c r="D7" s="167" t="s">
        <v>1137</v>
      </c>
      <c r="E7" s="167" t="s">
        <v>1138</v>
      </c>
      <c r="F7" s="168" t="s">
        <v>789</v>
      </c>
      <c r="G7" s="167"/>
      <c r="H7" s="168" t="s">
        <v>366</v>
      </c>
      <c r="I7" s="168" t="s">
        <v>24</v>
      </c>
      <c r="J7" s="167" t="s">
        <v>1139</v>
      </c>
      <c r="K7" s="167" t="s">
        <v>1140</v>
      </c>
      <c r="L7" s="30" t="s">
        <v>777</v>
      </c>
      <c r="M7" s="122"/>
    </row>
    <row r="8" spans="1:47" s="158" customFormat="1">
      <c r="A8" s="446"/>
      <c r="B8" s="169" t="s">
        <v>1141</v>
      </c>
      <c r="C8" s="169" t="s">
        <v>1142</v>
      </c>
      <c r="D8" s="169" t="s">
        <v>1143</v>
      </c>
      <c r="E8" s="169" t="s">
        <v>1144</v>
      </c>
      <c r="F8" s="170" t="s">
        <v>357</v>
      </c>
      <c r="G8" s="169"/>
      <c r="H8" s="170" t="s">
        <v>366</v>
      </c>
      <c r="I8" s="170" t="s">
        <v>24</v>
      </c>
      <c r="J8" s="169" t="s">
        <v>496</v>
      </c>
      <c r="K8" s="169" t="s">
        <v>1145</v>
      </c>
      <c r="L8" s="39" t="s">
        <v>777</v>
      </c>
      <c r="M8" s="99" t="s">
        <v>778</v>
      </c>
    </row>
    <row r="9" spans="1:47" s="55" customFormat="1">
      <c r="A9" s="446"/>
      <c r="B9" s="167" t="s">
        <v>1146</v>
      </c>
      <c r="C9" s="167" t="s">
        <v>1147</v>
      </c>
      <c r="D9" s="167" t="s">
        <v>1148</v>
      </c>
      <c r="E9" s="167" t="s">
        <v>1149</v>
      </c>
      <c r="F9" s="168" t="s">
        <v>357</v>
      </c>
      <c r="G9" s="167"/>
      <c r="H9" s="168" t="s">
        <v>366</v>
      </c>
      <c r="I9" s="168" t="s">
        <v>24</v>
      </c>
      <c r="J9" s="167" t="s">
        <v>496</v>
      </c>
      <c r="K9" s="167" t="s">
        <v>1150</v>
      </c>
      <c r="L9" s="30" t="s">
        <v>777</v>
      </c>
      <c r="M9" s="122"/>
    </row>
    <row r="10" spans="1:47" s="55" customFormat="1">
      <c r="A10" s="446"/>
      <c r="B10" s="167" t="s">
        <v>1151</v>
      </c>
      <c r="C10" s="167" t="s">
        <v>1152</v>
      </c>
      <c r="D10" s="167" t="s">
        <v>1153</v>
      </c>
      <c r="E10" s="167" t="s">
        <v>1154</v>
      </c>
      <c r="F10" s="168" t="s">
        <v>357</v>
      </c>
      <c r="G10" s="167"/>
      <c r="H10" s="168" t="s">
        <v>366</v>
      </c>
      <c r="I10" s="168" t="s">
        <v>24</v>
      </c>
      <c r="J10" s="167" t="s">
        <v>71</v>
      </c>
      <c r="K10" s="167" t="s">
        <v>1155</v>
      </c>
      <c r="L10" s="30" t="s">
        <v>777</v>
      </c>
      <c r="M10" s="122"/>
    </row>
    <row r="11" spans="1:47" s="159" customFormat="1">
      <c r="A11" s="446"/>
      <c r="B11" s="171" t="s">
        <v>1156</v>
      </c>
      <c r="C11" s="171" t="s">
        <v>1157</v>
      </c>
      <c r="D11" s="171" t="s">
        <v>1158</v>
      </c>
      <c r="E11" s="171" t="s">
        <v>1159</v>
      </c>
      <c r="F11" s="172" t="s">
        <v>357</v>
      </c>
      <c r="G11" s="171"/>
      <c r="H11" s="172" t="s">
        <v>1158</v>
      </c>
      <c r="I11" s="172" t="s">
        <v>24</v>
      </c>
      <c r="J11" s="171" t="s">
        <v>451</v>
      </c>
      <c r="K11" s="171" t="s">
        <v>1160</v>
      </c>
      <c r="L11" s="140" t="s">
        <v>769</v>
      </c>
      <c r="M11" s="198" t="s">
        <v>778</v>
      </c>
    </row>
    <row r="12" spans="1:47" s="55" customFormat="1" ht="24">
      <c r="A12" s="446"/>
      <c r="B12" s="167" t="s">
        <v>1161</v>
      </c>
      <c r="C12" s="167" t="s">
        <v>1162</v>
      </c>
      <c r="D12" s="167" t="s">
        <v>1163</v>
      </c>
      <c r="E12" s="167" t="s">
        <v>1164</v>
      </c>
      <c r="F12" s="168" t="s">
        <v>357</v>
      </c>
      <c r="G12" s="167"/>
      <c r="H12" s="168" t="s">
        <v>366</v>
      </c>
      <c r="I12" s="168" t="s">
        <v>24</v>
      </c>
      <c r="J12" s="167" t="s">
        <v>387</v>
      </c>
      <c r="K12" s="167" t="s">
        <v>1165</v>
      </c>
      <c r="L12" s="30" t="s">
        <v>777</v>
      </c>
      <c r="M12" s="122"/>
    </row>
    <row r="13" spans="1:47" s="55" customFormat="1" ht="24">
      <c r="A13" s="446"/>
      <c r="B13" s="173" t="s">
        <v>1166</v>
      </c>
      <c r="C13" s="173" t="s">
        <v>1167</v>
      </c>
      <c r="D13" s="173" t="s">
        <v>1168</v>
      </c>
      <c r="E13" s="167" t="s">
        <v>1169</v>
      </c>
      <c r="F13" s="168" t="s">
        <v>357</v>
      </c>
      <c r="G13" s="167"/>
      <c r="H13" s="168" t="s">
        <v>366</v>
      </c>
      <c r="I13" s="168" t="s">
        <v>24</v>
      </c>
      <c r="J13" s="167" t="s">
        <v>1050</v>
      </c>
      <c r="K13" s="167" t="s">
        <v>1170</v>
      </c>
      <c r="L13" s="30" t="s">
        <v>777</v>
      </c>
      <c r="M13" s="93" t="s">
        <v>1171</v>
      </c>
    </row>
    <row r="14" spans="1:47" s="55" customFormat="1">
      <c r="A14" s="446"/>
      <c r="B14" s="174" t="s">
        <v>1172</v>
      </c>
      <c r="C14" s="174" t="s">
        <v>1173</v>
      </c>
      <c r="D14" s="175" t="s">
        <v>1174</v>
      </c>
      <c r="E14" s="167" t="s">
        <v>1175</v>
      </c>
      <c r="F14" s="168" t="s">
        <v>357</v>
      </c>
      <c r="G14" s="167"/>
      <c r="H14" s="168" t="s">
        <v>366</v>
      </c>
      <c r="I14" s="168" t="s">
        <v>24</v>
      </c>
      <c r="J14" s="167" t="s">
        <v>530</v>
      </c>
      <c r="K14" s="167" t="s">
        <v>1176</v>
      </c>
      <c r="L14" s="30" t="s">
        <v>777</v>
      </c>
      <c r="M14" s="199" t="s">
        <v>1177</v>
      </c>
    </row>
    <row r="15" spans="1:47" s="55" customFormat="1">
      <c r="A15" s="446"/>
      <c r="B15" s="174" t="s">
        <v>1178</v>
      </c>
      <c r="C15" s="174" t="s">
        <v>1179</v>
      </c>
      <c r="D15" s="175" t="s">
        <v>1180</v>
      </c>
      <c r="E15" s="167" t="s">
        <v>1181</v>
      </c>
      <c r="F15" s="168" t="s">
        <v>357</v>
      </c>
      <c r="G15" s="167"/>
      <c r="H15" s="168" t="s">
        <v>366</v>
      </c>
      <c r="I15" s="168" t="s">
        <v>24</v>
      </c>
      <c r="J15" s="167" t="s">
        <v>1050</v>
      </c>
      <c r="K15" s="167" t="s">
        <v>1182</v>
      </c>
      <c r="L15" s="30" t="s">
        <v>777</v>
      </c>
      <c r="M15" s="199" t="s">
        <v>1177</v>
      </c>
    </row>
    <row r="16" spans="1:47" s="55" customFormat="1" ht="24">
      <c r="A16" s="446"/>
      <c r="B16" s="167" t="s">
        <v>1183</v>
      </c>
      <c r="C16" s="167" t="s">
        <v>1184</v>
      </c>
      <c r="D16" s="167" t="s">
        <v>1185</v>
      </c>
      <c r="E16" s="167" t="s">
        <v>1186</v>
      </c>
      <c r="F16" s="168" t="s">
        <v>357</v>
      </c>
      <c r="G16" s="167"/>
      <c r="H16" s="168" t="s">
        <v>366</v>
      </c>
      <c r="I16" s="168" t="s">
        <v>24</v>
      </c>
      <c r="J16" s="167" t="s">
        <v>1050</v>
      </c>
      <c r="K16" s="167" t="s">
        <v>1187</v>
      </c>
      <c r="L16" s="30" t="s">
        <v>777</v>
      </c>
      <c r="M16" s="122"/>
    </row>
    <row r="17" spans="1:13" s="158" customFormat="1">
      <c r="A17" s="446"/>
      <c r="B17" s="169" t="s">
        <v>1188</v>
      </c>
      <c r="C17" s="169" t="s">
        <v>1189</v>
      </c>
      <c r="D17" s="169" t="s">
        <v>1190</v>
      </c>
      <c r="E17" s="169" t="s">
        <v>1191</v>
      </c>
      <c r="F17" s="170" t="s">
        <v>357</v>
      </c>
      <c r="G17" s="169"/>
      <c r="H17" s="170" t="s">
        <v>366</v>
      </c>
      <c r="I17" s="170" t="s">
        <v>24</v>
      </c>
      <c r="J17" s="169" t="s">
        <v>359</v>
      </c>
      <c r="K17" s="169" t="s">
        <v>1192</v>
      </c>
      <c r="L17" s="39" t="s">
        <v>777</v>
      </c>
      <c r="M17" s="99" t="s">
        <v>778</v>
      </c>
    </row>
    <row r="18" spans="1:13" s="55" customFormat="1">
      <c r="A18" s="446"/>
      <c r="B18" s="167" t="s">
        <v>1193</v>
      </c>
      <c r="C18" s="167" t="s">
        <v>1194</v>
      </c>
      <c r="D18" s="167" t="s">
        <v>1195</v>
      </c>
      <c r="E18" s="167" t="s">
        <v>1196</v>
      </c>
      <c r="F18" s="168" t="s">
        <v>357</v>
      </c>
      <c r="G18" s="167"/>
      <c r="H18" s="168" t="s">
        <v>366</v>
      </c>
      <c r="I18" s="168" t="s">
        <v>24</v>
      </c>
      <c r="J18" s="167" t="s">
        <v>359</v>
      </c>
      <c r="K18" s="167" t="s">
        <v>1197</v>
      </c>
      <c r="L18" s="30" t="s">
        <v>777</v>
      </c>
      <c r="M18" s="122"/>
    </row>
    <row r="19" spans="1:13" s="158" customFormat="1">
      <c r="A19" s="446"/>
      <c r="B19" s="169" t="s">
        <v>1198</v>
      </c>
      <c r="C19" s="169" t="s">
        <v>1199</v>
      </c>
      <c r="D19" s="169" t="s">
        <v>1200</v>
      </c>
      <c r="E19" s="169" t="s">
        <v>1201</v>
      </c>
      <c r="F19" s="170" t="s">
        <v>357</v>
      </c>
      <c r="G19" s="169"/>
      <c r="H19" s="170" t="s">
        <v>366</v>
      </c>
      <c r="I19" s="170" t="s">
        <v>24</v>
      </c>
      <c r="J19" s="169" t="s">
        <v>1202</v>
      </c>
      <c r="K19" s="169" t="s">
        <v>1203</v>
      </c>
      <c r="L19" s="39" t="s">
        <v>777</v>
      </c>
      <c r="M19" s="99" t="s">
        <v>778</v>
      </c>
    </row>
    <row r="20" spans="1:13" s="158" customFormat="1">
      <c r="A20" s="446"/>
      <c r="B20" s="169" t="s">
        <v>1204</v>
      </c>
      <c r="C20" s="169" t="s">
        <v>1205</v>
      </c>
      <c r="D20" s="169" t="s">
        <v>1206</v>
      </c>
      <c r="E20" s="169" t="s">
        <v>1207</v>
      </c>
      <c r="F20" s="170" t="s">
        <v>357</v>
      </c>
      <c r="G20" s="169"/>
      <c r="H20" s="170" t="s">
        <v>366</v>
      </c>
      <c r="I20" s="170" t="s">
        <v>24</v>
      </c>
      <c r="J20" s="169" t="s">
        <v>451</v>
      </c>
      <c r="K20" s="169" t="s">
        <v>1208</v>
      </c>
      <c r="L20" s="39" t="s">
        <v>777</v>
      </c>
      <c r="M20" s="99" t="s">
        <v>778</v>
      </c>
    </row>
    <row r="21" spans="1:13" s="55" customFormat="1">
      <c r="A21" s="446"/>
      <c r="B21" s="167" t="s">
        <v>1209</v>
      </c>
      <c r="C21" s="167" t="s">
        <v>1210</v>
      </c>
      <c r="D21" s="167" t="s">
        <v>1211</v>
      </c>
      <c r="E21" s="167" t="s">
        <v>1212</v>
      </c>
      <c r="F21" s="168" t="s">
        <v>357</v>
      </c>
      <c r="G21" s="167"/>
      <c r="H21" s="168" t="s">
        <v>366</v>
      </c>
      <c r="I21" s="168" t="s">
        <v>24</v>
      </c>
      <c r="J21" s="167" t="s">
        <v>451</v>
      </c>
      <c r="K21" s="167" t="s">
        <v>1213</v>
      </c>
      <c r="L21" s="30" t="s">
        <v>777</v>
      </c>
      <c r="M21" s="122"/>
    </row>
    <row r="22" spans="1:13" s="55" customFormat="1" ht="36">
      <c r="A22" s="446"/>
      <c r="B22" s="167" t="s">
        <v>1214</v>
      </c>
      <c r="C22" s="167" t="s">
        <v>1215</v>
      </c>
      <c r="D22" s="167" t="s">
        <v>1216</v>
      </c>
      <c r="E22" s="167" t="s">
        <v>1217</v>
      </c>
      <c r="F22" s="168" t="s">
        <v>357</v>
      </c>
      <c r="G22" s="167"/>
      <c r="H22" s="168" t="s">
        <v>366</v>
      </c>
      <c r="I22" s="168" t="s">
        <v>24</v>
      </c>
      <c r="J22" s="167" t="s">
        <v>1218</v>
      </c>
      <c r="K22" s="167" t="s">
        <v>1219</v>
      </c>
      <c r="L22" s="30" t="s">
        <v>777</v>
      </c>
      <c r="M22" s="122"/>
    </row>
    <row r="23" spans="1:13" s="55" customFormat="1">
      <c r="A23" s="446"/>
      <c r="B23" s="167" t="s">
        <v>1220</v>
      </c>
      <c r="C23" s="167" t="s">
        <v>1221</v>
      </c>
      <c r="D23" s="167" t="s">
        <v>1222</v>
      </c>
      <c r="E23" s="167" t="s">
        <v>1223</v>
      </c>
      <c r="F23" s="168" t="s">
        <v>357</v>
      </c>
      <c r="G23" s="167"/>
      <c r="H23" s="170" t="s">
        <v>1224</v>
      </c>
      <c r="I23" s="168" t="s">
        <v>24</v>
      </c>
      <c r="J23" s="167" t="s">
        <v>1003</v>
      </c>
      <c r="K23" s="167" t="s">
        <v>1225</v>
      </c>
      <c r="L23" s="30" t="s">
        <v>407</v>
      </c>
      <c r="M23" s="122"/>
    </row>
    <row r="24" spans="1:13" s="158" customFormat="1">
      <c r="A24" s="446"/>
      <c r="B24" s="169" t="s">
        <v>1226</v>
      </c>
      <c r="C24" s="169" t="s">
        <v>1227</v>
      </c>
      <c r="D24" s="169" t="s">
        <v>1228</v>
      </c>
      <c r="E24" s="169" t="s">
        <v>1229</v>
      </c>
      <c r="F24" s="170" t="s">
        <v>357</v>
      </c>
      <c r="G24" s="169"/>
      <c r="H24" s="170" t="s">
        <v>1230</v>
      </c>
      <c r="I24" s="170" t="s">
        <v>24</v>
      </c>
      <c r="J24" s="169" t="s">
        <v>1003</v>
      </c>
      <c r="K24" s="169" t="s">
        <v>1225</v>
      </c>
      <c r="L24" s="39" t="s">
        <v>407</v>
      </c>
      <c r="M24" s="99" t="s">
        <v>1231</v>
      </c>
    </row>
    <row r="25" spans="1:13" s="55" customFormat="1" ht="24">
      <c r="A25" s="446"/>
      <c r="B25" s="167" t="s">
        <v>1232</v>
      </c>
      <c r="C25" s="167" t="s">
        <v>1233</v>
      </c>
      <c r="D25" s="167" t="s">
        <v>1234</v>
      </c>
      <c r="E25" s="167" t="s">
        <v>1235</v>
      </c>
      <c r="F25" s="168" t="s">
        <v>357</v>
      </c>
      <c r="G25" s="167"/>
      <c r="H25" s="168" t="s">
        <v>366</v>
      </c>
      <c r="I25" s="168" t="s">
        <v>24</v>
      </c>
      <c r="J25" s="167" t="s">
        <v>1050</v>
      </c>
      <c r="K25" s="167" t="s">
        <v>1236</v>
      </c>
      <c r="L25" s="30" t="s">
        <v>777</v>
      </c>
      <c r="M25" s="122"/>
    </row>
    <row r="26" spans="1:13" s="55" customFormat="1">
      <c r="A26" s="446"/>
      <c r="B26" s="167" t="s">
        <v>1237</v>
      </c>
      <c r="C26" s="167" t="s">
        <v>1238</v>
      </c>
      <c r="D26" s="167" t="s">
        <v>1239</v>
      </c>
      <c r="E26" s="167" t="s">
        <v>1240</v>
      </c>
      <c r="F26" s="168" t="s">
        <v>357</v>
      </c>
      <c r="G26" s="167"/>
      <c r="H26" s="168" t="s">
        <v>366</v>
      </c>
      <c r="I26" s="168" t="s">
        <v>24</v>
      </c>
      <c r="J26" s="167" t="s">
        <v>359</v>
      </c>
      <c r="K26" s="167" t="s">
        <v>1241</v>
      </c>
      <c r="L26" s="30" t="s">
        <v>777</v>
      </c>
      <c r="M26" s="122"/>
    </row>
    <row r="27" spans="1:13" s="55" customFormat="1">
      <c r="A27" s="446"/>
      <c r="B27" s="167" t="s">
        <v>1242</v>
      </c>
      <c r="C27" s="167" t="s">
        <v>1243</v>
      </c>
      <c r="D27" s="167" t="s">
        <v>1244</v>
      </c>
      <c r="E27" s="167" t="s">
        <v>1245</v>
      </c>
      <c r="F27" s="168" t="s">
        <v>357</v>
      </c>
      <c r="G27" s="167"/>
      <c r="H27" s="168" t="s">
        <v>366</v>
      </c>
      <c r="I27" s="168" t="s">
        <v>24</v>
      </c>
      <c r="J27" s="167" t="s">
        <v>496</v>
      </c>
      <c r="K27" s="167" t="s">
        <v>1246</v>
      </c>
      <c r="L27" s="30" t="s">
        <v>777</v>
      </c>
      <c r="M27" s="122"/>
    </row>
    <row r="28" spans="1:13" s="55" customFormat="1">
      <c r="A28" s="446"/>
      <c r="B28" s="167" t="s">
        <v>1247</v>
      </c>
      <c r="C28" s="167" t="s">
        <v>1248</v>
      </c>
      <c r="D28" s="167" t="s">
        <v>1249</v>
      </c>
      <c r="E28" s="167" t="s">
        <v>1250</v>
      </c>
      <c r="F28" s="168" t="s">
        <v>357</v>
      </c>
      <c r="G28" s="167"/>
      <c r="H28" s="168" t="s">
        <v>366</v>
      </c>
      <c r="I28" s="168" t="s">
        <v>24</v>
      </c>
      <c r="J28" s="167" t="s">
        <v>1218</v>
      </c>
      <c r="K28" s="167" t="s">
        <v>1251</v>
      </c>
      <c r="L28" s="30" t="s">
        <v>777</v>
      </c>
      <c r="M28" s="122"/>
    </row>
    <row r="29" spans="1:13" s="55" customFormat="1">
      <c r="A29" s="446"/>
      <c r="B29" s="167" t="s">
        <v>1252</v>
      </c>
      <c r="C29" s="167" t="s">
        <v>1253</v>
      </c>
      <c r="D29" s="167" t="s">
        <v>1254</v>
      </c>
      <c r="E29" s="167" t="s">
        <v>1255</v>
      </c>
      <c r="F29" s="168" t="s">
        <v>357</v>
      </c>
      <c r="G29" s="167"/>
      <c r="H29" s="168" t="s">
        <v>366</v>
      </c>
      <c r="I29" s="168" t="s">
        <v>24</v>
      </c>
      <c r="J29" s="167" t="s">
        <v>28</v>
      </c>
      <c r="K29" s="167" t="s">
        <v>1256</v>
      </c>
      <c r="L29" s="30" t="s">
        <v>777</v>
      </c>
      <c r="M29" s="122"/>
    </row>
    <row r="30" spans="1:13" s="55" customFormat="1">
      <c r="A30" s="446"/>
      <c r="B30" s="167" t="s">
        <v>1257</v>
      </c>
      <c r="C30" s="167" t="s">
        <v>1258</v>
      </c>
      <c r="D30" s="167" t="s">
        <v>1259</v>
      </c>
      <c r="E30" s="167" t="s">
        <v>1260</v>
      </c>
      <c r="F30" s="168" t="s">
        <v>357</v>
      </c>
      <c r="G30" s="167"/>
      <c r="H30" s="168" t="s">
        <v>366</v>
      </c>
      <c r="I30" s="168" t="s">
        <v>24</v>
      </c>
      <c r="J30" s="167" t="s">
        <v>1261</v>
      </c>
      <c r="K30" s="167" t="s">
        <v>1262</v>
      </c>
      <c r="L30" s="30" t="s">
        <v>777</v>
      </c>
      <c r="M30" s="122"/>
    </row>
    <row r="31" spans="1:13" s="55" customFormat="1">
      <c r="A31" s="446"/>
      <c r="B31" s="167" t="s">
        <v>1263</v>
      </c>
      <c r="C31" s="167" t="s">
        <v>1264</v>
      </c>
      <c r="D31" s="167" t="s">
        <v>1265</v>
      </c>
      <c r="E31" s="167" t="s">
        <v>1266</v>
      </c>
      <c r="F31" s="168" t="s">
        <v>357</v>
      </c>
      <c r="G31" s="167"/>
      <c r="H31" s="168" t="s">
        <v>366</v>
      </c>
      <c r="I31" s="168" t="s">
        <v>24</v>
      </c>
      <c r="J31" s="167" t="s">
        <v>1267</v>
      </c>
      <c r="K31" s="167" t="s">
        <v>1268</v>
      </c>
      <c r="L31" s="30" t="s">
        <v>777</v>
      </c>
      <c r="M31" s="122"/>
    </row>
    <row r="32" spans="1:13" s="158" customFormat="1" ht="24">
      <c r="A32" s="446"/>
      <c r="B32" s="169" t="s">
        <v>1269</v>
      </c>
      <c r="C32" s="169" t="s">
        <v>1270</v>
      </c>
      <c r="D32" s="169" t="s">
        <v>1271</v>
      </c>
      <c r="E32" s="169" t="s">
        <v>1272</v>
      </c>
      <c r="F32" s="170" t="s">
        <v>357</v>
      </c>
      <c r="G32" s="169"/>
      <c r="H32" s="170" t="s">
        <v>1273</v>
      </c>
      <c r="I32" s="170" t="s">
        <v>24</v>
      </c>
      <c r="J32" s="200" t="s">
        <v>1122</v>
      </c>
      <c r="K32" s="169" t="s">
        <v>1274</v>
      </c>
      <c r="L32" s="39" t="s">
        <v>777</v>
      </c>
      <c r="M32" s="99" t="s">
        <v>1088</v>
      </c>
    </row>
    <row r="33" spans="1:13" s="158" customFormat="1">
      <c r="A33" s="446"/>
      <c r="B33" s="169" t="s">
        <v>1275</v>
      </c>
      <c r="C33" s="169" t="s">
        <v>1276</v>
      </c>
      <c r="D33" s="169" t="s">
        <v>1277</v>
      </c>
      <c r="E33" s="169" t="s">
        <v>1278</v>
      </c>
      <c r="F33" s="170" t="s">
        <v>357</v>
      </c>
      <c r="G33" s="169"/>
      <c r="H33" s="170" t="s">
        <v>1279</v>
      </c>
      <c r="I33" s="170" t="s">
        <v>24</v>
      </c>
      <c r="J33" s="200" t="s">
        <v>1116</v>
      </c>
      <c r="K33" s="169" t="s">
        <v>1280</v>
      </c>
      <c r="L33" s="39" t="s">
        <v>777</v>
      </c>
      <c r="M33" s="99" t="s">
        <v>1088</v>
      </c>
    </row>
    <row r="34" spans="1:13" s="55" customFormat="1">
      <c r="A34" s="446"/>
      <c r="B34" s="167" t="s">
        <v>1281</v>
      </c>
      <c r="C34" s="167" t="s">
        <v>1282</v>
      </c>
      <c r="D34" s="167" t="s">
        <v>1283</v>
      </c>
      <c r="E34" s="167" t="s">
        <v>1284</v>
      </c>
      <c r="F34" s="168" t="s">
        <v>357</v>
      </c>
      <c r="G34" s="167"/>
      <c r="H34" s="168" t="s">
        <v>1283</v>
      </c>
      <c r="I34" s="168" t="s">
        <v>24</v>
      </c>
      <c r="J34" s="167" t="s">
        <v>530</v>
      </c>
      <c r="K34" s="167"/>
      <c r="L34" s="30" t="s">
        <v>777</v>
      </c>
      <c r="M34" s="122"/>
    </row>
    <row r="35" spans="1:13" s="158" customFormat="1">
      <c r="A35" s="446"/>
      <c r="B35" s="169" t="s">
        <v>1285</v>
      </c>
      <c r="C35" s="169" t="s">
        <v>1286</v>
      </c>
      <c r="D35" s="169" t="s">
        <v>1287</v>
      </c>
      <c r="E35" s="169" t="s">
        <v>1288</v>
      </c>
      <c r="F35" s="170" t="s">
        <v>357</v>
      </c>
      <c r="G35" s="169"/>
      <c r="H35" s="170" t="s">
        <v>1287</v>
      </c>
      <c r="I35" s="170" t="s">
        <v>24</v>
      </c>
      <c r="J35" s="169" t="s">
        <v>387</v>
      </c>
      <c r="K35" s="201" t="s">
        <v>1289</v>
      </c>
      <c r="L35" s="39" t="s">
        <v>777</v>
      </c>
      <c r="M35" s="99" t="s">
        <v>778</v>
      </c>
    </row>
    <row r="36" spans="1:13" s="160" customFormat="1" ht="24">
      <c r="A36" s="446"/>
      <c r="B36" s="176" t="s">
        <v>1290</v>
      </c>
      <c r="C36" s="177" t="s">
        <v>1291</v>
      </c>
      <c r="D36" s="178" t="s">
        <v>1292</v>
      </c>
      <c r="E36" s="179" t="s">
        <v>1293</v>
      </c>
      <c r="F36" s="180" t="s">
        <v>357</v>
      </c>
      <c r="G36" s="128"/>
      <c r="H36" s="128" t="s">
        <v>1292</v>
      </c>
      <c r="I36" s="202" t="s">
        <v>24</v>
      </c>
      <c r="J36" s="203" t="s">
        <v>1294</v>
      </c>
      <c r="K36" s="179" t="s">
        <v>1293</v>
      </c>
      <c r="L36" s="414" t="s">
        <v>407</v>
      </c>
      <c r="M36" s="204" t="s">
        <v>1295</v>
      </c>
    </row>
    <row r="37" spans="1:13" s="158" customFormat="1">
      <c r="A37" s="446"/>
      <c r="B37" s="181" t="s">
        <v>1296</v>
      </c>
      <c r="C37" s="182" t="s">
        <v>1297</v>
      </c>
      <c r="D37" s="183" t="s">
        <v>1298</v>
      </c>
      <c r="E37" s="136" t="s">
        <v>1299</v>
      </c>
      <c r="F37" s="170" t="s">
        <v>357</v>
      </c>
      <c r="G37" s="134"/>
      <c r="H37" s="134" t="s">
        <v>1298</v>
      </c>
      <c r="I37" s="192" t="s">
        <v>24</v>
      </c>
      <c r="J37" s="205" t="s">
        <v>451</v>
      </c>
      <c r="K37" s="136" t="s">
        <v>1299</v>
      </c>
      <c r="L37" s="415"/>
      <c r="M37" s="99" t="s">
        <v>778</v>
      </c>
    </row>
    <row r="38" spans="1:13" s="55" customFormat="1">
      <c r="A38" s="446"/>
      <c r="B38" s="184" t="s">
        <v>1300</v>
      </c>
      <c r="C38" s="185" t="s">
        <v>1301</v>
      </c>
      <c r="D38" s="186" t="s">
        <v>1302</v>
      </c>
      <c r="E38" s="187" t="s">
        <v>1303</v>
      </c>
      <c r="F38" s="168" t="s">
        <v>357</v>
      </c>
      <c r="G38" s="129"/>
      <c r="H38" s="129" t="s">
        <v>1302</v>
      </c>
      <c r="I38" s="190" t="s">
        <v>24</v>
      </c>
      <c r="J38" s="206" t="s">
        <v>387</v>
      </c>
      <c r="K38" s="187" t="s">
        <v>1303</v>
      </c>
      <c r="L38" s="415"/>
      <c r="M38" s="122"/>
    </row>
    <row r="39" spans="1:13" s="158" customFormat="1">
      <c r="A39" s="446"/>
      <c r="B39" s="181" t="s">
        <v>1304</v>
      </c>
      <c r="C39" s="182" t="s">
        <v>1305</v>
      </c>
      <c r="D39" s="183" t="s">
        <v>1306</v>
      </c>
      <c r="E39" s="136" t="s">
        <v>1307</v>
      </c>
      <c r="F39" s="170" t="s">
        <v>357</v>
      </c>
      <c r="G39" s="134"/>
      <c r="H39" s="134" t="s">
        <v>1306</v>
      </c>
      <c r="I39" s="192" t="s">
        <v>24</v>
      </c>
      <c r="J39" s="205" t="s">
        <v>451</v>
      </c>
      <c r="K39" s="136" t="s">
        <v>1307</v>
      </c>
      <c r="L39" s="415"/>
      <c r="M39" s="99" t="s">
        <v>778</v>
      </c>
    </row>
    <row r="40" spans="1:13" s="55" customFormat="1">
      <c r="A40" s="447"/>
      <c r="B40" s="184" t="s">
        <v>1308</v>
      </c>
      <c r="C40" s="185" t="s">
        <v>1309</v>
      </c>
      <c r="D40" s="186" t="s">
        <v>1310</v>
      </c>
      <c r="E40" s="187" t="s">
        <v>1311</v>
      </c>
      <c r="F40" s="168" t="s">
        <v>357</v>
      </c>
      <c r="G40" s="129"/>
      <c r="H40" s="129" t="s">
        <v>1310</v>
      </c>
      <c r="I40" s="190" t="s">
        <v>24</v>
      </c>
      <c r="J40" s="206" t="s">
        <v>1003</v>
      </c>
      <c r="K40" s="187" t="s">
        <v>1311</v>
      </c>
      <c r="L40" s="416"/>
      <c r="M40" s="122"/>
    </row>
    <row r="41" spans="1:13" s="55" customFormat="1" ht="13.5" customHeight="1">
      <c r="A41" s="448" t="s">
        <v>1312</v>
      </c>
      <c r="B41" s="188" t="s">
        <v>1313</v>
      </c>
      <c r="C41" s="189" t="s">
        <v>1314</v>
      </c>
      <c r="D41" s="188" t="s">
        <v>1315</v>
      </c>
      <c r="E41" s="189" t="s">
        <v>1316</v>
      </c>
      <c r="F41" s="168" t="s">
        <v>357</v>
      </c>
      <c r="G41" s="190" t="s">
        <v>1317</v>
      </c>
      <c r="H41" s="190" t="s">
        <v>366</v>
      </c>
      <c r="I41" s="190" t="s">
        <v>24</v>
      </c>
      <c r="J41" s="188" t="s">
        <v>387</v>
      </c>
      <c r="K41" s="189" t="s">
        <v>1318</v>
      </c>
      <c r="L41" s="30" t="s">
        <v>777</v>
      </c>
      <c r="M41" s="122"/>
    </row>
    <row r="42" spans="1:13" s="55" customFormat="1" ht="24">
      <c r="A42" s="449"/>
      <c r="B42" s="188" t="s">
        <v>1319</v>
      </c>
      <c r="C42" s="189" t="s">
        <v>1320</v>
      </c>
      <c r="D42" s="188" t="s">
        <v>1321</v>
      </c>
      <c r="E42" s="189" t="s">
        <v>1322</v>
      </c>
      <c r="F42" s="168" t="s">
        <v>357</v>
      </c>
      <c r="G42" s="190"/>
      <c r="H42" s="190" t="s">
        <v>366</v>
      </c>
      <c r="I42" s="190" t="s">
        <v>24</v>
      </c>
      <c r="J42" s="206" t="s">
        <v>387</v>
      </c>
      <c r="K42" s="189" t="s">
        <v>1323</v>
      </c>
      <c r="L42" s="30" t="s">
        <v>777</v>
      </c>
      <c r="M42" s="122"/>
    </row>
    <row r="43" spans="1:13" s="55" customFormat="1" ht="24">
      <c r="A43" s="449"/>
      <c r="B43" s="188" t="s">
        <v>1324</v>
      </c>
      <c r="C43" s="189" t="s">
        <v>1325</v>
      </c>
      <c r="D43" s="188" t="s">
        <v>1326</v>
      </c>
      <c r="E43" s="189" t="s">
        <v>1327</v>
      </c>
      <c r="F43" s="168" t="s">
        <v>357</v>
      </c>
      <c r="G43" s="190"/>
      <c r="H43" s="190" t="s">
        <v>366</v>
      </c>
      <c r="I43" s="190" t="s">
        <v>24</v>
      </c>
      <c r="J43" s="206" t="s">
        <v>530</v>
      </c>
      <c r="K43" s="189" t="s">
        <v>1328</v>
      </c>
      <c r="L43" s="30" t="s">
        <v>777</v>
      </c>
      <c r="M43" s="122"/>
    </row>
    <row r="44" spans="1:13" s="55" customFormat="1" ht="24">
      <c r="A44" s="449"/>
      <c r="B44" s="188" t="s">
        <v>1329</v>
      </c>
      <c r="C44" s="189" t="s">
        <v>1330</v>
      </c>
      <c r="D44" s="188" t="s">
        <v>1331</v>
      </c>
      <c r="E44" s="189" t="s">
        <v>1332</v>
      </c>
      <c r="F44" s="168" t="s">
        <v>357</v>
      </c>
      <c r="G44" s="190"/>
      <c r="H44" s="190" t="s">
        <v>366</v>
      </c>
      <c r="I44" s="190" t="s">
        <v>24</v>
      </c>
      <c r="J44" s="188" t="s">
        <v>530</v>
      </c>
      <c r="K44" s="189" t="s">
        <v>1333</v>
      </c>
      <c r="L44" s="30" t="s">
        <v>777</v>
      </c>
      <c r="M44" s="122"/>
    </row>
    <row r="45" spans="1:13" s="55" customFormat="1" ht="24">
      <c r="A45" s="449"/>
      <c r="B45" s="188" t="s">
        <v>1334</v>
      </c>
      <c r="C45" s="189" t="s">
        <v>1335</v>
      </c>
      <c r="D45" s="188" t="s">
        <v>1336</v>
      </c>
      <c r="E45" s="189" t="s">
        <v>1337</v>
      </c>
      <c r="F45" s="168" t="s">
        <v>357</v>
      </c>
      <c r="G45" s="190"/>
      <c r="H45" s="190" t="s">
        <v>366</v>
      </c>
      <c r="I45" s="190" t="s">
        <v>24</v>
      </c>
      <c r="J45" s="206" t="s">
        <v>1338</v>
      </c>
      <c r="K45" s="189" t="s">
        <v>1339</v>
      </c>
      <c r="L45" s="30" t="s">
        <v>777</v>
      </c>
      <c r="M45" s="122"/>
    </row>
    <row r="46" spans="1:13" s="158" customFormat="1" ht="22.5" customHeight="1">
      <c r="A46" s="449"/>
      <c r="B46" s="23" t="s">
        <v>1340</v>
      </c>
      <c r="C46" s="191" t="s">
        <v>1341</v>
      </c>
      <c r="D46" s="23" t="s">
        <v>1342</v>
      </c>
      <c r="E46" s="191" t="s">
        <v>1343</v>
      </c>
      <c r="F46" s="170" t="s">
        <v>357</v>
      </c>
      <c r="G46" s="192"/>
      <c r="H46" s="192" t="s">
        <v>1342</v>
      </c>
      <c r="I46" s="192" t="s">
        <v>24</v>
      </c>
      <c r="J46" s="23" t="s">
        <v>1344</v>
      </c>
      <c r="K46" s="191" t="s">
        <v>1345</v>
      </c>
      <c r="L46" s="39" t="s">
        <v>769</v>
      </c>
      <c r="M46" s="99" t="s">
        <v>778</v>
      </c>
    </row>
    <row r="47" spans="1:13" s="55" customFormat="1">
      <c r="A47" s="449"/>
      <c r="B47" s="188" t="s">
        <v>1346</v>
      </c>
      <c r="C47" s="189" t="s">
        <v>1347</v>
      </c>
      <c r="D47" s="188" t="s">
        <v>1348</v>
      </c>
      <c r="E47" s="189" t="s">
        <v>1349</v>
      </c>
      <c r="F47" s="168" t="s">
        <v>357</v>
      </c>
      <c r="G47" s="190"/>
      <c r="H47" s="190" t="s">
        <v>366</v>
      </c>
      <c r="I47" s="190" t="s">
        <v>24</v>
      </c>
      <c r="J47" s="206" t="s">
        <v>387</v>
      </c>
      <c r="K47" s="189" t="s">
        <v>1350</v>
      </c>
      <c r="L47" s="30" t="s">
        <v>777</v>
      </c>
      <c r="M47" s="122"/>
    </row>
    <row r="48" spans="1:13" s="55" customFormat="1" ht="24">
      <c r="A48" s="449"/>
      <c r="B48" s="188" t="s">
        <v>1351</v>
      </c>
      <c r="C48" s="189" t="s">
        <v>1352</v>
      </c>
      <c r="D48" s="188" t="s">
        <v>1353</v>
      </c>
      <c r="E48" s="189" t="s">
        <v>1354</v>
      </c>
      <c r="F48" s="168" t="s">
        <v>357</v>
      </c>
      <c r="G48" s="190"/>
      <c r="H48" s="190" t="s">
        <v>366</v>
      </c>
      <c r="I48" s="190" t="s">
        <v>24</v>
      </c>
      <c r="J48" s="206" t="s">
        <v>530</v>
      </c>
      <c r="K48" s="189" t="s">
        <v>1355</v>
      </c>
      <c r="L48" s="30" t="s">
        <v>777</v>
      </c>
      <c r="M48" s="122"/>
    </row>
    <row r="49" spans="1:13" s="55" customFormat="1" ht="24">
      <c r="A49" s="449"/>
      <c r="B49" s="188" t="s">
        <v>1356</v>
      </c>
      <c r="C49" s="189" t="s">
        <v>1357</v>
      </c>
      <c r="D49" s="188" t="s">
        <v>1358</v>
      </c>
      <c r="E49" s="189" t="s">
        <v>1359</v>
      </c>
      <c r="F49" s="168" t="s">
        <v>357</v>
      </c>
      <c r="G49" s="190"/>
      <c r="H49" s="190" t="s">
        <v>366</v>
      </c>
      <c r="I49" s="190" t="s">
        <v>24</v>
      </c>
      <c r="J49" s="206" t="s">
        <v>530</v>
      </c>
      <c r="K49" s="189" t="s">
        <v>1360</v>
      </c>
      <c r="L49" s="30" t="s">
        <v>777</v>
      </c>
      <c r="M49" s="122"/>
    </row>
    <row r="50" spans="1:13" s="55" customFormat="1">
      <c r="A50" s="449"/>
      <c r="B50" s="188" t="s">
        <v>1361</v>
      </c>
      <c r="C50" s="189" t="s">
        <v>1362</v>
      </c>
      <c r="D50" s="188" t="s">
        <v>1363</v>
      </c>
      <c r="E50" s="189" t="s">
        <v>1364</v>
      </c>
      <c r="F50" s="168" t="s">
        <v>357</v>
      </c>
      <c r="G50" s="190"/>
      <c r="H50" s="190" t="s">
        <v>366</v>
      </c>
      <c r="I50" s="190" t="s">
        <v>24</v>
      </c>
      <c r="J50" s="206" t="s">
        <v>530</v>
      </c>
      <c r="K50" s="189" t="s">
        <v>1365</v>
      </c>
      <c r="L50" s="30" t="s">
        <v>777</v>
      </c>
      <c r="M50" s="122"/>
    </row>
    <row r="51" spans="1:13" s="55" customFormat="1">
      <c r="A51" s="449"/>
      <c r="B51" s="188" t="s">
        <v>1366</v>
      </c>
      <c r="C51" s="189" t="s">
        <v>1367</v>
      </c>
      <c r="D51" s="188" t="s">
        <v>1368</v>
      </c>
      <c r="E51" s="189" t="s">
        <v>1369</v>
      </c>
      <c r="F51" s="168" t="s">
        <v>357</v>
      </c>
      <c r="G51" s="190"/>
      <c r="H51" s="190" t="s">
        <v>1370</v>
      </c>
      <c r="I51" s="190" t="s">
        <v>24</v>
      </c>
      <c r="J51" s="206" t="s">
        <v>1050</v>
      </c>
      <c r="K51" s="189" t="s">
        <v>1371</v>
      </c>
      <c r="L51" s="30" t="s">
        <v>769</v>
      </c>
      <c r="M51" s="122"/>
    </row>
    <row r="52" spans="1:13" s="158" customFormat="1" ht="24">
      <c r="A52" s="449"/>
      <c r="B52" s="23" t="s">
        <v>1372</v>
      </c>
      <c r="C52" s="23" t="s">
        <v>1373</v>
      </c>
      <c r="D52" s="23" t="s">
        <v>1374</v>
      </c>
      <c r="E52" s="191" t="s">
        <v>1375</v>
      </c>
      <c r="F52" s="170" t="s">
        <v>357</v>
      </c>
      <c r="G52" s="192"/>
      <c r="H52" s="192" t="s">
        <v>1376</v>
      </c>
      <c r="I52" s="192" t="s">
        <v>24</v>
      </c>
      <c r="J52" s="205" t="s">
        <v>387</v>
      </c>
      <c r="K52" s="191" t="s">
        <v>1377</v>
      </c>
      <c r="L52" s="454" t="s">
        <v>407</v>
      </c>
      <c r="M52" s="442" t="s">
        <v>1378</v>
      </c>
    </row>
    <row r="53" spans="1:13" s="158" customFormat="1" ht="24">
      <c r="A53" s="449"/>
      <c r="B53" s="23" t="s">
        <v>1379</v>
      </c>
      <c r="C53" s="23" t="s">
        <v>1380</v>
      </c>
      <c r="D53" s="23" t="s">
        <v>1381</v>
      </c>
      <c r="E53" s="193" t="s">
        <v>1382</v>
      </c>
      <c r="F53" s="170" t="s">
        <v>357</v>
      </c>
      <c r="G53" s="192"/>
      <c r="H53" s="192" t="s">
        <v>1383</v>
      </c>
      <c r="I53" s="209" t="s">
        <v>24</v>
      </c>
      <c r="J53" s="210" t="s">
        <v>387</v>
      </c>
      <c r="K53" s="193" t="s">
        <v>366</v>
      </c>
      <c r="L53" s="430"/>
      <c r="M53" s="443"/>
    </row>
    <row r="54" spans="1:13" s="158" customFormat="1" ht="24">
      <c r="A54" s="449"/>
      <c r="B54" s="23" t="s">
        <v>1384</v>
      </c>
      <c r="C54" s="23" t="s">
        <v>1385</v>
      </c>
      <c r="D54" s="23" t="s">
        <v>1386</v>
      </c>
      <c r="E54" s="23" t="s">
        <v>1387</v>
      </c>
      <c r="F54" s="170" t="s">
        <v>357</v>
      </c>
      <c r="G54" s="192"/>
      <c r="H54" s="192" t="s">
        <v>1388</v>
      </c>
      <c r="I54" s="192" t="s">
        <v>24</v>
      </c>
      <c r="J54" s="205" t="s">
        <v>387</v>
      </c>
      <c r="K54" s="191" t="s">
        <v>366</v>
      </c>
      <c r="L54" s="430"/>
      <c r="M54" s="443"/>
    </row>
    <row r="55" spans="1:13" s="158" customFormat="1" ht="24">
      <c r="A55" s="449"/>
      <c r="B55" s="23" t="s">
        <v>1389</v>
      </c>
      <c r="C55" s="23" t="s">
        <v>1390</v>
      </c>
      <c r="D55" s="23" t="s">
        <v>1391</v>
      </c>
      <c r="E55" s="23" t="s">
        <v>1392</v>
      </c>
      <c r="F55" s="170" t="s">
        <v>357</v>
      </c>
      <c r="G55" s="192"/>
      <c r="H55" s="192" t="s">
        <v>1393</v>
      </c>
      <c r="I55" s="192" t="s">
        <v>24</v>
      </c>
      <c r="J55" s="205" t="s">
        <v>530</v>
      </c>
      <c r="K55" s="191" t="s">
        <v>366</v>
      </c>
      <c r="L55" s="430"/>
      <c r="M55" s="443"/>
    </row>
    <row r="56" spans="1:13" s="158" customFormat="1" ht="24">
      <c r="A56" s="449"/>
      <c r="B56" s="23" t="s">
        <v>1394</v>
      </c>
      <c r="C56" s="23" t="s">
        <v>1395</v>
      </c>
      <c r="D56" s="23" t="s">
        <v>1396</v>
      </c>
      <c r="E56" s="23" t="s">
        <v>1397</v>
      </c>
      <c r="F56" s="170" t="s">
        <v>357</v>
      </c>
      <c r="G56" s="192"/>
      <c r="H56" s="192" t="s">
        <v>1398</v>
      </c>
      <c r="I56" s="192" t="s">
        <v>24</v>
      </c>
      <c r="J56" s="205" t="s">
        <v>628</v>
      </c>
      <c r="K56" s="191" t="s">
        <v>1399</v>
      </c>
      <c r="L56" s="430"/>
      <c r="M56" s="443"/>
    </row>
    <row r="57" spans="1:13" s="158" customFormat="1" ht="24">
      <c r="A57" s="449"/>
      <c r="B57" s="23" t="s">
        <v>1400</v>
      </c>
      <c r="C57" s="23" t="s">
        <v>1401</v>
      </c>
      <c r="D57" s="23" t="s">
        <v>1402</v>
      </c>
      <c r="E57" s="23" t="s">
        <v>1403</v>
      </c>
      <c r="F57" s="170" t="s">
        <v>357</v>
      </c>
      <c r="G57" s="192"/>
      <c r="H57" s="192" t="s">
        <v>1404</v>
      </c>
      <c r="I57" s="192" t="s">
        <v>24</v>
      </c>
      <c r="J57" s="205" t="s">
        <v>387</v>
      </c>
      <c r="K57" s="191" t="s">
        <v>1405</v>
      </c>
      <c r="L57" s="429"/>
      <c r="M57" s="444"/>
    </row>
    <row r="58" spans="1:13" s="55" customFormat="1" ht="24">
      <c r="A58" s="449"/>
      <c r="B58" s="188" t="s">
        <v>1406</v>
      </c>
      <c r="C58" s="189" t="s">
        <v>1407</v>
      </c>
      <c r="D58" s="188" t="s">
        <v>1408</v>
      </c>
      <c r="E58" s="189" t="s">
        <v>1409</v>
      </c>
      <c r="F58" s="168" t="s">
        <v>357</v>
      </c>
      <c r="G58" s="190"/>
      <c r="H58" s="190" t="s">
        <v>366</v>
      </c>
      <c r="I58" s="190" t="s">
        <v>24</v>
      </c>
      <c r="J58" s="188" t="s">
        <v>1410</v>
      </c>
      <c r="K58" s="189" t="s">
        <v>1411</v>
      </c>
      <c r="L58" s="30" t="s">
        <v>777</v>
      </c>
      <c r="M58" s="122"/>
    </row>
    <row r="59" spans="1:13" s="55" customFormat="1" ht="48">
      <c r="A59" s="449"/>
      <c r="B59" s="188" t="s">
        <v>1412</v>
      </c>
      <c r="C59" s="189" t="s">
        <v>1413</v>
      </c>
      <c r="D59" s="188" t="s">
        <v>1414</v>
      </c>
      <c r="E59" s="189" t="s">
        <v>1415</v>
      </c>
      <c r="F59" s="168" t="s">
        <v>357</v>
      </c>
      <c r="G59" s="190"/>
      <c r="H59" s="190" t="s">
        <v>366</v>
      </c>
      <c r="I59" s="190" t="s">
        <v>24</v>
      </c>
      <c r="J59" s="188" t="s">
        <v>1416</v>
      </c>
      <c r="K59" s="189" t="s">
        <v>1417</v>
      </c>
      <c r="L59" s="30" t="s">
        <v>777</v>
      </c>
      <c r="M59" s="122"/>
    </row>
    <row r="60" spans="1:13" s="55" customFormat="1" ht="60">
      <c r="A60" s="449"/>
      <c r="B60" s="188" t="s">
        <v>1418</v>
      </c>
      <c r="C60" s="189" t="s">
        <v>1419</v>
      </c>
      <c r="D60" s="188" t="s">
        <v>1420</v>
      </c>
      <c r="E60" s="189" t="s">
        <v>1421</v>
      </c>
      <c r="F60" s="168" t="s">
        <v>357</v>
      </c>
      <c r="G60" s="190"/>
      <c r="H60" s="190" t="s">
        <v>366</v>
      </c>
      <c r="I60" s="190" t="s">
        <v>24</v>
      </c>
      <c r="J60" s="188" t="s">
        <v>1422</v>
      </c>
      <c r="K60" s="189" t="s">
        <v>1423</v>
      </c>
      <c r="L60" s="30" t="s">
        <v>777</v>
      </c>
      <c r="M60" s="122"/>
    </row>
    <row r="61" spans="1:13" s="55" customFormat="1" ht="24">
      <c r="A61" s="449"/>
      <c r="B61" s="188" t="s">
        <v>1424</v>
      </c>
      <c r="C61" s="189" t="s">
        <v>1425</v>
      </c>
      <c r="D61" s="188" t="s">
        <v>1426</v>
      </c>
      <c r="E61" s="189" t="s">
        <v>1427</v>
      </c>
      <c r="F61" s="168" t="s">
        <v>357</v>
      </c>
      <c r="G61" s="190"/>
      <c r="H61" s="190" t="s">
        <v>366</v>
      </c>
      <c r="I61" s="190" t="s">
        <v>24</v>
      </c>
      <c r="J61" s="206" t="s">
        <v>1050</v>
      </c>
      <c r="K61" s="189" t="s">
        <v>1428</v>
      </c>
      <c r="L61" s="30" t="s">
        <v>777</v>
      </c>
      <c r="M61" s="122"/>
    </row>
    <row r="62" spans="1:13" s="55" customFormat="1">
      <c r="A62" s="450"/>
      <c r="B62" s="188" t="s">
        <v>1429</v>
      </c>
      <c r="C62" s="189" t="s">
        <v>1430</v>
      </c>
      <c r="D62" s="188" t="s">
        <v>1431</v>
      </c>
      <c r="E62" s="189" t="s">
        <v>1432</v>
      </c>
      <c r="F62" s="168" t="s">
        <v>357</v>
      </c>
      <c r="G62" s="190"/>
      <c r="H62" s="190" t="s">
        <v>366</v>
      </c>
      <c r="I62" s="190" t="s">
        <v>24</v>
      </c>
      <c r="J62" s="206" t="s">
        <v>584</v>
      </c>
      <c r="K62" s="187"/>
      <c r="L62" s="30" t="s">
        <v>777</v>
      </c>
      <c r="M62" s="122"/>
    </row>
    <row r="63" spans="1:13" s="158" customFormat="1">
      <c r="A63" s="451" t="s">
        <v>1433</v>
      </c>
      <c r="B63" s="194" t="s">
        <v>1434</v>
      </c>
      <c r="C63" s="194" t="s">
        <v>1435</v>
      </c>
      <c r="D63" s="194" t="s">
        <v>1436</v>
      </c>
      <c r="E63" s="194" t="s">
        <v>1437</v>
      </c>
      <c r="F63" s="170" t="s">
        <v>357</v>
      </c>
      <c r="G63" s="195" t="s">
        <v>1438</v>
      </c>
      <c r="H63" s="195" t="s">
        <v>1436</v>
      </c>
      <c r="I63" s="195" t="s">
        <v>24</v>
      </c>
      <c r="J63" s="211" t="s">
        <v>387</v>
      </c>
      <c r="K63" s="194" t="s">
        <v>1439</v>
      </c>
      <c r="L63" s="39" t="s">
        <v>769</v>
      </c>
      <c r="M63" s="99" t="s">
        <v>778</v>
      </c>
    </row>
    <row r="64" spans="1:13" s="158" customFormat="1" ht="24">
      <c r="A64" s="452"/>
      <c r="B64" s="194" t="s">
        <v>1440</v>
      </c>
      <c r="C64" s="194" t="s">
        <v>1441</v>
      </c>
      <c r="D64" s="194" t="s">
        <v>1442</v>
      </c>
      <c r="E64" s="194" t="s">
        <v>1443</v>
      </c>
      <c r="F64" s="170" t="s">
        <v>357</v>
      </c>
      <c r="G64" s="194"/>
      <c r="H64" s="195" t="s">
        <v>1442</v>
      </c>
      <c r="I64" s="195" t="s">
        <v>24</v>
      </c>
      <c r="J64" s="211" t="s">
        <v>387</v>
      </c>
      <c r="K64" s="194" t="s">
        <v>1444</v>
      </c>
      <c r="L64" s="39" t="s">
        <v>769</v>
      </c>
      <c r="M64" s="99" t="s">
        <v>778</v>
      </c>
    </row>
    <row r="65" spans="1:13" s="55" customFormat="1" ht="24">
      <c r="A65" s="452"/>
      <c r="B65" s="212" t="s">
        <v>1445</v>
      </c>
      <c r="C65" s="212" t="s">
        <v>1446</v>
      </c>
      <c r="D65" s="212" t="s">
        <v>1447</v>
      </c>
      <c r="E65" s="212" t="s">
        <v>1448</v>
      </c>
      <c r="F65" s="168" t="s">
        <v>357</v>
      </c>
      <c r="G65" s="212"/>
      <c r="H65" s="213" t="s">
        <v>1447</v>
      </c>
      <c r="I65" s="213" t="s">
        <v>24</v>
      </c>
      <c r="J65" s="214" t="s">
        <v>1449</v>
      </c>
      <c r="K65" s="212" t="s">
        <v>1450</v>
      </c>
      <c r="L65" s="30" t="s">
        <v>769</v>
      </c>
      <c r="M65" s="122"/>
    </row>
    <row r="66" spans="1:13" s="158" customFormat="1">
      <c r="A66" s="452"/>
      <c r="B66" s="194" t="s">
        <v>1451</v>
      </c>
      <c r="C66" s="194" t="s">
        <v>1452</v>
      </c>
      <c r="D66" s="194" t="s">
        <v>1453</v>
      </c>
      <c r="E66" s="194" t="s">
        <v>1454</v>
      </c>
      <c r="F66" s="170" t="s">
        <v>357</v>
      </c>
      <c r="G66" s="194"/>
      <c r="H66" s="195" t="s">
        <v>1453</v>
      </c>
      <c r="I66" s="195" t="s">
        <v>24</v>
      </c>
      <c r="J66" s="211" t="s">
        <v>387</v>
      </c>
      <c r="K66" s="194" t="s">
        <v>1455</v>
      </c>
      <c r="L66" s="39" t="s">
        <v>769</v>
      </c>
      <c r="M66" s="99" t="s">
        <v>778</v>
      </c>
    </row>
    <row r="67" spans="1:13" s="158" customFormat="1">
      <c r="A67" s="452"/>
      <c r="B67" s="194" t="s">
        <v>1456</v>
      </c>
      <c r="C67" s="194" t="s">
        <v>1457</v>
      </c>
      <c r="D67" s="194" t="s">
        <v>1458</v>
      </c>
      <c r="E67" s="194" t="s">
        <v>1459</v>
      </c>
      <c r="F67" s="170" t="s">
        <v>357</v>
      </c>
      <c r="G67" s="194"/>
      <c r="H67" s="195" t="s">
        <v>1458</v>
      </c>
      <c r="I67" s="195" t="s">
        <v>24</v>
      </c>
      <c r="J67" s="194" t="s">
        <v>387</v>
      </c>
      <c r="K67" s="194" t="s">
        <v>1455</v>
      </c>
      <c r="L67" s="39" t="s">
        <v>769</v>
      </c>
      <c r="M67" s="99" t="s">
        <v>778</v>
      </c>
    </row>
    <row r="68" spans="1:13" s="55" customFormat="1" ht="24">
      <c r="A68" s="452"/>
      <c r="B68" s="212" t="s">
        <v>1460</v>
      </c>
      <c r="C68" s="212" t="s">
        <v>1461</v>
      </c>
      <c r="D68" s="212" t="s">
        <v>1462</v>
      </c>
      <c r="E68" s="212" t="s">
        <v>1463</v>
      </c>
      <c r="F68" s="168" t="s">
        <v>357</v>
      </c>
      <c r="G68" s="212"/>
      <c r="H68" s="213" t="s">
        <v>1462</v>
      </c>
      <c r="I68" s="213" t="s">
        <v>24</v>
      </c>
      <c r="J68" s="212" t="s">
        <v>1464</v>
      </c>
      <c r="K68" s="212" t="s">
        <v>1465</v>
      </c>
      <c r="L68" s="30" t="s">
        <v>769</v>
      </c>
      <c r="M68" s="122"/>
    </row>
    <row r="69" spans="1:13" s="158" customFormat="1" ht="24">
      <c r="A69" s="452"/>
      <c r="B69" s="194" t="s">
        <v>1466</v>
      </c>
      <c r="C69" s="194" t="s">
        <v>1467</v>
      </c>
      <c r="D69" s="194" t="s">
        <v>1468</v>
      </c>
      <c r="E69" s="194" t="s">
        <v>1469</v>
      </c>
      <c r="F69" s="170" t="s">
        <v>357</v>
      </c>
      <c r="G69" s="194"/>
      <c r="H69" s="195" t="s">
        <v>1468</v>
      </c>
      <c r="I69" s="195" t="s">
        <v>24</v>
      </c>
      <c r="J69" s="211" t="s">
        <v>387</v>
      </c>
      <c r="K69" s="194" t="s">
        <v>1470</v>
      </c>
      <c r="L69" s="39" t="s">
        <v>769</v>
      </c>
      <c r="M69" s="99" t="s">
        <v>778</v>
      </c>
    </row>
    <row r="70" spans="1:13" s="55" customFormat="1">
      <c r="A70" s="452"/>
      <c r="B70" s="212" t="s">
        <v>1471</v>
      </c>
      <c r="C70" s="212" t="s">
        <v>1472</v>
      </c>
      <c r="D70" s="212" t="s">
        <v>1473</v>
      </c>
      <c r="E70" s="212" t="s">
        <v>1474</v>
      </c>
      <c r="F70" s="168" t="s">
        <v>357</v>
      </c>
      <c r="G70" s="212"/>
      <c r="H70" s="213" t="s">
        <v>1473</v>
      </c>
      <c r="I70" s="213" t="s">
        <v>24</v>
      </c>
      <c r="J70" s="214" t="s">
        <v>1475</v>
      </c>
      <c r="K70" s="212" t="s">
        <v>1476</v>
      </c>
      <c r="L70" s="30" t="s">
        <v>769</v>
      </c>
      <c r="M70" s="122"/>
    </row>
    <row r="71" spans="1:13" s="55" customFormat="1">
      <c r="A71" s="452"/>
      <c r="B71" s="212" t="s">
        <v>1477</v>
      </c>
      <c r="C71" s="212" t="s">
        <v>1478</v>
      </c>
      <c r="D71" s="212" t="s">
        <v>1479</v>
      </c>
      <c r="E71" s="212" t="s">
        <v>1463</v>
      </c>
      <c r="F71" s="168" t="s">
        <v>357</v>
      </c>
      <c r="G71" s="212"/>
      <c r="H71" s="213" t="s">
        <v>1479</v>
      </c>
      <c r="I71" s="213" t="s">
        <v>24</v>
      </c>
      <c r="J71" s="214" t="s">
        <v>1480</v>
      </c>
      <c r="K71" s="212" t="s">
        <v>1481</v>
      </c>
      <c r="L71" s="30" t="s">
        <v>769</v>
      </c>
      <c r="M71" s="122"/>
    </row>
    <row r="72" spans="1:13" s="55" customFormat="1">
      <c r="A72" s="453"/>
      <c r="B72" s="212" t="s">
        <v>1482</v>
      </c>
      <c r="C72" s="212" t="s">
        <v>1483</v>
      </c>
      <c r="D72" s="212" t="s">
        <v>1484</v>
      </c>
      <c r="E72" s="212" t="s">
        <v>1469</v>
      </c>
      <c r="F72" s="168" t="s">
        <v>357</v>
      </c>
      <c r="G72" s="212"/>
      <c r="H72" s="213" t="s">
        <v>1484</v>
      </c>
      <c r="I72" s="213" t="s">
        <v>24</v>
      </c>
      <c r="J72" s="214" t="s">
        <v>1485</v>
      </c>
      <c r="K72" s="212" t="s">
        <v>1486</v>
      </c>
      <c r="L72" s="30" t="s">
        <v>769</v>
      </c>
      <c r="M72" s="122"/>
    </row>
  </sheetData>
  <mergeCells count="6">
    <mergeCell ref="M52:M57"/>
    <mergeCell ref="A2:A40"/>
    <mergeCell ref="A41:A62"/>
    <mergeCell ref="A63:A72"/>
    <mergeCell ref="L36:L40"/>
    <mergeCell ref="L52:L57"/>
  </mergeCells>
  <phoneticPr fontId="2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T28"/>
  <sheetViews>
    <sheetView workbookViewId="0">
      <pane xSplit="2" ySplit="1" topLeftCell="C2" activePane="bottomRight" state="frozen"/>
      <selection pane="topRight"/>
      <selection pane="bottomLeft"/>
      <selection pane="bottomRight" activeCell="B33" sqref="B33"/>
    </sheetView>
  </sheetViews>
  <sheetFormatPr defaultColWidth="18.453125" defaultRowHeight="13"/>
  <cols>
    <col min="1" max="1" width="14.1796875" style="149" customWidth="1"/>
    <col min="2" max="2" width="102" style="150" customWidth="1"/>
    <col min="3" max="3" width="73.81640625" style="150" customWidth="1"/>
    <col min="4" max="4" width="17.1796875" style="151" customWidth="1"/>
    <col min="5" max="5" width="18" style="152" customWidth="1"/>
    <col min="6" max="6" width="6.36328125" style="152" customWidth="1"/>
    <col min="7" max="7" width="9.08984375" style="150" customWidth="1"/>
    <col min="8" max="8" width="14.1796875" style="153" customWidth="1"/>
    <col min="9" max="9" width="11.36328125" style="152" customWidth="1"/>
    <col min="10" max="10" width="20.453125" style="152" customWidth="1"/>
    <col min="11" max="11" width="27.1796875" style="152" customWidth="1"/>
    <col min="12" max="12" width="38" style="152" customWidth="1"/>
    <col min="13" max="13" width="30.6328125" style="150" customWidth="1"/>
    <col min="14" max="16384" width="18.453125" style="150"/>
  </cols>
  <sheetData>
    <row r="1" spans="1:20" s="1" customFormat="1">
      <c r="A1" s="7" t="s">
        <v>343</v>
      </c>
      <c r="B1" s="8" t="s">
        <v>344</v>
      </c>
      <c r="C1" s="8" t="s">
        <v>345</v>
      </c>
      <c r="D1" s="8" t="s">
        <v>346</v>
      </c>
      <c r="E1" s="8" t="s">
        <v>347</v>
      </c>
      <c r="F1" s="8" t="s">
        <v>348</v>
      </c>
      <c r="G1" s="21" t="s">
        <v>349</v>
      </c>
      <c r="H1" s="154" t="s">
        <v>350</v>
      </c>
      <c r="I1" s="8" t="s">
        <v>8</v>
      </c>
      <c r="J1" s="8" t="s">
        <v>6</v>
      </c>
      <c r="K1" s="8" t="s">
        <v>351</v>
      </c>
      <c r="L1" s="21" t="s">
        <v>273</v>
      </c>
      <c r="M1" s="18" t="s">
        <v>352</v>
      </c>
      <c r="N1" s="155"/>
      <c r="O1" s="155"/>
      <c r="P1" s="155"/>
      <c r="Q1" s="155"/>
      <c r="R1" s="155"/>
      <c r="S1" s="155"/>
      <c r="T1" s="155"/>
    </row>
    <row r="2" spans="1:20" s="70" customFormat="1">
      <c r="A2" s="420" t="s">
        <v>1487</v>
      </c>
      <c r="B2" s="40" t="s">
        <v>1488</v>
      </c>
      <c r="C2" s="40" t="s">
        <v>1489</v>
      </c>
      <c r="D2" s="76" t="s">
        <v>787</v>
      </c>
      <c r="E2" s="76" t="s">
        <v>1490</v>
      </c>
      <c r="F2" s="76" t="s">
        <v>357</v>
      </c>
      <c r="G2" s="76" t="s">
        <v>1491</v>
      </c>
      <c r="H2" s="76" t="s">
        <v>1492</v>
      </c>
      <c r="I2" s="76" t="s">
        <v>24</v>
      </c>
      <c r="J2" s="76" t="s">
        <v>1493</v>
      </c>
      <c r="K2" s="97" t="s">
        <v>1494</v>
      </c>
      <c r="L2" s="30" t="s">
        <v>769</v>
      </c>
      <c r="M2" s="80"/>
    </row>
    <row r="3" spans="1:20" s="70" customFormat="1">
      <c r="A3" s="420"/>
      <c r="B3" s="40" t="s">
        <v>1495</v>
      </c>
      <c r="C3" s="40" t="s">
        <v>1496</v>
      </c>
      <c r="D3" s="76" t="s">
        <v>1497</v>
      </c>
      <c r="E3" s="76" t="s">
        <v>1498</v>
      </c>
      <c r="F3" s="76" t="s">
        <v>357</v>
      </c>
      <c r="G3" s="76"/>
      <c r="H3" s="76" t="s">
        <v>1492</v>
      </c>
      <c r="I3" s="76" t="s">
        <v>24</v>
      </c>
      <c r="J3" s="76" t="s">
        <v>1499</v>
      </c>
      <c r="K3" s="97" t="s">
        <v>1500</v>
      </c>
      <c r="L3" s="30" t="s">
        <v>769</v>
      </c>
      <c r="M3" s="80"/>
    </row>
    <row r="4" spans="1:20" s="70" customFormat="1" ht="24">
      <c r="A4" s="420"/>
      <c r="B4" s="40" t="s">
        <v>1501</v>
      </c>
      <c r="C4" s="40" t="s">
        <v>1502</v>
      </c>
      <c r="D4" s="76" t="s">
        <v>1503</v>
      </c>
      <c r="E4" s="76" t="s">
        <v>1504</v>
      </c>
      <c r="F4" s="76" t="s">
        <v>357</v>
      </c>
      <c r="G4" s="76"/>
      <c r="H4" s="76" t="s">
        <v>938</v>
      </c>
      <c r="I4" s="76" t="s">
        <v>24</v>
      </c>
      <c r="J4" s="76" t="s">
        <v>584</v>
      </c>
      <c r="K4" s="97" t="s">
        <v>1505</v>
      </c>
      <c r="L4" s="30" t="s">
        <v>769</v>
      </c>
      <c r="M4" s="80"/>
    </row>
    <row r="5" spans="1:20" s="70" customFormat="1">
      <c r="A5" s="420"/>
      <c r="B5" s="40" t="s">
        <v>1506</v>
      </c>
      <c r="C5" s="40" t="s">
        <v>1507</v>
      </c>
      <c r="D5" s="76" t="s">
        <v>942</v>
      </c>
      <c r="E5" s="94" t="s">
        <v>1508</v>
      </c>
      <c r="F5" s="76" t="s">
        <v>357</v>
      </c>
      <c r="G5" s="94"/>
      <c r="H5" s="94" t="s">
        <v>944</v>
      </c>
      <c r="I5" s="76" t="s">
        <v>24</v>
      </c>
      <c r="J5" s="76" t="s">
        <v>1509</v>
      </c>
      <c r="K5" s="97" t="s">
        <v>1508</v>
      </c>
      <c r="L5" s="30" t="s">
        <v>769</v>
      </c>
      <c r="M5" s="80"/>
    </row>
    <row r="6" spans="1:20" s="70" customFormat="1">
      <c r="A6" s="420"/>
      <c r="B6" s="40" t="s">
        <v>1510</v>
      </c>
      <c r="C6" s="40" t="s">
        <v>1511</v>
      </c>
      <c r="D6" s="76" t="s">
        <v>1512</v>
      </c>
      <c r="E6" s="76" t="s">
        <v>1513</v>
      </c>
      <c r="F6" s="76" t="s">
        <v>357</v>
      </c>
      <c r="G6" s="76"/>
      <c r="H6" s="76" t="s">
        <v>1514</v>
      </c>
      <c r="I6" s="76" t="s">
        <v>24</v>
      </c>
      <c r="J6" s="76" t="s">
        <v>1515</v>
      </c>
      <c r="K6" s="97" t="s">
        <v>1516</v>
      </c>
      <c r="L6" s="30" t="s">
        <v>769</v>
      </c>
      <c r="M6" s="80"/>
    </row>
    <row r="7" spans="1:20" s="70" customFormat="1">
      <c r="A7" s="420"/>
      <c r="B7" s="40" t="s">
        <v>1517</v>
      </c>
      <c r="C7" s="40" t="s">
        <v>1518</v>
      </c>
      <c r="D7" s="76" t="s">
        <v>1519</v>
      </c>
      <c r="E7" s="76" t="s">
        <v>1520</v>
      </c>
      <c r="F7" s="76" t="s">
        <v>357</v>
      </c>
      <c r="G7" s="76"/>
      <c r="H7" s="76" t="s">
        <v>366</v>
      </c>
      <c r="I7" s="76" t="s">
        <v>24</v>
      </c>
      <c r="J7" s="76" t="s">
        <v>1515</v>
      </c>
      <c r="K7" s="97" t="s">
        <v>1521</v>
      </c>
      <c r="L7" s="30" t="s">
        <v>777</v>
      </c>
      <c r="M7" s="80"/>
    </row>
    <row r="8" spans="1:20" s="70" customFormat="1">
      <c r="A8" s="420"/>
      <c r="B8" s="40" t="s">
        <v>1522</v>
      </c>
      <c r="C8" s="40" t="s">
        <v>1523</v>
      </c>
      <c r="D8" s="76" t="s">
        <v>1524</v>
      </c>
      <c r="E8" s="76" t="s">
        <v>1525</v>
      </c>
      <c r="F8" s="76" t="s">
        <v>357</v>
      </c>
      <c r="G8" s="76"/>
      <c r="H8" s="76" t="s">
        <v>366</v>
      </c>
      <c r="I8" s="76" t="s">
        <v>24</v>
      </c>
      <c r="J8" s="76" t="s">
        <v>1526</v>
      </c>
      <c r="K8" s="97" t="s">
        <v>1525</v>
      </c>
      <c r="L8" s="30" t="s">
        <v>777</v>
      </c>
      <c r="M8" s="80"/>
    </row>
    <row r="9" spans="1:20" s="70" customFormat="1" ht="36">
      <c r="A9" s="420"/>
      <c r="B9" s="40" t="s">
        <v>1527</v>
      </c>
      <c r="C9" s="40" t="s">
        <v>1528</v>
      </c>
      <c r="D9" s="76" t="s">
        <v>1529</v>
      </c>
      <c r="E9" s="76" t="s">
        <v>1530</v>
      </c>
      <c r="F9" s="76" t="s">
        <v>357</v>
      </c>
      <c r="G9" s="76"/>
      <c r="H9" s="76" t="s">
        <v>366</v>
      </c>
      <c r="I9" s="76" t="s">
        <v>24</v>
      </c>
      <c r="J9" s="76" t="s">
        <v>71</v>
      </c>
      <c r="K9" s="97" t="s">
        <v>1531</v>
      </c>
      <c r="L9" s="30" t="s">
        <v>777</v>
      </c>
      <c r="M9" s="80"/>
    </row>
    <row r="10" spans="1:20" s="70" customFormat="1">
      <c r="A10" s="420"/>
      <c r="B10" s="40" t="s">
        <v>1532</v>
      </c>
      <c r="C10" s="40" t="s">
        <v>1533</v>
      </c>
      <c r="D10" s="76" t="s">
        <v>781</v>
      </c>
      <c r="E10" s="76" t="s">
        <v>1534</v>
      </c>
      <c r="F10" s="76" t="s">
        <v>357</v>
      </c>
      <c r="G10" s="76"/>
      <c r="H10" s="76" t="s">
        <v>366</v>
      </c>
      <c r="I10" s="76" t="s">
        <v>24</v>
      </c>
      <c r="J10" s="76" t="s">
        <v>584</v>
      </c>
      <c r="K10" s="97" t="s">
        <v>781</v>
      </c>
      <c r="L10" s="456" t="s">
        <v>407</v>
      </c>
      <c r="M10" s="80"/>
    </row>
    <row r="11" spans="1:20" s="70" customFormat="1" ht="36">
      <c r="A11" s="421"/>
      <c r="B11" s="40" t="s">
        <v>1535</v>
      </c>
      <c r="C11" s="40" t="s">
        <v>1536</v>
      </c>
      <c r="D11" s="76" t="s">
        <v>872</v>
      </c>
      <c r="E11" s="76" t="s">
        <v>1537</v>
      </c>
      <c r="F11" s="76" t="s">
        <v>357</v>
      </c>
      <c r="G11" s="76"/>
      <c r="H11" s="76" t="s">
        <v>366</v>
      </c>
      <c r="I11" s="96" t="s">
        <v>24</v>
      </c>
      <c r="J11" s="76" t="s">
        <v>28</v>
      </c>
      <c r="K11" s="97" t="s">
        <v>1538</v>
      </c>
      <c r="L11" s="404"/>
      <c r="M11" s="80"/>
    </row>
    <row r="12" spans="1:20" s="70" customFormat="1" ht="24">
      <c r="A12" s="420" t="s">
        <v>1539</v>
      </c>
      <c r="B12" s="40" t="s">
        <v>1540</v>
      </c>
      <c r="C12" s="40" t="s">
        <v>1541</v>
      </c>
      <c r="D12" s="76" t="s">
        <v>787</v>
      </c>
      <c r="E12" s="76" t="s">
        <v>1542</v>
      </c>
      <c r="F12" s="76" t="s">
        <v>789</v>
      </c>
      <c r="G12" s="76"/>
      <c r="H12" s="76" t="s">
        <v>1543</v>
      </c>
      <c r="I12" s="96" t="s">
        <v>24</v>
      </c>
      <c r="J12" s="76" t="s">
        <v>1493</v>
      </c>
      <c r="K12" s="40" t="s">
        <v>1544</v>
      </c>
      <c r="L12" s="30" t="s">
        <v>769</v>
      </c>
      <c r="M12" s="80"/>
    </row>
    <row r="13" spans="1:20" s="70" customFormat="1" ht="24">
      <c r="A13" s="420"/>
      <c r="B13" s="40" t="s">
        <v>1545</v>
      </c>
      <c r="C13" s="40" t="s">
        <v>1546</v>
      </c>
      <c r="D13" s="76" t="s">
        <v>1547</v>
      </c>
      <c r="E13" s="76" t="s">
        <v>1548</v>
      </c>
      <c r="F13" s="76" t="s">
        <v>789</v>
      </c>
      <c r="G13" s="76"/>
      <c r="H13" s="76" t="s">
        <v>1543</v>
      </c>
      <c r="I13" s="96" t="s">
        <v>24</v>
      </c>
      <c r="J13" s="76" t="s">
        <v>584</v>
      </c>
      <c r="K13" s="40" t="s">
        <v>1549</v>
      </c>
      <c r="L13" s="30" t="s">
        <v>769</v>
      </c>
      <c r="M13" s="80"/>
    </row>
    <row r="14" spans="1:20" s="70" customFormat="1">
      <c r="A14" s="420"/>
      <c r="B14" s="40" t="s">
        <v>1550</v>
      </c>
      <c r="C14" s="40" t="s">
        <v>1551</v>
      </c>
      <c r="D14" s="76" t="s">
        <v>1497</v>
      </c>
      <c r="E14" s="76" t="s">
        <v>1497</v>
      </c>
      <c r="F14" s="76" t="s">
        <v>789</v>
      </c>
      <c r="G14" s="76"/>
      <c r="H14" s="76" t="s">
        <v>1543</v>
      </c>
      <c r="I14" s="96" t="s">
        <v>24</v>
      </c>
      <c r="J14" s="76" t="s">
        <v>584</v>
      </c>
      <c r="K14" s="40" t="s">
        <v>1552</v>
      </c>
      <c r="L14" s="30" t="s">
        <v>769</v>
      </c>
      <c r="M14" s="80"/>
    </row>
    <row r="15" spans="1:20" s="70" customFormat="1">
      <c r="A15" s="420"/>
      <c r="B15" s="40" t="s">
        <v>1553</v>
      </c>
      <c r="C15" s="40" t="s">
        <v>1554</v>
      </c>
      <c r="D15" s="76" t="s">
        <v>1555</v>
      </c>
      <c r="E15" s="76" t="s">
        <v>1555</v>
      </c>
      <c r="F15" s="76" t="s">
        <v>789</v>
      </c>
      <c r="G15" s="76"/>
      <c r="H15" s="76" t="s">
        <v>1556</v>
      </c>
      <c r="I15" s="96" t="s">
        <v>24</v>
      </c>
      <c r="J15" s="76" t="s">
        <v>584</v>
      </c>
      <c r="K15" s="40" t="s">
        <v>1557</v>
      </c>
      <c r="L15" s="30" t="s">
        <v>769</v>
      </c>
      <c r="M15" s="80"/>
    </row>
    <row r="16" spans="1:20" s="70" customFormat="1">
      <c r="A16" s="420"/>
      <c r="B16" s="40" t="s">
        <v>1558</v>
      </c>
      <c r="C16" s="40" t="s">
        <v>1559</v>
      </c>
      <c r="D16" s="76" t="s">
        <v>1560</v>
      </c>
      <c r="E16" s="76" t="s">
        <v>1560</v>
      </c>
      <c r="F16" s="76" t="s">
        <v>789</v>
      </c>
      <c r="G16" s="76"/>
      <c r="H16" s="76" t="s">
        <v>1561</v>
      </c>
      <c r="I16" s="96" t="s">
        <v>24</v>
      </c>
      <c r="J16" s="76" t="s">
        <v>801</v>
      </c>
      <c r="K16" s="40" t="s">
        <v>1562</v>
      </c>
      <c r="L16" s="30" t="s">
        <v>769</v>
      </c>
      <c r="M16" s="80"/>
    </row>
    <row r="17" spans="1:13" s="70" customFormat="1">
      <c r="A17" s="420"/>
      <c r="B17" s="40" t="s">
        <v>1563</v>
      </c>
      <c r="C17" s="40" t="s">
        <v>1564</v>
      </c>
      <c r="D17" s="76" t="s">
        <v>1565</v>
      </c>
      <c r="E17" s="76" t="s">
        <v>1565</v>
      </c>
      <c r="F17" s="76" t="s">
        <v>789</v>
      </c>
      <c r="G17" s="76"/>
      <c r="H17" s="76" t="s">
        <v>366</v>
      </c>
      <c r="I17" s="96" t="s">
        <v>24</v>
      </c>
      <c r="J17" s="76" t="s">
        <v>584</v>
      </c>
      <c r="K17" s="40" t="s">
        <v>1566</v>
      </c>
      <c r="L17" s="30" t="s">
        <v>777</v>
      </c>
      <c r="M17" s="80"/>
    </row>
    <row r="18" spans="1:13" s="70" customFormat="1" ht="24">
      <c r="A18" s="420"/>
      <c r="B18" s="40" t="s">
        <v>1567</v>
      </c>
      <c r="C18" s="40" t="s">
        <v>1568</v>
      </c>
      <c r="D18" s="76" t="s">
        <v>1569</v>
      </c>
      <c r="E18" s="76" t="s">
        <v>1570</v>
      </c>
      <c r="F18" s="76" t="s">
        <v>789</v>
      </c>
      <c r="G18" s="76"/>
      <c r="H18" s="76" t="s">
        <v>366</v>
      </c>
      <c r="I18" s="96" t="s">
        <v>24</v>
      </c>
      <c r="J18" s="76" t="s">
        <v>1571</v>
      </c>
      <c r="K18" s="40" t="s">
        <v>1572</v>
      </c>
      <c r="L18" s="30" t="s">
        <v>777</v>
      </c>
      <c r="M18" s="80"/>
    </row>
    <row r="19" spans="1:13" s="70" customFormat="1" ht="24">
      <c r="A19" s="420"/>
      <c r="B19" s="40" t="s">
        <v>1573</v>
      </c>
      <c r="C19" s="40" t="s">
        <v>1574</v>
      </c>
      <c r="D19" s="76" t="s">
        <v>1575</v>
      </c>
      <c r="E19" s="76" t="s">
        <v>1576</v>
      </c>
      <c r="F19" s="76" t="s">
        <v>789</v>
      </c>
      <c r="G19" s="76"/>
      <c r="H19" s="76" t="s">
        <v>1577</v>
      </c>
      <c r="I19" s="96" t="s">
        <v>24</v>
      </c>
      <c r="J19" s="76" t="s">
        <v>1571</v>
      </c>
      <c r="K19" s="40" t="s">
        <v>1578</v>
      </c>
      <c r="L19" s="30" t="s">
        <v>769</v>
      </c>
      <c r="M19" s="80"/>
    </row>
    <row r="20" spans="1:13" s="70" customFormat="1" ht="24">
      <c r="A20" s="420"/>
      <c r="B20" s="40" t="s">
        <v>1579</v>
      </c>
      <c r="C20" s="40" t="s">
        <v>1580</v>
      </c>
      <c r="D20" s="76" t="s">
        <v>1581</v>
      </c>
      <c r="E20" s="76" t="s">
        <v>1582</v>
      </c>
      <c r="F20" s="76" t="s">
        <v>789</v>
      </c>
      <c r="G20" s="76"/>
      <c r="H20" s="76" t="s">
        <v>366</v>
      </c>
      <c r="I20" s="96" t="s">
        <v>24</v>
      </c>
      <c r="J20" s="76" t="s">
        <v>1583</v>
      </c>
      <c r="K20" s="76" t="s">
        <v>1582</v>
      </c>
      <c r="L20" s="30" t="s">
        <v>777</v>
      </c>
      <c r="M20" s="80"/>
    </row>
    <row r="21" spans="1:13" s="70" customFormat="1" ht="24">
      <c r="A21" s="420"/>
      <c r="B21" s="40" t="s">
        <v>1584</v>
      </c>
      <c r="C21" s="40" t="s">
        <v>1585</v>
      </c>
      <c r="D21" s="76" t="s">
        <v>1586</v>
      </c>
      <c r="E21" s="76" t="s">
        <v>1587</v>
      </c>
      <c r="F21" s="76" t="s">
        <v>789</v>
      </c>
      <c r="G21" s="76"/>
      <c r="H21" s="76" t="s">
        <v>366</v>
      </c>
      <c r="I21" s="96" t="s">
        <v>24</v>
      </c>
      <c r="J21" s="76" t="s">
        <v>1588</v>
      </c>
      <c r="K21" s="76" t="s">
        <v>1587</v>
      </c>
      <c r="L21" s="30" t="s">
        <v>777</v>
      </c>
      <c r="M21" s="80"/>
    </row>
    <row r="22" spans="1:13" s="70" customFormat="1" ht="24">
      <c r="A22" s="406" t="s">
        <v>1589</v>
      </c>
      <c r="B22" s="40" t="s">
        <v>1590</v>
      </c>
      <c r="C22" s="40" t="s">
        <v>1591</v>
      </c>
      <c r="D22" s="76" t="s">
        <v>787</v>
      </c>
      <c r="E22" s="76" t="s">
        <v>1542</v>
      </c>
      <c r="F22" s="76" t="s">
        <v>357</v>
      </c>
      <c r="G22" s="76"/>
      <c r="H22" s="76" t="s">
        <v>1543</v>
      </c>
      <c r="I22" s="96" t="s">
        <v>24</v>
      </c>
      <c r="J22" s="76" t="s">
        <v>374</v>
      </c>
      <c r="K22" s="40" t="s">
        <v>913</v>
      </c>
      <c r="L22" s="30" t="s">
        <v>769</v>
      </c>
      <c r="M22" s="80"/>
    </row>
    <row r="23" spans="1:13" s="70" customFormat="1">
      <c r="A23" s="406"/>
      <c r="B23" s="40" t="s">
        <v>1592</v>
      </c>
      <c r="C23" s="40" t="s">
        <v>1593</v>
      </c>
      <c r="D23" s="76" t="s">
        <v>1555</v>
      </c>
      <c r="E23" s="76" t="s">
        <v>1555</v>
      </c>
      <c r="F23" s="76" t="s">
        <v>357</v>
      </c>
      <c r="G23" s="76"/>
      <c r="H23" s="76" t="s">
        <v>1543</v>
      </c>
      <c r="I23" s="96" t="s">
        <v>24</v>
      </c>
      <c r="J23" s="79" t="s">
        <v>584</v>
      </c>
      <c r="K23" s="40" t="s">
        <v>1594</v>
      </c>
      <c r="L23" s="30" t="s">
        <v>769</v>
      </c>
      <c r="M23" s="80"/>
    </row>
    <row r="24" spans="1:13" s="70" customFormat="1">
      <c r="A24" s="406"/>
      <c r="B24" s="40" t="s">
        <v>1595</v>
      </c>
      <c r="C24" s="40" t="s">
        <v>1596</v>
      </c>
      <c r="D24" s="76" t="s">
        <v>1597</v>
      </c>
      <c r="E24" s="76" t="s">
        <v>1597</v>
      </c>
      <c r="F24" s="76" t="s">
        <v>357</v>
      </c>
      <c r="G24" s="76"/>
      <c r="H24" s="76" t="s">
        <v>366</v>
      </c>
      <c r="I24" s="96" t="s">
        <v>24</v>
      </c>
      <c r="J24" s="79" t="s">
        <v>801</v>
      </c>
      <c r="K24" s="40" t="s">
        <v>1598</v>
      </c>
      <c r="L24" s="30" t="s">
        <v>777</v>
      </c>
      <c r="M24" s="80"/>
    </row>
    <row r="25" spans="1:13" s="70" customFormat="1">
      <c r="A25" s="406"/>
      <c r="B25" s="40" t="s">
        <v>1599</v>
      </c>
      <c r="C25" s="40" t="s">
        <v>1600</v>
      </c>
      <c r="D25" s="76" t="s">
        <v>1601</v>
      </c>
      <c r="E25" s="76" t="s">
        <v>1601</v>
      </c>
      <c r="F25" s="76" t="s">
        <v>357</v>
      </c>
      <c r="G25" s="76"/>
      <c r="H25" s="76" t="s">
        <v>1543</v>
      </c>
      <c r="I25" s="96" t="s">
        <v>24</v>
      </c>
      <c r="J25" s="79" t="s">
        <v>584</v>
      </c>
      <c r="K25" s="40" t="s">
        <v>1552</v>
      </c>
      <c r="L25" s="30" t="s">
        <v>769</v>
      </c>
      <c r="M25" s="80"/>
    </row>
    <row r="26" spans="1:13" s="70" customFormat="1" ht="36">
      <c r="A26" s="406"/>
      <c r="B26" s="40" t="s">
        <v>1602</v>
      </c>
      <c r="C26" s="40" t="s">
        <v>1603</v>
      </c>
      <c r="D26" s="76" t="s">
        <v>979</v>
      </c>
      <c r="E26" s="76" t="s">
        <v>1604</v>
      </c>
      <c r="F26" s="76" t="s">
        <v>357</v>
      </c>
      <c r="G26" s="76"/>
      <c r="H26" s="76" t="s">
        <v>366</v>
      </c>
      <c r="I26" s="96" t="s">
        <v>24</v>
      </c>
      <c r="J26" s="79" t="s">
        <v>359</v>
      </c>
      <c r="K26" s="40" t="s">
        <v>1605</v>
      </c>
      <c r="L26" s="30" t="s">
        <v>777</v>
      </c>
      <c r="M26" s="80"/>
    </row>
    <row r="27" spans="1:13" s="70" customFormat="1" ht="24">
      <c r="A27" s="406"/>
      <c r="B27" s="40" t="s">
        <v>1606</v>
      </c>
      <c r="C27" s="40" t="s">
        <v>1607</v>
      </c>
      <c r="D27" s="76" t="s">
        <v>1608</v>
      </c>
      <c r="E27" s="76" t="s">
        <v>1609</v>
      </c>
      <c r="F27" s="76" t="s">
        <v>357</v>
      </c>
      <c r="G27" s="76"/>
      <c r="H27" s="76" t="s">
        <v>1610</v>
      </c>
      <c r="I27" s="76" t="s">
        <v>24</v>
      </c>
      <c r="J27" s="79" t="s">
        <v>1611</v>
      </c>
      <c r="K27" s="40" t="s">
        <v>1612</v>
      </c>
      <c r="L27" s="30" t="s">
        <v>769</v>
      </c>
      <c r="M27" s="80"/>
    </row>
    <row r="28" spans="1:13" s="70" customFormat="1">
      <c r="A28" s="455"/>
      <c r="B28" s="40" t="s">
        <v>1613</v>
      </c>
      <c r="C28" s="40" t="s">
        <v>1614</v>
      </c>
      <c r="D28" s="76" t="s">
        <v>1560</v>
      </c>
      <c r="E28" s="76" t="s">
        <v>1560</v>
      </c>
      <c r="F28" s="76" t="s">
        <v>357</v>
      </c>
      <c r="G28" s="76"/>
      <c r="H28" s="76" t="s">
        <v>1560</v>
      </c>
      <c r="I28" s="76" t="s">
        <v>24</v>
      </c>
      <c r="J28" s="79" t="s">
        <v>801</v>
      </c>
      <c r="K28" s="40" t="s">
        <v>366</v>
      </c>
      <c r="L28" s="30" t="s">
        <v>407</v>
      </c>
      <c r="M28" s="80"/>
    </row>
  </sheetData>
  <mergeCells count="4">
    <mergeCell ref="A2:A11"/>
    <mergeCell ref="A12:A21"/>
    <mergeCell ref="A22:A28"/>
    <mergeCell ref="L10:L11"/>
  </mergeCells>
  <phoneticPr fontId="21"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dimension ref="A1:N328"/>
  <sheetViews>
    <sheetView workbookViewId="0">
      <pane xSplit="2" ySplit="1" topLeftCell="C2" activePane="bottomRight" state="frozen"/>
      <selection pane="topRight"/>
      <selection pane="bottomLeft"/>
      <selection pane="bottomRight" activeCell="C317" sqref="C317"/>
    </sheetView>
  </sheetViews>
  <sheetFormatPr defaultColWidth="9" defaultRowHeight="14"/>
  <cols>
    <col min="1" max="1" width="11.6328125" style="88" customWidth="1"/>
    <col min="2" max="2" width="98.6328125" style="43" customWidth="1"/>
    <col min="3" max="3" width="57.81640625" style="43" customWidth="1"/>
    <col min="4" max="4" width="25.6328125" style="89" customWidth="1"/>
    <col min="5" max="5" width="13.1796875" style="44" customWidth="1"/>
    <col min="6" max="6" width="11.453125" style="44" customWidth="1"/>
    <col min="7" max="7" width="9.36328125" style="90" customWidth="1"/>
    <col min="8" max="8" width="34.36328125" style="90" customWidth="1"/>
    <col min="9" max="9" width="17.08984375" style="44" customWidth="1"/>
    <col min="10" max="10" width="21.1796875" style="90" customWidth="1"/>
    <col min="11" max="11" width="30" style="90" customWidth="1"/>
    <col min="12" max="12" width="15.1796875" style="43" customWidth="1"/>
    <col min="13" max="13" width="27.36328125" style="43" customWidth="1"/>
    <col min="14" max="14" width="12.6328125" style="91" customWidth="1"/>
    <col min="15" max="16384" width="9" style="43"/>
  </cols>
  <sheetData>
    <row r="1" spans="1:14" s="83" customFormat="1" ht="18.75" customHeight="1">
      <c r="A1" s="7" t="s">
        <v>6</v>
      </c>
      <c r="B1" s="8" t="s">
        <v>344</v>
      </c>
      <c r="C1" s="8" t="s">
        <v>345</v>
      </c>
      <c r="D1" s="92" t="s">
        <v>346</v>
      </c>
      <c r="E1" s="8" t="s">
        <v>347</v>
      </c>
      <c r="F1" s="8" t="s">
        <v>348</v>
      </c>
      <c r="G1" s="9" t="s">
        <v>349</v>
      </c>
      <c r="H1" s="9" t="s">
        <v>350</v>
      </c>
      <c r="I1" s="8" t="s">
        <v>8</v>
      </c>
      <c r="J1" s="9" t="s">
        <v>6</v>
      </c>
      <c r="K1" s="9" t="s">
        <v>351</v>
      </c>
      <c r="L1" s="8" t="s">
        <v>273</v>
      </c>
      <c r="M1" s="8" t="s">
        <v>352</v>
      </c>
      <c r="N1" s="8" t="s">
        <v>1103</v>
      </c>
    </row>
    <row r="2" spans="1:14" s="36" customFormat="1" ht="24">
      <c r="A2" s="418" t="s">
        <v>1615</v>
      </c>
      <c r="B2" s="42" t="s">
        <v>1616</v>
      </c>
      <c r="C2" s="42" t="s">
        <v>1617</v>
      </c>
      <c r="D2" s="93" t="s">
        <v>1618</v>
      </c>
      <c r="E2" s="78" t="s">
        <v>1619</v>
      </c>
      <c r="F2" s="78" t="s">
        <v>357</v>
      </c>
      <c r="G2" s="42"/>
      <c r="H2" s="42" t="s">
        <v>1620</v>
      </c>
      <c r="I2" s="78" t="s">
        <v>24</v>
      </c>
      <c r="J2" s="42" t="s">
        <v>628</v>
      </c>
      <c r="K2" s="42" t="s">
        <v>1621</v>
      </c>
      <c r="L2" s="472" t="s">
        <v>407</v>
      </c>
      <c r="M2" s="98"/>
      <c r="N2" s="99" t="s">
        <v>778</v>
      </c>
    </row>
    <row r="3" spans="1:14" s="36" customFormat="1" ht="36">
      <c r="A3" s="418"/>
      <c r="B3" s="42" t="s">
        <v>1622</v>
      </c>
      <c r="C3" s="42" t="s">
        <v>1623</v>
      </c>
      <c r="D3" s="93" t="s">
        <v>1624</v>
      </c>
      <c r="E3" s="78" t="s">
        <v>1625</v>
      </c>
      <c r="F3" s="78" t="s">
        <v>357</v>
      </c>
      <c r="G3" s="42"/>
      <c r="H3" s="42"/>
      <c r="I3" s="78" t="s">
        <v>24</v>
      </c>
      <c r="J3" s="42" t="s">
        <v>359</v>
      </c>
      <c r="K3" s="42" t="s">
        <v>1626</v>
      </c>
      <c r="L3" s="472"/>
      <c r="M3" s="98"/>
      <c r="N3" s="93" t="s">
        <v>1627</v>
      </c>
    </row>
    <row r="4" spans="1:14" s="36" customFormat="1" ht="36">
      <c r="A4" s="418"/>
      <c r="B4" s="42" t="s">
        <v>1628</v>
      </c>
      <c r="C4" s="42" t="s">
        <v>1629</v>
      </c>
      <c r="D4" s="93" t="s">
        <v>1630</v>
      </c>
      <c r="E4" s="78" t="s">
        <v>1631</v>
      </c>
      <c r="F4" s="78" t="s">
        <v>357</v>
      </c>
      <c r="G4" s="42"/>
      <c r="H4" s="42"/>
      <c r="I4" s="78" t="s">
        <v>24</v>
      </c>
      <c r="J4" s="42" t="s">
        <v>359</v>
      </c>
      <c r="K4" s="42" t="s">
        <v>1632</v>
      </c>
      <c r="L4" s="472"/>
      <c r="M4" s="98"/>
      <c r="N4" s="93" t="s">
        <v>1633</v>
      </c>
    </row>
    <row r="5" spans="1:14" s="36" customFormat="1" ht="24">
      <c r="A5" s="418"/>
      <c r="B5" s="42" t="s">
        <v>1634</v>
      </c>
      <c r="C5" s="42" t="s">
        <v>1635</v>
      </c>
      <c r="D5" s="93" t="s">
        <v>1636</v>
      </c>
      <c r="E5" s="78" t="s">
        <v>1637</v>
      </c>
      <c r="F5" s="78" t="s">
        <v>357</v>
      </c>
      <c r="G5" s="42"/>
      <c r="H5" s="42" t="s">
        <v>1638</v>
      </c>
      <c r="I5" s="78" t="s">
        <v>24</v>
      </c>
      <c r="J5" s="42" t="s">
        <v>628</v>
      </c>
      <c r="K5" s="42" t="s">
        <v>1639</v>
      </c>
      <c r="L5" s="472"/>
      <c r="M5" s="98"/>
      <c r="N5" s="99" t="s">
        <v>778</v>
      </c>
    </row>
    <row r="6" spans="1:14" s="36" customFormat="1" ht="24">
      <c r="A6" s="418"/>
      <c r="B6" s="42" t="s">
        <v>1640</v>
      </c>
      <c r="C6" s="42" t="s">
        <v>1641</v>
      </c>
      <c r="D6" s="93" t="s">
        <v>1642</v>
      </c>
      <c r="E6" s="78" t="s">
        <v>1643</v>
      </c>
      <c r="F6" s="78" t="s">
        <v>357</v>
      </c>
      <c r="G6" s="42"/>
      <c r="H6" s="42" t="s">
        <v>1642</v>
      </c>
      <c r="I6" s="78" t="s">
        <v>24</v>
      </c>
      <c r="J6" s="42" t="s">
        <v>1644</v>
      </c>
      <c r="K6" s="42" t="s">
        <v>1643</v>
      </c>
      <c r="L6" s="472"/>
      <c r="N6" s="99" t="s">
        <v>778</v>
      </c>
    </row>
    <row r="7" spans="1:14" s="36" customFormat="1" ht="24" customHeight="1">
      <c r="A7" s="476" t="s">
        <v>1645</v>
      </c>
      <c r="B7" s="42" t="s">
        <v>1646</v>
      </c>
      <c r="C7" s="42" t="s">
        <v>1647</v>
      </c>
      <c r="D7" s="93" t="s">
        <v>1048</v>
      </c>
      <c r="E7" s="78" t="s">
        <v>1049</v>
      </c>
      <c r="F7" s="78" t="s">
        <v>1648</v>
      </c>
      <c r="G7" s="42"/>
      <c r="H7" s="42"/>
      <c r="I7" s="78" t="s">
        <v>24</v>
      </c>
      <c r="J7" s="42" t="s">
        <v>71</v>
      </c>
      <c r="K7" s="100" t="s">
        <v>1649</v>
      </c>
      <c r="L7" s="100" t="s">
        <v>366</v>
      </c>
      <c r="M7" s="462" t="s">
        <v>1650</v>
      </c>
      <c r="N7" s="99" t="s">
        <v>1651</v>
      </c>
    </row>
    <row r="8" spans="1:14" s="35" customFormat="1" ht="24" customHeight="1">
      <c r="A8" s="469"/>
      <c r="B8" s="40" t="s">
        <v>1652</v>
      </c>
      <c r="C8" s="40" t="s">
        <v>1653</v>
      </c>
      <c r="D8" s="77" t="s">
        <v>1654</v>
      </c>
      <c r="E8" s="76" t="s">
        <v>1655</v>
      </c>
      <c r="F8" s="76" t="s">
        <v>1648</v>
      </c>
      <c r="G8" s="40" t="s">
        <v>1656</v>
      </c>
      <c r="H8" s="40" t="s">
        <v>1657</v>
      </c>
      <c r="I8" s="76" t="s">
        <v>24</v>
      </c>
      <c r="J8" s="40" t="s">
        <v>1644</v>
      </c>
      <c r="K8" s="97" t="s">
        <v>1658</v>
      </c>
      <c r="L8" s="472" t="s">
        <v>407</v>
      </c>
      <c r="M8" s="463"/>
      <c r="N8" s="101"/>
    </row>
    <row r="9" spans="1:14" s="35" customFormat="1" ht="24">
      <c r="A9" s="469"/>
      <c r="B9" s="40" t="s">
        <v>1659</v>
      </c>
      <c r="C9" s="40" t="s">
        <v>1660</v>
      </c>
      <c r="D9" s="77" t="s">
        <v>1661</v>
      </c>
      <c r="E9" s="76" t="s">
        <v>1662</v>
      </c>
      <c r="F9" s="76" t="s">
        <v>1648</v>
      </c>
      <c r="G9" s="40"/>
      <c r="H9" s="40" t="s">
        <v>1663</v>
      </c>
      <c r="I9" s="76" t="s">
        <v>24</v>
      </c>
      <c r="J9" s="40" t="s">
        <v>1664</v>
      </c>
      <c r="K9" s="97" t="s">
        <v>1665</v>
      </c>
      <c r="L9" s="473"/>
      <c r="M9" s="463"/>
      <c r="N9" s="101"/>
    </row>
    <row r="10" spans="1:14" s="35" customFormat="1" ht="24">
      <c r="A10" s="469"/>
      <c r="B10" s="40" t="s">
        <v>1666</v>
      </c>
      <c r="C10" s="40" t="s">
        <v>1667</v>
      </c>
      <c r="D10" s="77" t="s">
        <v>1668</v>
      </c>
      <c r="E10" s="76" t="s">
        <v>1669</v>
      </c>
      <c r="F10" s="76" t="s">
        <v>1648</v>
      </c>
      <c r="G10" s="40"/>
      <c r="H10" s="40" t="s">
        <v>1670</v>
      </c>
      <c r="I10" s="76" t="s">
        <v>24</v>
      </c>
      <c r="J10" s="40" t="s">
        <v>1671</v>
      </c>
      <c r="K10" s="97" t="s">
        <v>1672</v>
      </c>
      <c r="L10" s="473"/>
      <c r="M10" s="463"/>
      <c r="N10" s="101"/>
    </row>
    <row r="11" spans="1:14" s="35" customFormat="1" ht="24">
      <c r="A11" s="469"/>
      <c r="B11" s="40" t="s">
        <v>1673</v>
      </c>
      <c r="C11" s="40" t="s">
        <v>1674</v>
      </c>
      <c r="D11" s="77" t="s">
        <v>1675</v>
      </c>
      <c r="E11" s="76" t="s">
        <v>1676</v>
      </c>
      <c r="F11" s="76" t="s">
        <v>1648</v>
      </c>
      <c r="G11" s="40"/>
      <c r="H11" s="40" t="s">
        <v>366</v>
      </c>
      <c r="I11" s="76" t="s">
        <v>24</v>
      </c>
      <c r="J11" s="40" t="s">
        <v>1139</v>
      </c>
      <c r="K11" s="97" t="s">
        <v>1677</v>
      </c>
      <c r="L11" s="473"/>
      <c r="M11" s="463"/>
      <c r="N11" s="101"/>
    </row>
    <row r="12" spans="1:14" s="36" customFormat="1" ht="36">
      <c r="A12" s="469"/>
      <c r="B12" s="42" t="s">
        <v>1678</v>
      </c>
      <c r="C12" s="42" t="s">
        <v>1679</v>
      </c>
      <c r="D12" s="93" t="s">
        <v>1680</v>
      </c>
      <c r="E12" s="78" t="s">
        <v>1681</v>
      </c>
      <c r="F12" s="78" t="s">
        <v>1648</v>
      </c>
      <c r="G12" s="42"/>
      <c r="H12" s="42" t="s">
        <v>366</v>
      </c>
      <c r="I12" s="78" t="s">
        <v>57</v>
      </c>
      <c r="J12" s="103" t="s">
        <v>1682</v>
      </c>
      <c r="K12" s="42" t="s">
        <v>1683</v>
      </c>
      <c r="L12" s="473"/>
      <c r="M12" s="463"/>
      <c r="N12" s="99" t="s">
        <v>1684</v>
      </c>
    </row>
    <row r="13" spans="1:14" s="35" customFormat="1" ht="24">
      <c r="A13" s="469"/>
      <c r="B13" s="40" t="s">
        <v>1685</v>
      </c>
      <c r="C13" s="40" t="s">
        <v>1686</v>
      </c>
      <c r="D13" s="95" t="s">
        <v>1687</v>
      </c>
      <c r="E13" s="96" t="s">
        <v>1688</v>
      </c>
      <c r="F13" s="76" t="s">
        <v>1648</v>
      </c>
      <c r="G13" s="40"/>
      <c r="H13" s="40" t="s">
        <v>366</v>
      </c>
      <c r="I13" s="76" t="s">
        <v>24</v>
      </c>
      <c r="J13" s="104" t="s">
        <v>1689</v>
      </c>
      <c r="K13" s="105" t="s">
        <v>1690</v>
      </c>
      <c r="L13" s="473"/>
      <c r="M13" s="463"/>
      <c r="N13" s="101"/>
    </row>
    <row r="14" spans="1:14" s="35" customFormat="1" ht="60">
      <c r="A14" s="469"/>
      <c r="B14" s="40" t="s">
        <v>1691</v>
      </c>
      <c r="C14" s="40" t="s">
        <v>1692</v>
      </c>
      <c r="D14" s="77" t="s">
        <v>1693</v>
      </c>
      <c r="E14" s="76" t="s">
        <v>1694</v>
      </c>
      <c r="F14" s="76" t="s">
        <v>1648</v>
      </c>
      <c r="G14" s="40"/>
      <c r="H14" s="40" t="s">
        <v>366</v>
      </c>
      <c r="I14" s="76" t="s">
        <v>24</v>
      </c>
      <c r="J14" s="40" t="s">
        <v>1695</v>
      </c>
      <c r="K14" s="97" t="s">
        <v>1696</v>
      </c>
      <c r="L14" s="473"/>
      <c r="M14" s="463"/>
      <c r="N14" s="101"/>
    </row>
    <row r="15" spans="1:14" s="35" customFormat="1" ht="24">
      <c r="A15" s="469"/>
      <c r="B15" s="40" t="s">
        <v>1697</v>
      </c>
      <c r="C15" s="40" t="s">
        <v>1698</v>
      </c>
      <c r="D15" s="77" t="s">
        <v>1699</v>
      </c>
      <c r="E15" s="76" t="s">
        <v>1700</v>
      </c>
      <c r="F15" s="76" t="s">
        <v>1648</v>
      </c>
      <c r="G15" s="40"/>
      <c r="H15" s="40" t="s">
        <v>1701</v>
      </c>
      <c r="I15" s="76" t="s">
        <v>24</v>
      </c>
      <c r="J15" s="40" t="s">
        <v>359</v>
      </c>
      <c r="K15" s="97" t="s">
        <v>1702</v>
      </c>
      <c r="L15" s="473"/>
      <c r="M15" s="463"/>
      <c r="N15" s="101"/>
    </row>
    <row r="16" spans="1:14" s="35" customFormat="1" ht="48">
      <c r="A16" s="469"/>
      <c r="B16" s="40" t="s">
        <v>1703</v>
      </c>
      <c r="C16" s="40" t="s">
        <v>1704</v>
      </c>
      <c r="D16" s="77" t="s">
        <v>1705</v>
      </c>
      <c r="E16" s="76" t="s">
        <v>1706</v>
      </c>
      <c r="F16" s="76" t="s">
        <v>1648</v>
      </c>
      <c r="G16" s="40"/>
      <c r="H16" s="40" t="s">
        <v>366</v>
      </c>
      <c r="I16" s="76" t="s">
        <v>24</v>
      </c>
      <c r="J16" s="106" t="s">
        <v>1707</v>
      </c>
      <c r="K16" s="97" t="s">
        <v>1708</v>
      </c>
      <c r="L16" s="473"/>
      <c r="M16" s="463"/>
      <c r="N16" s="101"/>
    </row>
    <row r="17" spans="1:14" s="35" customFormat="1" ht="24">
      <c r="A17" s="469"/>
      <c r="B17" s="40" t="s">
        <v>1709</v>
      </c>
      <c r="C17" s="40" t="s">
        <v>1710</v>
      </c>
      <c r="D17" s="77" t="s">
        <v>1711</v>
      </c>
      <c r="E17" s="76" t="s">
        <v>1712</v>
      </c>
      <c r="F17" s="76" t="s">
        <v>1648</v>
      </c>
      <c r="G17" s="40"/>
      <c r="H17" s="40" t="s">
        <v>1713</v>
      </c>
      <c r="I17" s="76" t="s">
        <v>24</v>
      </c>
      <c r="J17" s="40" t="s">
        <v>359</v>
      </c>
      <c r="K17" s="107" t="s">
        <v>1714</v>
      </c>
      <c r="L17" s="473"/>
      <c r="M17" s="463"/>
      <c r="N17" s="101"/>
    </row>
    <row r="18" spans="1:14" s="36" customFormat="1" ht="24" customHeight="1">
      <c r="A18" s="469"/>
      <c r="B18" s="42" t="s">
        <v>1715</v>
      </c>
      <c r="C18" s="42" t="s">
        <v>1716</v>
      </c>
      <c r="D18" s="93" t="s">
        <v>1048</v>
      </c>
      <c r="E18" s="78" t="s">
        <v>1049</v>
      </c>
      <c r="F18" s="78" t="s">
        <v>1648</v>
      </c>
      <c r="G18" s="42"/>
      <c r="H18" s="42"/>
      <c r="I18" s="78" t="s">
        <v>24</v>
      </c>
      <c r="J18" s="42" t="s">
        <v>71</v>
      </c>
      <c r="K18" s="100" t="s">
        <v>1649</v>
      </c>
      <c r="L18" s="473"/>
      <c r="M18" s="463"/>
      <c r="N18" s="99" t="s">
        <v>1651</v>
      </c>
    </row>
    <row r="19" spans="1:14" s="35" customFormat="1" ht="22.5" customHeight="1">
      <c r="A19" s="469"/>
      <c r="B19" s="40" t="s">
        <v>1717</v>
      </c>
      <c r="C19" s="40" t="s">
        <v>1718</v>
      </c>
      <c r="D19" s="77" t="s">
        <v>1654</v>
      </c>
      <c r="E19" s="76" t="s">
        <v>1655</v>
      </c>
      <c r="F19" s="76" t="s">
        <v>1648</v>
      </c>
      <c r="G19" s="40"/>
      <c r="H19" s="40" t="s">
        <v>1719</v>
      </c>
      <c r="I19" s="76" t="s">
        <v>24</v>
      </c>
      <c r="J19" s="40" t="s">
        <v>1644</v>
      </c>
      <c r="K19" s="97" t="s">
        <v>1658</v>
      </c>
      <c r="L19" s="473"/>
      <c r="M19" s="463"/>
      <c r="N19" s="101"/>
    </row>
    <row r="20" spans="1:14" s="35" customFormat="1" ht="24">
      <c r="A20" s="469"/>
      <c r="B20" s="40" t="s">
        <v>1720</v>
      </c>
      <c r="C20" s="40" t="s">
        <v>1721</v>
      </c>
      <c r="D20" s="77" t="s">
        <v>1661</v>
      </c>
      <c r="E20" s="76" t="s">
        <v>1662</v>
      </c>
      <c r="F20" s="76" t="s">
        <v>1648</v>
      </c>
      <c r="G20" s="40"/>
      <c r="H20" s="40" t="s">
        <v>1719</v>
      </c>
      <c r="I20" s="76" t="s">
        <v>24</v>
      </c>
      <c r="J20" s="40" t="s">
        <v>1664</v>
      </c>
      <c r="K20" s="97" t="s">
        <v>1665</v>
      </c>
      <c r="L20" s="473"/>
      <c r="M20" s="463"/>
      <c r="N20" s="101"/>
    </row>
    <row r="21" spans="1:14" s="35" customFormat="1" ht="24">
      <c r="A21" s="469"/>
      <c r="B21" s="40" t="s">
        <v>1722</v>
      </c>
      <c r="C21" s="40" t="s">
        <v>1723</v>
      </c>
      <c r="D21" s="77" t="s">
        <v>1668</v>
      </c>
      <c r="E21" s="76" t="s">
        <v>1669</v>
      </c>
      <c r="F21" s="76" t="s">
        <v>1648</v>
      </c>
      <c r="G21" s="40"/>
      <c r="H21" s="40" t="s">
        <v>1724</v>
      </c>
      <c r="I21" s="76" t="s">
        <v>24</v>
      </c>
      <c r="J21" s="40" t="s">
        <v>1671</v>
      </c>
      <c r="K21" s="97" t="s">
        <v>1672</v>
      </c>
      <c r="L21" s="473"/>
      <c r="M21" s="463"/>
      <c r="N21" s="101"/>
    </row>
    <row r="22" spans="1:14" s="35" customFormat="1" ht="24">
      <c r="A22" s="469"/>
      <c r="B22" s="40" t="s">
        <v>1725</v>
      </c>
      <c r="C22" s="40" t="s">
        <v>1726</v>
      </c>
      <c r="D22" s="77" t="s">
        <v>1675</v>
      </c>
      <c r="E22" s="76" t="s">
        <v>1676</v>
      </c>
      <c r="F22" s="76" t="s">
        <v>1648</v>
      </c>
      <c r="G22" s="40"/>
      <c r="H22" s="40" t="s">
        <v>366</v>
      </c>
      <c r="I22" s="76" t="s">
        <v>24</v>
      </c>
      <c r="J22" s="40" t="s">
        <v>1139</v>
      </c>
      <c r="K22" s="97" t="s">
        <v>1677</v>
      </c>
      <c r="L22" s="473"/>
      <c r="M22" s="463"/>
      <c r="N22" s="101"/>
    </row>
    <row r="23" spans="1:14" s="36" customFormat="1" ht="36">
      <c r="A23" s="469"/>
      <c r="B23" s="42" t="s">
        <v>1727</v>
      </c>
      <c r="C23" s="42" t="s">
        <v>1728</v>
      </c>
      <c r="D23" s="93" t="s">
        <v>1680</v>
      </c>
      <c r="E23" s="78" t="s">
        <v>1681</v>
      </c>
      <c r="F23" s="78" t="s">
        <v>1648</v>
      </c>
      <c r="G23" s="42"/>
      <c r="H23" s="42" t="s">
        <v>366</v>
      </c>
      <c r="I23" s="78" t="s">
        <v>57</v>
      </c>
      <c r="J23" s="103" t="s">
        <v>1682</v>
      </c>
      <c r="K23" s="42" t="s">
        <v>1729</v>
      </c>
      <c r="L23" s="473"/>
      <c r="M23" s="463"/>
      <c r="N23" s="99" t="s">
        <v>1684</v>
      </c>
    </row>
    <row r="24" spans="1:14" s="35" customFormat="1" ht="24">
      <c r="A24" s="469"/>
      <c r="B24" s="40" t="s">
        <v>1730</v>
      </c>
      <c r="C24" s="40" t="s">
        <v>1731</v>
      </c>
      <c r="D24" s="77" t="s">
        <v>1687</v>
      </c>
      <c r="E24" s="96" t="s">
        <v>1688</v>
      </c>
      <c r="F24" s="76" t="s">
        <v>1648</v>
      </c>
      <c r="G24" s="40"/>
      <c r="H24" s="40" t="s">
        <v>366</v>
      </c>
      <c r="I24" s="76" t="s">
        <v>24</v>
      </c>
      <c r="J24" s="104" t="s">
        <v>1689</v>
      </c>
      <c r="K24" s="105" t="s">
        <v>1690</v>
      </c>
      <c r="L24" s="473"/>
      <c r="M24" s="463"/>
      <c r="N24" s="101"/>
    </row>
    <row r="25" spans="1:14" s="35" customFormat="1" ht="60">
      <c r="A25" s="469"/>
      <c r="B25" s="40" t="s">
        <v>1732</v>
      </c>
      <c r="C25" s="40" t="s">
        <v>1733</v>
      </c>
      <c r="D25" s="77" t="s">
        <v>1693</v>
      </c>
      <c r="E25" s="76" t="s">
        <v>1694</v>
      </c>
      <c r="F25" s="76" t="s">
        <v>1648</v>
      </c>
      <c r="G25" s="40"/>
      <c r="H25" s="40" t="s">
        <v>366</v>
      </c>
      <c r="I25" s="76" t="s">
        <v>24</v>
      </c>
      <c r="J25" s="40" t="s">
        <v>1695</v>
      </c>
      <c r="K25" s="97" t="s">
        <v>1696</v>
      </c>
      <c r="L25" s="473"/>
      <c r="M25" s="463"/>
      <c r="N25" s="101"/>
    </row>
    <row r="26" spans="1:14" s="35" customFormat="1" ht="24">
      <c r="A26" s="469"/>
      <c r="B26" s="40" t="s">
        <v>1734</v>
      </c>
      <c r="C26" s="40" t="s">
        <v>1735</v>
      </c>
      <c r="D26" s="77" t="s">
        <v>1699</v>
      </c>
      <c r="E26" s="76" t="s">
        <v>1700</v>
      </c>
      <c r="F26" s="76" t="s">
        <v>1648</v>
      </c>
      <c r="G26" s="40"/>
      <c r="H26" s="40" t="s">
        <v>1736</v>
      </c>
      <c r="I26" s="76" t="s">
        <v>24</v>
      </c>
      <c r="J26" s="40" t="s">
        <v>359</v>
      </c>
      <c r="K26" s="97" t="s">
        <v>1702</v>
      </c>
      <c r="L26" s="473"/>
      <c r="M26" s="463"/>
      <c r="N26" s="101"/>
    </row>
    <row r="27" spans="1:14" s="35" customFormat="1" ht="48">
      <c r="A27" s="469"/>
      <c r="B27" s="40" t="s">
        <v>1737</v>
      </c>
      <c r="C27" s="40" t="s">
        <v>1738</v>
      </c>
      <c r="D27" s="77" t="s">
        <v>1705</v>
      </c>
      <c r="E27" s="76" t="s">
        <v>1706</v>
      </c>
      <c r="F27" s="76" t="s">
        <v>1648</v>
      </c>
      <c r="G27" s="40"/>
      <c r="H27" s="40" t="s">
        <v>366</v>
      </c>
      <c r="I27" s="76" t="s">
        <v>24</v>
      </c>
      <c r="J27" s="106" t="s">
        <v>1707</v>
      </c>
      <c r="K27" s="97" t="s">
        <v>1708</v>
      </c>
      <c r="L27" s="473"/>
      <c r="M27" s="463"/>
      <c r="N27" s="101"/>
    </row>
    <row r="28" spans="1:14" s="35" customFormat="1" ht="24">
      <c r="A28" s="469"/>
      <c r="B28" s="40" t="s">
        <v>1739</v>
      </c>
      <c r="C28" s="40" t="s">
        <v>1740</v>
      </c>
      <c r="D28" s="77" t="s">
        <v>1711</v>
      </c>
      <c r="E28" s="76" t="s">
        <v>1712</v>
      </c>
      <c r="F28" s="76" t="s">
        <v>1648</v>
      </c>
      <c r="G28" s="40"/>
      <c r="H28" s="40" t="s">
        <v>1741</v>
      </c>
      <c r="I28" s="76" t="s">
        <v>24</v>
      </c>
      <c r="J28" s="40" t="s">
        <v>359</v>
      </c>
      <c r="K28" s="107" t="s">
        <v>1742</v>
      </c>
      <c r="L28" s="473"/>
      <c r="M28" s="463"/>
      <c r="N28" s="101"/>
    </row>
    <row r="29" spans="1:14" s="36" customFormat="1" ht="24" customHeight="1">
      <c r="A29" s="469"/>
      <c r="B29" s="42" t="s">
        <v>1743</v>
      </c>
      <c r="C29" s="42" t="s">
        <v>1744</v>
      </c>
      <c r="D29" s="93" t="s">
        <v>1048</v>
      </c>
      <c r="E29" s="78" t="s">
        <v>1049</v>
      </c>
      <c r="F29" s="78" t="s">
        <v>1648</v>
      </c>
      <c r="G29" s="42"/>
      <c r="H29" s="42"/>
      <c r="I29" s="78" t="s">
        <v>24</v>
      </c>
      <c r="J29" s="42" t="s">
        <v>71</v>
      </c>
      <c r="K29" s="100" t="s">
        <v>1649</v>
      </c>
      <c r="L29" s="473"/>
      <c r="M29" s="463"/>
      <c r="N29" s="99" t="s">
        <v>1651</v>
      </c>
    </row>
    <row r="30" spans="1:14" s="35" customFormat="1" ht="24">
      <c r="A30" s="469"/>
      <c r="B30" s="40" t="s">
        <v>1745</v>
      </c>
      <c r="C30" s="40" t="s">
        <v>1746</v>
      </c>
      <c r="D30" s="77" t="s">
        <v>1654</v>
      </c>
      <c r="E30" s="76" t="s">
        <v>1655</v>
      </c>
      <c r="F30" s="76" t="s">
        <v>1648</v>
      </c>
      <c r="G30" s="40"/>
      <c r="H30" s="40" t="s">
        <v>1747</v>
      </c>
      <c r="I30" s="76" t="s">
        <v>24</v>
      </c>
      <c r="J30" s="40" t="s">
        <v>1644</v>
      </c>
      <c r="K30" s="97" t="s">
        <v>1658</v>
      </c>
      <c r="L30" s="473"/>
      <c r="M30" s="463"/>
      <c r="N30" s="101"/>
    </row>
    <row r="31" spans="1:14" s="35" customFormat="1" ht="24">
      <c r="A31" s="469"/>
      <c r="B31" s="40" t="s">
        <v>1748</v>
      </c>
      <c r="C31" s="40" t="s">
        <v>1749</v>
      </c>
      <c r="D31" s="77" t="s">
        <v>1661</v>
      </c>
      <c r="E31" s="76" t="s">
        <v>1662</v>
      </c>
      <c r="F31" s="76" t="s">
        <v>1648</v>
      </c>
      <c r="G31" s="40"/>
      <c r="H31" s="40" t="s">
        <v>1747</v>
      </c>
      <c r="I31" s="76" t="s">
        <v>24</v>
      </c>
      <c r="J31" s="40" t="s">
        <v>1664</v>
      </c>
      <c r="K31" s="97" t="s">
        <v>1665</v>
      </c>
      <c r="L31" s="473"/>
      <c r="M31" s="463"/>
      <c r="N31" s="101"/>
    </row>
    <row r="32" spans="1:14" s="35" customFormat="1" ht="24">
      <c r="A32" s="469"/>
      <c r="B32" s="40" t="s">
        <v>1750</v>
      </c>
      <c r="C32" s="40" t="s">
        <v>1751</v>
      </c>
      <c r="D32" s="77" t="s">
        <v>1668</v>
      </c>
      <c r="E32" s="76" t="s">
        <v>1669</v>
      </c>
      <c r="F32" s="76" t="s">
        <v>1648</v>
      </c>
      <c r="G32" s="40"/>
      <c r="H32" s="40" t="s">
        <v>1752</v>
      </c>
      <c r="I32" s="76" t="s">
        <v>24</v>
      </c>
      <c r="J32" s="40" t="s">
        <v>1671</v>
      </c>
      <c r="K32" s="97" t="s">
        <v>1672</v>
      </c>
      <c r="L32" s="473"/>
      <c r="M32" s="463"/>
      <c r="N32" s="101"/>
    </row>
    <row r="33" spans="1:14" s="35" customFormat="1" ht="24">
      <c r="A33" s="469"/>
      <c r="B33" s="40" t="s">
        <v>1753</v>
      </c>
      <c r="C33" s="40" t="s">
        <v>1754</v>
      </c>
      <c r="D33" s="77" t="s">
        <v>1675</v>
      </c>
      <c r="E33" s="76" t="s">
        <v>1676</v>
      </c>
      <c r="F33" s="76" t="s">
        <v>1648</v>
      </c>
      <c r="G33" s="40"/>
      <c r="H33" s="40" t="s">
        <v>366</v>
      </c>
      <c r="I33" s="76" t="s">
        <v>24</v>
      </c>
      <c r="J33" s="40" t="s">
        <v>1139</v>
      </c>
      <c r="K33" s="97" t="s">
        <v>1677</v>
      </c>
      <c r="L33" s="473"/>
      <c r="M33" s="463"/>
      <c r="N33" s="101"/>
    </row>
    <row r="34" spans="1:14" s="36" customFormat="1" ht="36">
      <c r="A34" s="469"/>
      <c r="B34" s="42" t="s">
        <v>1755</v>
      </c>
      <c r="C34" s="42" t="s">
        <v>1756</v>
      </c>
      <c r="D34" s="93" t="s">
        <v>1680</v>
      </c>
      <c r="E34" s="78" t="s">
        <v>1681</v>
      </c>
      <c r="F34" s="78" t="s">
        <v>1648</v>
      </c>
      <c r="G34" s="42"/>
      <c r="H34" s="42" t="s">
        <v>366</v>
      </c>
      <c r="I34" s="78" t="s">
        <v>57</v>
      </c>
      <c r="J34" s="103" t="s">
        <v>1682</v>
      </c>
      <c r="K34" s="42" t="s">
        <v>1757</v>
      </c>
      <c r="L34" s="473"/>
      <c r="M34" s="463"/>
      <c r="N34" s="99" t="s">
        <v>1684</v>
      </c>
    </row>
    <row r="35" spans="1:14" s="35" customFormat="1" ht="24">
      <c r="A35" s="469"/>
      <c r="B35" s="40" t="s">
        <v>1758</v>
      </c>
      <c r="C35" s="40" t="s">
        <v>1759</v>
      </c>
      <c r="D35" s="77" t="s">
        <v>1687</v>
      </c>
      <c r="E35" s="96" t="s">
        <v>1688</v>
      </c>
      <c r="F35" s="76" t="s">
        <v>1648</v>
      </c>
      <c r="G35" s="40"/>
      <c r="H35" s="40" t="s">
        <v>366</v>
      </c>
      <c r="I35" s="76" t="s">
        <v>24</v>
      </c>
      <c r="J35" s="104" t="s">
        <v>1689</v>
      </c>
      <c r="K35" s="105" t="s">
        <v>1690</v>
      </c>
      <c r="L35" s="473"/>
      <c r="M35" s="463"/>
      <c r="N35" s="101"/>
    </row>
    <row r="36" spans="1:14" s="35" customFormat="1" ht="60">
      <c r="A36" s="469"/>
      <c r="B36" s="40" t="s">
        <v>1760</v>
      </c>
      <c r="C36" s="40" t="s">
        <v>1761</v>
      </c>
      <c r="D36" s="77" t="s">
        <v>1693</v>
      </c>
      <c r="E36" s="76" t="s">
        <v>1694</v>
      </c>
      <c r="F36" s="76" t="s">
        <v>1648</v>
      </c>
      <c r="G36" s="40"/>
      <c r="H36" s="40" t="s">
        <v>366</v>
      </c>
      <c r="I36" s="76" t="s">
        <v>24</v>
      </c>
      <c r="J36" s="40" t="s">
        <v>1695</v>
      </c>
      <c r="K36" s="97" t="s">
        <v>1762</v>
      </c>
      <c r="L36" s="473"/>
      <c r="M36" s="463"/>
      <c r="N36" s="101"/>
    </row>
    <row r="37" spans="1:14" s="35" customFormat="1" ht="24">
      <c r="A37" s="469"/>
      <c r="B37" s="40" t="s">
        <v>1763</v>
      </c>
      <c r="C37" s="40" t="s">
        <v>1764</v>
      </c>
      <c r="D37" s="77" t="s">
        <v>1699</v>
      </c>
      <c r="E37" s="76" t="s">
        <v>1700</v>
      </c>
      <c r="F37" s="76" t="s">
        <v>1648</v>
      </c>
      <c r="G37" s="40"/>
      <c r="H37" s="40" t="s">
        <v>1765</v>
      </c>
      <c r="I37" s="76" t="s">
        <v>24</v>
      </c>
      <c r="J37" s="40" t="s">
        <v>359</v>
      </c>
      <c r="K37" s="97" t="s">
        <v>1702</v>
      </c>
      <c r="L37" s="473"/>
      <c r="M37" s="463"/>
      <c r="N37" s="101"/>
    </row>
    <row r="38" spans="1:14" s="35" customFormat="1" ht="48">
      <c r="A38" s="469"/>
      <c r="B38" s="40" t="s">
        <v>1766</v>
      </c>
      <c r="C38" s="40" t="s">
        <v>1767</v>
      </c>
      <c r="D38" s="77" t="s">
        <v>1705</v>
      </c>
      <c r="E38" s="76" t="s">
        <v>1706</v>
      </c>
      <c r="F38" s="76" t="s">
        <v>1648</v>
      </c>
      <c r="G38" s="40"/>
      <c r="H38" s="40" t="s">
        <v>366</v>
      </c>
      <c r="I38" s="76" t="s">
        <v>24</v>
      </c>
      <c r="J38" s="106" t="s">
        <v>1707</v>
      </c>
      <c r="K38" s="97" t="s">
        <v>1768</v>
      </c>
      <c r="L38" s="473"/>
      <c r="M38" s="463"/>
      <c r="N38" s="101"/>
    </row>
    <row r="39" spans="1:14" s="35" customFormat="1" ht="24">
      <c r="A39" s="469"/>
      <c r="B39" s="40" t="s">
        <v>1769</v>
      </c>
      <c r="C39" s="40" t="s">
        <v>1770</v>
      </c>
      <c r="D39" s="77" t="s">
        <v>1711</v>
      </c>
      <c r="E39" s="76" t="s">
        <v>1712</v>
      </c>
      <c r="F39" s="76" t="s">
        <v>1648</v>
      </c>
      <c r="G39" s="40"/>
      <c r="H39" s="40" t="s">
        <v>1771</v>
      </c>
      <c r="I39" s="76" t="s">
        <v>24</v>
      </c>
      <c r="J39" s="40" t="s">
        <v>359</v>
      </c>
      <c r="K39" s="107" t="s">
        <v>1742</v>
      </c>
      <c r="L39" s="473"/>
      <c r="M39" s="463"/>
      <c r="N39" s="101"/>
    </row>
    <row r="40" spans="1:14" s="36" customFormat="1" ht="24" customHeight="1">
      <c r="A40" s="469"/>
      <c r="B40" s="42" t="s">
        <v>1772</v>
      </c>
      <c r="C40" s="42" t="s">
        <v>1773</v>
      </c>
      <c r="D40" s="93" t="s">
        <v>1048</v>
      </c>
      <c r="E40" s="78" t="s">
        <v>1049</v>
      </c>
      <c r="F40" s="78" t="s">
        <v>1774</v>
      </c>
      <c r="G40" s="42"/>
      <c r="H40" s="42"/>
      <c r="I40" s="78" t="s">
        <v>24</v>
      </c>
      <c r="J40" s="42" t="s">
        <v>71</v>
      </c>
      <c r="K40" s="100" t="s">
        <v>1649</v>
      </c>
      <c r="L40" s="108"/>
      <c r="M40" s="463"/>
      <c r="N40" s="99" t="s">
        <v>1651</v>
      </c>
    </row>
    <row r="41" spans="1:14" s="35" customFormat="1" ht="24" customHeight="1">
      <c r="A41" s="469"/>
      <c r="B41" s="40" t="s">
        <v>1775</v>
      </c>
      <c r="C41" s="40" t="s">
        <v>1776</v>
      </c>
      <c r="D41" s="77" t="s">
        <v>1654</v>
      </c>
      <c r="E41" s="76" t="s">
        <v>1655</v>
      </c>
      <c r="F41" s="76" t="s">
        <v>1774</v>
      </c>
      <c r="G41" s="40"/>
      <c r="H41" s="40"/>
      <c r="I41" s="76" t="s">
        <v>24</v>
      </c>
      <c r="J41" s="40" t="s">
        <v>1644</v>
      </c>
      <c r="K41" s="97" t="s">
        <v>1658</v>
      </c>
      <c r="L41" s="474"/>
      <c r="M41" s="463"/>
      <c r="N41" s="101"/>
    </row>
    <row r="42" spans="1:14" s="35" customFormat="1" ht="24">
      <c r="A42" s="469"/>
      <c r="B42" s="40" t="s">
        <v>1777</v>
      </c>
      <c r="C42" s="40" t="s">
        <v>1778</v>
      </c>
      <c r="D42" s="77" t="s">
        <v>1661</v>
      </c>
      <c r="E42" s="76" t="s">
        <v>1662</v>
      </c>
      <c r="F42" s="76" t="s">
        <v>1774</v>
      </c>
      <c r="G42" s="40"/>
      <c r="H42" s="40"/>
      <c r="I42" s="76" t="s">
        <v>24</v>
      </c>
      <c r="J42" s="40" t="s">
        <v>1664</v>
      </c>
      <c r="K42" s="97" t="s">
        <v>1665</v>
      </c>
      <c r="L42" s="403"/>
      <c r="M42" s="463"/>
      <c r="N42" s="101"/>
    </row>
    <row r="43" spans="1:14" s="35" customFormat="1" ht="24">
      <c r="A43" s="469"/>
      <c r="B43" s="40" t="s">
        <v>1779</v>
      </c>
      <c r="C43" s="40" t="s">
        <v>1780</v>
      </c>
      <c r="D43" s="77" t="s">
        <v>1668</v>
      </c>
      <c r="E43" s="76" t="s">
        <v>1669</v>
      </c>
      <c r="F43" s="76" t="s">
        <v>1774</v>
      </c>
      <c r="G43" s="40"/>
      <c r="H43" s="40"/>
      <c r="I43" s="76" t="s">
        <v>24</v>
      </c>
      <c r="J43" s="40" t="s">
        <v>1671</v>
      </c>
      <c r="K43" s="97" t="s">
        <v>1672</v>
      </c>
      <c r="L43" s="403"/>
      <c r="M43" s="463"/>
      <c r="N43" s="101"/>
    </row>
    <row r="44" spans="1:14" s="35" customFormat="1" ht="24">
      <c r="A44" s="469"/>
      <c r="B44" s="40" t="s">
        <v>1781</v>
      </c>
      <c r="C44" s="40" t="s">
        <v>1782</v>
      </c>
      <c r="D44" s="77" t="s">
        <v>1675</v>
      </c>
      <c r="E44" s="76" t="s">
        <v>1676</v>
      </c>
      <c r="F44" s="76" t="s">
        <v>1774</v>
      </c>
      <c r="G44" s="40"/>
      <c r="H44" s="40"/>
      <c r="I44" s="76" t="s">
        <v>24</v>
      </c>
      <c r="J44" s="40" t="s">
        <v>1139</v>
      </c>
      <c r="K44" s="97" t="s">
        <v>1677</v>
      </c>
      <c r="L44" s="403"/>
      <c r="M44" s="463"/>
      <c r="N44" s="101"/>
    </row>
    <row r="45" spans="1:14" s="36" customFormat="1" ht="24">
      <c r="A45" s="469"/>
      <c r="B45" s="42" t="s">
        <v>1783</v>
      </c>
      <c r="C45" s="42" t="s">
        <v>1784</v>
      </c>
      <c r="D45" s="93" t="s">
        <v>1680</v>
      </c>
      <c r="E45" s="78" t="s">
        <v>1681</v>
      </c>
      <c r="F45" s="78" t="s">
        <v>1774</v>
      </c>
      <c r="G45" s="42"/>
      <c r="H45" s="42"/>
      <c r="I45" s="110" t="s">
        <v>57</v>
      </c>
      <c r="J45" s="103" t="s">
        <v>1682</v>
      </c>
      <c r="K45" s="42" t="s">
        <v>1785</v>
      </c>
      <c r="L45" s="403"/>
      <c r="M45" s="463"/>
      <c r="N45" s="99" t="s">
        <v>1786</v>
      </c>
    </row>
    <row r="46" spans="1:14" s="35" customFormat="1" ht="24">
      <c r="A46" s="469"/>
      <c r="B46" s="40" t="s">
        <v>1787</v>
      </c>
      <c r="C46" s="40" t="s">
        <v>1788</v>
      </c>
      <c r="D46" s="95" t="s">
        <v>1687</v>
      </c>
      <c r="E46" s="96" t="s">
        <v>1688</v>
      </c>
      <c r="F46" s="76" t="s">
        <v>1774</v>
      </c>
      <c r="G46" s="40"/>
      <c r="H46" s="40"/>
      <c r="I46" s="76" t="s">
        <v>24</v>
      </c>
      <c r="J46" s="104" t="s">
        <v>1689</v>
      </c>
      <c r="K46" s="105" t="s">
        <v>1690</v>
      </c>
      <c r="L46" s="403"/>
      <c r="M46" s="463"/>
      <c r="N46" s="101"/>
    </row>
    <row r="47" spans="1:14" s="35" customFormat="1" ht="60">
      <c r="A47" s="469"/>
      <c r="B47" s="40" t="s">
        <v>1789</v>
      </c>
      <c r="C47" s="40" t="s">
        <v>1790</v>
      </c>
      <c r="D47" s="77" t="s">
        <v>1693</v>
      </c>
      <c r="E47" s="76" t="s">
        <v>1694</v>
      </c>
      <c r="F47" s="76" t="s">
        <v>1774</v>
      </c>
      <c r="G47" s="40"/>
      <c r="H47" s="40"/>
      <c r="I47" s="76" t="s">
        <v>24</v>
      </c>
      <c r="J47" s="40" t="s">
        <v>1695</v>
      </c>
      <c r="K47" s="97" t="s">
        <v>1696</v>
      </c>
      <c r="L47" s="403"/>
      <c r="M47" s="463"/>
      <c r="N47" s="101"/>
    </row>
    <row r="48" spans="1:14" s="35" customFormat="1" ht="24">
      <c r="A48" s="469"/>
      <c r="B48" s="40" t="s">
        <v>1791</v>
      </c>
      <c r="C48" s="40" t="s">
        <v>1792</v>
      </c>
      <c r="D48" s="77" t="s">
        <v>1699</v>
      </c>
      <c r="E48" s="76" t="s">
        <v>1700</v>
      </c>
      <c r="F48" s="76" t="s">
        <v>1774</v>
      </c>
      <c r="G48" s="40"/>
      <c r="H48" s="40"/>
      <c r="I48" s="76" t="s">
        <v>24</v>
      </c>
      <c r="J48" s="40" t="s">
        <v>359</v>
      </c>
      <c r="K48" s="97" t="s">
        <v>1702</v>
      </c>
      <c r="L48" s="403"/>
      <c r="M48" s="463"/>
      <c r="N48" s="101"/>
    </row>
    <row r="49" spans="1:14" s="35" customFormat="1" ht="48">
      <c r="A49" s="469"/>
      <c r="B49" s="40" t="s">
        <v>1793</v>
      </c>
      <c r="C49" s="40" t="s">
        <v>1794</v>
      </c>
      <c r="D49" s="77" t="s">
        <v>1705</v>
      </c>
      <c r="E49" s="76" t="s">
        <v>1706</v>
      </c>
      <c r="F49" s="76" t="s">
        <v>1774</v>
      </c>
      <c r="G49" s="40"/>
      <c r="H49" s="40"/>
      <c r="I49" s="76" t="s">
        <v>24</v>
      </c>
      <c r="J49" s="106" t="s">
        <v>1707</v>
      </c>
      <c r="K49" s="97" t="s">
        <v>1708</v>
      </c>
      <c r="L49" s="403"/>
      <c r="M49" s="463"/>
      <c r="N49" s="101"/>
    </row>
    <row r="50" spans="1:14" s="35" customFormat="1" ht="24">
      <c r="A50" s="477"/>
      <c r="B50" s="40" t="s">
        <v>1795</v>
      </c>
      <c r="C50" s="40" t="s">
        <v>1796</v>
      </c>
      <c r="D50" s="77" t="s">
        <v>1711</v>
      </c>
      <c r="E50" s="76" t="s">
        <v>1712</v>
      </c>
      <c r="F50" s="76" t="s">
        <v>1774</v>
      </c>
      <c r="G50" s="40"/>
      <c r="H50" s="40"/>
      <c r="I50" s="76" t="s">
        <v>24</v>
      </c>
      <c r="J50" s="40" t="s">
        <v>359</v>
      </c>
      <c r="K50" s="107" t="s">
        <v>1714</v>
      </c>
      <c r="L50" s="404"/>
      <c r="M50" s="464"/>
      <c r="N50" s="101"/>
    </row>
    <row r="51" spans="1:14" s="36" customFormat="1" ht="24" customHeight="1">
      <c r="A51" s="476" t="s">
        <v>1797</v>
      </c>
      <c r="B51" s="42" t="s">
        <v>1798</v>
      </c>
      <c r="C51" s="42" t="s">
        <v>1799</v>
      </c>
      <c r="D51" s="93" t="s">
        <v>1048</v>
      </c>
      <c r="E51" s="78" t="s">
        <v>1049</v>
      </c>
      <c r="F51" s="78" t="s">
        <v>357</v>
      </c>
      <c r="G51" s="42"/>
      <c r="H51" s="42"/>
      <c r="I51" s="78" t="s">
        <v>24</v>
      </c>
      <c r="J51" s="42" t="s">
        <v>71</v>
      </c>
      <c r="K51" s="100" t="s">
        <v>1649</v>
      </c>
      <c r="L51" s="108"/>
      <c r="M51" s="465" t="s">
        <v>1800</v>
      </c>
      <c r="N51" s="99" t="s">
        <v>1651</v>
      </c>
    </row>
    <row r="52" spans="1:14" s="35" customFormat="1" ht="24" customHeight="1">
      <c r="A52" s="469"/>
      <c r="B52" s="40" t="s">
        <v>1801</v>
      </c>
      <c r="C52" s="40" t="s">
        <v>1802</v>
      </c>
      <c r="D52" s="77" t="s">
        <v>1803</v>
      </c>
      <c r="E52" s="76" t="s">
        <v>1804</v>
      </c>
      <c r="F52" s="76" t="s">
        <v>357</v>
      </c>
      <c r="G52" s="40"/>
      <c r="H52" s="40" t="s">
        <v>1805</v>
      </c>
      <c r="I52" s="76" t="s">
        <v>24</v>
      </c>
      <c r="J52" s="40" t="s">
        <v>1644</v>
      </c>
      <c r="K52" s="40" t="s">
        <v>1806</v>
      </c>
      <c r="L52" s="472" t="s">
        <v>407</v>
      </c>
      <c r="M52" s="466"/>
      <c r="N52" s="101"/>
    </row>
    <row r="53" spans="1:14" s="35" customFormat="1" ht="36">
      <c r="A53" s="469"/>
      <c r="B53" s="40" t="s">
        <v>1807</v>
      </c>
      <c r="C53" s="40" t="s">
        <v>1808</v>
      </c>
      <c r="D53" s="77" t="s">
        <v>1809</v>
      </c>
      <c r="E53" s="76" t="s">
        <v>1810</v>
      </c>
      <c r="F53" s="76" t="s">
        <v>357</v>
      </c>
      <c r="G53" s="40"/>
      <c r="H53" s="40" t="s">
        <v>1805</v>
      </c>
      <c r="I53" s="76" t="s">
        <v>24</v>
      </c>
      <c r="J53" s="40" t="s">
        <v>1664</v>
      </c>
      <c r="K53" s="40" t="s">
        <v>1811</v>
      </c>
      <c r="L53" s="473"/>
      <c r="M53" s="466"/>
      <c r="N53" s="101"/>
    </row>
    <row r="54" spans="1:14" s="35" customFormat="1" ht="24">
      <c r="A54" s="469"/>
      <c r="B54" s="40" t="s">
        <v>1812</v>
      </c>
      <c r="C54" s="40" t="s">
        <v>1813</v>
      </c>
      <c r="D54" s="77" t="s">
        <v>1668</v>
      </c>
      <c r="E54" s="76" t="s">
        <v>1669</v>
      </c>
      <c r="F54" s="76" t="s">
        <v>357</v>
      </c>
      <c r="G54" s="40"/>
      <c r="H54" s="40" t="s">
        <v>1814</v>
      </c>
      <c r="I54" s="76" t="s">
        <v>24</v>
      </c>
      <c r="J54" s="40" t="s">
        <v>1671</v>
      </c>
      <c r="K54" s="40" t="s">
        <v>1815</v>
      </c>
      <c r="L54" s="473"/>
      <c r="M54" s="466"/>
      <c r="N54" s="101"/>
    </row>
    <row r="55" spans="1:14" s="35" customFormat="1" ht="24">
      <c r="A55" s="469"/>
      <c r="B55" s="40" t="s">
        <v>1816</v>
      </c>
      <c r="C55" s="40" t="s">
        <v>1817</v>
      </c>
      <c r="D55" s="77" t="s">
        <v>1675</v>
      </c>
      <c r="E55" s="76" t="s">
        <v>1676</v>
      </c>
      <c r="F55" s="76" t="s">
        <v>357</v>
      </c>
      <c r="G55" s="40"/>
      <c r="H55" s="40" t="s">
        <v>366</v>
      </c>
      <c r="I55" s="76" t="s">
        <v>24</v>
      </c>
      <c r="J55" s="40" t="s">
        <v>1139</v>
      </c>
      <c r="K55" s="40" t="s">
        <v>1818</v>
      </c>
      <c r="L55" s="473"/>
      <c r="M55" s="466"/>
      <c r="N55" s="101"/>
    </row>
    <row r="56" spans="1:14" s="36" customFormat="1" ht="36">
      <c r="A56" s="469"/>
      <c r="B56" s="42" t="s">
        <v>1819</v>
      </c>
      <c r="C56" s="42" t="s">
        <v>1820</v>
      </c>
      <c r="D56" s="93" t="s">
        <v>1680</v>
      </c>
      <c r="E56" s="78" t="s">
        <v>1681</v>
      </c>
      <c r="F56" s="78" t="s">
        <v>357</v>
      </c>
      <c r="G56" s="42"/>
      <c r="H56" s="42" t="s">
        <v>366</v>
      </c>
      <c r="I56" s="78" t="s">
        <v>57</v>
      </c>
      <c r="J56" s="103" t="s">
        <v>1682</v>
      </c>
      <c r="K56" s="42" t="s">
        <v>1821</v>
      </c>
      <c r="L56" s="473"/>
      <c r="M56" s="466"/>
      <c r="N56" s="99" t="s">
        <v>1684</v>
      </c>
    </row>
    <row r="57" spans="1:14" s="35" customFormat="1" ht="24">
      <c r="A57" s="469"/>
      <c r="B57" s="40" t="s">
        <v>1822</v>
      </c>
      <c r="C57" s="40" t="s">
        <v>1823</v>
      </c>
      <c r="D57" s="77" t="s">
        <v>1687</v>
      </c>
      <c r="E57" s="96" t="s">
        <v>1688</v>
      </c>
      <c r="F57" s="76" t="s">
        <v>357</v>
      </c>
      <c r="G57" s="40"/>
      <c r="H57" s="40" t="s">
        <v>366</v>
      </c>
      <c r="I57" s="76" t="s">
        <v>24</v>
      </c>
      <c r="J57" s="104" t="s">
        <v>1689</v>
      </c>
      <c r="K57" s="105" t="s">
        <v>1690</v>
      </c>
      <c r="L57" s="473"/>
      <c r="M57" s="466"/>
      <c r="N57" s="101"/>
    </row>
    <row r="58" spans="1:14" s="35" customFormat="1" ht="60">
      <c r="A58" s="469"/>
      <c r="B58" s="40" t="s">
        <v>1824</v>
      </c>
      <c r="C58" s="40" t="s">
        <v>1825</v>
      </c>
      <c r="D58" s="77" t="s">
        <v>1693</v>
      </c>
      <c r="E58" s="76" t="s">
        <v>1694</v>
      </c>
      <c r="F58" s="76" t="s">
        <v>357</v>
      </c>
      <c r="G58" s="40"/>
      <c r="H58" s="40" t="s">
        <v>366</v>
      </c>
      <c r="I58" s="76" t="s">
        <v>24</v>
      </c>
      <c r="J58" s="40" t="s">
        <v>1695</v>
      </c>
      <c r="K58" s="40" t="s">
        <v>1826</v>
      </c>
      <c r="L58" s="473"/>
      <c r="M58" s="466"/>
      <c r="N58" s="101"/>
    </row>
    <row r="59" spans="1:14" s="35" customFormat="1" ht="24">
      <c r="A59" s="469"/>
      <c r="B59" s="40" t="s">
        <v>1827</v>
      </c>
      <c r="C59" s="40" t="s">
        <v>1828</v>
      </c>
      <c r="D59" s="77" t="s">
        <v>1699</v>
      </c>
      <c r="E59" s="76" t="s">
        <v>1700</v>
      </c>
      <c r="F59" s="76" t="s">
        <v>357</v>
      </c>
      <c r="G59" s="40"/>
      <c r="H59" s="40" t="s">
        <v>1829</v>
      </c>
      <c r="I59" s="76" t="s">
        <v>24</v>
      </c>
      <c r="J59" s="40" t="s">
        <v>359</v>
      </c>
      <c r="K59" s="97" t="s">
        <v>1702</v>
      </c>
      <c r="L59" s="473"/>
      <c r="M59" s="466"/>
      <c r="N59" s="101"/>
    </row>
    <row r="60" spans="1:14" s="35" customFormat="1" ht="48">
      <c r="A60" s="469"/>
      <c r="B60" s="40" t="s">
        <v>1830</v>
      </c>
      <c r="C60" s="40" t="s">
        <v>1831</v>
      </c>
      <c r="D60" s="77" t="s">
        <v>1705</v>
      </c>
      <c r="E60" s="76" t="s">
        <v>1706</v>
      </c>
      <c r="F60" s="76" t="s">
        <v>357</v>
      </c>
      <c r="G60" s="40"/>
      <c r="H60" s="40" t="s">
        <v>1832</v>
      </c>
      <c r="I60" s="76" t="s">
        <v>24</v>
      </c>
      <c r="J60" s="106" t="s">
        <v>1707</v>
      </c>
      <c r="K60" s="40" t="s">
        <v>1833</v>
      </c>
      <c r="L60" s="473"/>
      <c r="M60" s="466"/>
      <c r="N60" s="101"/>
    </row>
    <row r="61" spans="1:14" s="35" customFormat="1" ht="24">
      <c r="A61" s="469"/>
      <c r="B61" s="40" t="s">
        <v>1834</v>
      </c>
      <c r="C61" s="40" t="s">
        <v>1835</v>
      </c>
      <c r="D61" s="77" t="s">
        <v>1711</v>
      </c>
      <c r="E61" s="76" t="s">
        <v>1712</v>
      </c>
      <c r="F61" s="76" t="s">
        <v>357</v>
      </c>
      <c r="G61" s="40"/>
      <c r="H61" s="40" t="s">
        <v>1836</v>
      </c>
      <c r="I61" s="76" t="s">
        <v>24</v>
      </c>
      <c r="J61" s="40" t="s">
        <v>359</v>
      </c>
      <c r="K61" s="40" t="s">
        <v>1837</v>
      </c>
      <c r="L61" s="473"/>
      <c r="M61" s="466"/>
      <c r="N61" s="101"/>
    </row>
    <row r="62" spans="1:14" s="36" customFormat="1" ht="24" customHeight="1">
      <c r="A62" s="469"/>
      <c r="B62" s="42" t="s">
        <v>1838</v>
      </c>
      <c r="C62" s="42" t="s">
        <v>1839</v>
      </c>
      <c r="D62" s="93" t="s">
        <v>1048</v>
      </c>
      <c r="E62" s="78" t="s">
        <v>1049</v>
      </c>
      <c r="F62" s="78" t="s">
        <v>357</v>
      </c>
      <c r="G62" s="42"/>
      <c r="H62" s="42"/>
      <c r="I62" s="78" t="s">
        <v>24</v>
      </c>
      <c r="J62" s="42" t="s">
        <v>71</v>
      </c>
      <c r="K62" s="100" t="s">
        <v>1649</v>
      </c>
      <c r="L62" s="473"/>
      <c r="M62" s="466"/>
      <c r="N62" s="99" t="s">
        <v>1651</v>
      </c>
    </row>
    <row r="63" spans="1:14" s="35" customFormat="1" ht="22.5" customHeight="1">
      <c r="A63" s="469"/>
      <c r="B63" s="40" t="s">
        <v>1840</v>
      </c>
      <c r="C63" s="40" t="s">
        <v>1841</v>
      </c>
      <c r="D63" s="77" t="s">
        <v>1803</v>
      </c>
      <c r="E63" s="76" t="s">
        <v>1804</v>
      </c>
      <c r="F63" s="76" t="s">
        <v>357</v>
      </c>
      <c r="G63" s="40"/>
      <c r="H63" s="40" t="s">
        <v>1842</v>
      </c>
      <c r="I63" s="76" t="s">
        <v>24</v>
      </c>
      <c r="J63" s="40" t="s">
        <v>1644</v>
      </c>
      <c r="K63" s="40" t="s">
        <v>1806</v>
      </c>
      <c r="L63" s="473"/>
      <c r="M63" s="466"/>
      <c r="N63" s="101"/>
    </row>
    <row r="64" spans="1:14" s="35" customFormat="1" ht="36">
      <c r="A64" s="469"/>
      <c r="B64" s="40" t="s">
        <v>1843</v>
      </c>
      <c r="C64" s="40" t="s">
        <v>1844</v>
      </c>
      <c r="D64" s="77" t="s">
        <v>1809</v>
      </c>
      <c r="E64" s="76" t="s">
        <v>1810</v>
      </c>
      <c r="F64" s="76" t="s">
        <v>357</v>
      </c>
      <c r="G64" s="40"/>
      <c r="H64" s="40" t="s">
        <v>1842</v>
      </c>
      <c r="I64" s="76" t="s">
        <v>24</v>
      </c>
      <c r="J64" s="40" t="s">
        <v>1664</v>
      </c>
      <c r="K64" s="40" t="s">
        <v>1811</v>
      </c>
      <c r="L64" s="473"/>
      <c r="M64" s="466"/>
      <c r="N64" s="101"/>
    </row>
    <row r="65" spans="1:14" s="35" customFormat="1" ht="24">
      <c r="A65" s="469"/>
      <c r="B65" s="40" t="s">
        <v>1845</v>
      </c>
      <c r="C65" s="40" t="s">
        <v>1846</v>
      </c>
      <c r="D65" s="77" t="s">
        <v>1668</v>
      </c>
      <c r="E65" s="76" t="s">
        <v>1669</v>
      </c>
      <c r="F65" s="76" t="s">
        <v>357</v>
      </c>
      <c r="G65" s="40"/>
      <c r="H65" s="40" t="s">
        <v>1847</v>
      </c>
      <c r="I65" s="76" t="s">
        <v>24</v>
      </c>
      <c r="J65" s="40" t="s">
        <v>1671</v>
      </c>
      <c r="K65" s="40" t="s">
        <v>1815</v>
      </c>
      <c r="L65" s="473"/>
      <c r="M65" s="466"/>
      <c r="N65" s="101"/>
    </row>
    <row r="66" spans="1:14" s="35" customFormat="1" ht="24">
      <c r="A66" s="469"/>
      <c r="B66" s="40" t="s">
        <v>1848</v>
      </c>
      <c r="C66" s="40" t="s">
        <v>1849</v>
      </c>
      <c r="D66" s="77" t="s">
        <v>1675</v>
      </c>
      <c r="E66" s="76" t="s">
        <v>1676</v>
      </c>
      <c r="F66" s="76" t="s">
        <v>357</v>
      </c>
      <c r="G66" s="40"/>
      <c r="H66" s="40" t="s">
        <v>366</v>
      </c>
      <c r="I66" s="76" t="s">
        <v>24</v>
      </c>
      <c r="J66" s="40" t="s">
        <v>1139</v>
      </c>
      <c r="K66" s="40" t="s">
        <v>1818</v>
      </c>
      <c r="L66" s="473"/>
      <c r="M66" s="466"/>
      <c r="N66" s="101"/>
    </row>
    <row r="67" spans="1:14" s="36" customFormat="1" ht="36">
      <c r="A67" s="469"/>
      <c r="B67" s="42" t="s">
        <v>1850</v>
      </c>
      <c r="C67" s="42" t="s">
        <v>1851</v>
      </c>
      <c r="D67" s="93" t="s">
        <v>1680</v>
      </c>
      <c r="E67" s="78" t="s">
        <v>1681</v>
      </c>
      <c r="F67" s="78" t="s">
        <v>357</v>
      </c>
      <c r="G67" s="42"/>
      <c r="H67" s="42" t="s">
        <v>366</v>
      </c>
      <c r="I67" s="78" t="s">
        <v>57</v>
      </c>
      <c r="J67" s="103" t="s">
        <v>1682</v>
      </c>
      <c r="K67" s="42" t="s">
        <v>1852</v>
      </c>
      <c r="L67" s="473"/>
      <c r="M67" s="466"/>
      <c r="N67" s="99" t="s">
        <v>1684</v>
      </c>
    </row>
    <row r="68" spans="1:14" s="35" customFormat="1" ht="24">
      <c r="A68" s="469"/>
      <c r="B68" s="40" t="s">
        <v>1853</v>
      </c>
      <c r="C68" s="40" t="s">
        <v>1854</v>
      </c>
      <c r="D68" s="77" t="s">
        <v>1687</v>
      </c>
      <c r="E68" s="96" t="s">
        <v>1688</v>
      </c>
      <c r="F68" s="76" t="s">
        <v>357</v>
      </c>
      <c r="G68" s="40"/>
      <c r="H68" s="40" t="s">
        <v>366</v>
      </c>
      <c r="I68" s="76" t="s">
        <v>24</v>
      </c>
      <c r="J68" s="104" t="s">
        <v>1689</v>
      </c>
      <c r="K68" s="105" t="s">
        <v>1690</v>
      </c>
      <c r="L68" s="473"/>
      <c r="M68" s="466"/>
      <c r="N68" s="101"/>
    </row>
    <row r="69" spans="1:14" s="35" customFormat="1" ht="60">
      <c r="A69" s="469"/>
      <c r="B69" s="40" t="s">
        <v>1855</v>
      </c>
      <c r="C69" s="40" t="s">
        <v>1856</v>
      </c>
      <c r="D69" s="77" t="s">
        <v>1693</v>
      </c>
      <c r="E69" s="76" t="s">
        <v>1694</v>
      </c>
      <c r="F69" s="76" t="s">
        <v>357</v>
      </c>
      <c r="G69" s="40"/>
      <c r="H69" s="40" t="s">
        <v>366</v>
      </c>
      <c r="I69" s="76" t="s">
        <v>24</v>
      </c>
      <c r="J69" s="40" t="s">
        <v>1695</v>
      </c>
      <c r="K69" s="40" t="s">
        <v>1826</v>
      </c>
      <c r="L69" s="473"/>
      <c r="M69" s="466"/>
      <c r="N69" s="101"/>
    </row>
    <row r="70" spans="1:14" s="35" customFormat="1" ht="24">
      <c r="A70" s="469"/>
      <c r="B70" s="40" t="s">
        <v>1857</v>
      </c>
      <c r="C70" s="40" t="s">
        <v>1858</v>
      </c>
      <c r="D70" s="77" t="s">
        <v>1699</v>
      </c>
      <c r="E70" s="76" t="s">
        <v>1700</v>
      </c>
      <c r="F70" s="76" t="s">
        <v>357</v>
      </c>
      <c r="G70" s="40"/>
      <c r="H70" s="40" t="s">
        <v>1859</v>
      </c>
      <c r="I70" s="76" t="s">
        <v>24</v>
      </c>
      <c r="J70" s="40" t="s">
        <v>359</v>
      </c>
      <c r="K70" s="97" t="s">
        <v>1860</v>
      </c>
      <c r="L70" s="473"/>
      <c r="M70" s="466"/>
      <c r="N70" s="101"/>
    </row>
    <row r="71" spans="1:14" s="35" customFormat="1" ht="48">
      <c r="A71" s="469"/>
      <c r="B71" s="40" t="s">
        <v>1861</v>
      </c>
      <c r="C71" s="40" t="s">
        <v>1862</v>
      </c>
      <c r="D71" s="77" t="s">
        <v>1705</v>
      </c>
      <c r="E71" s="76" t="s">
        <v>1706</v>
      </c>
      <c r="F71" s="76" t="s">
        <v>357</v>
      </c>
      <c r="G71" s="40"/>
      <c r="H71" s="40" t="s">
        <v>1863</v>
      </c>
      <c r="I71" s="76" t="s">
        <v>24</v>
      </c>
      <c r="J71" s="106" t="s">
        <v>1707</v>
      </c>
      <c r="K71" s="40" t="s">
        <v>1833</v>
      </c>
      <c r="L71" s="473"/>
      <c r="M71" s="466"/>
      <c r="N71" s="101"/>
    </row>
    <row r="72" spans="1:14" s="35" customFormat="1" ht="24">
      <c r="A72" s="469"/>
      <c r="B72" s="40" t="s">
        <v>1864</v>
      </c>
      <c r="C72" s="40" t="s">
        <v>1865</v>
      </c>
      <c r="D72" s="77" t="s">
        <v>1711</v>
      </c>
      <c r="E72" s="76" t="s">
        <v>1712</v>
      </c>
      <c r="F72" s="76" t="s">
        <v>357</v>
      </c>
      <c r="G72" s="40"/>
      <c r="H72" s="40" t="s">
        <v>1866</v>
      </c>
      <c r="I72" s="76" t="s">
        <v>24</v>
      </c>
      <c r="J72" s="40" t="s">
        <v>359</v>
      </c>
      <c r="K72" s="106" t="s">
        <v>1867</v>
      </c>
      <c r="L72" s="473"/>
      <c r="M72" s="466"/>
      <c r="N72" s="101"/>
    </row>
    <row r="73" spans="1:14" s="36" customFormat="1" ht="24" customHeight="1">
      <c r="A73" s="469"/>
      <c r="B73" s="42" t="s">
        <v>1868</v>
      </c>
      <c r="C73" s="42" t="s">
        <v>1869</v>
      </c>
      <c r="D73" s="93" t="s">
        <v>1048</v>
      </c>
      <c r="E73" s="78" t="s">
        <v>1049</v>
      </c>
      <c r="F73" s="78" t="s">
        <v>357</v>
      </c>
      <c r="G73" s="42"/>
      <c r="H73" s="42"/>
      <c r="I73" s="78" t="s">
        <v>24</v>
      </c>
      <c r="J73" s="42" t="s">
        <v>71</v>
      </c>
      <c r="K73" s="100" t="s">
        <v>1649</v>
      </c>
      <c r="L73" s="473"/>
      <c r="M73" s="466"/>
      <c r="N73" s="99" t="s">
        <v>1651</v>
      </c>
    </row>
    <row r="74" spans="1:14" s="35" customFormat="1" ht="24">
      <c r="A74" s="469"/>
      <c r="B74" s="40" t="s">
        <v>1870</v>
      </c>
      <c r="C74" s="40" t="s">
        <v>1871</v>
      </c>
      <c r="D74" s="77" t="s">
        <v>1803</v>
      </c>
      <c r="E74" s="76" t="s">
        <v>1804</v>
      </c>
      <c r="F74" s="76" t="s">
        <v>357</v>
      </c>
      <c r="G74" s="40"/>
      <c r="H74" s="40" t="s">
        <v>1872</v>
      </c>
      <c r="I74" s="76" t="s">
        <v>24</v>
      </c>
      <c r="J74" s="40" t="s">
        <v>1644</v>
      </c>
      <c r="K74" s="40" t="s">
        <v>1806</v>
      </c>
      <c r="L74" s="473"/>
      <c r="M74" s="466"/>
      <c r="N74" s="101"/>
    </row>
    <row r="75" spans="1:14" s="35" customFormat="1" ht="36">
      <c r="A75" s="469"/>
      <c r="B75" s="40" t="s">
        <v>1873</v>
      </c>
      <c r="C75" s="40" t="s">
        <v>1874</v>
      </c>
      <c r="D75" s="77" t="s">
        <v>1809</v>
      </c>
      <c r="E75" s="76" t="s">
        <v>1810</v>
      </c>
      <c r="F75" s="76" t="s">
        <v>357</v>
      </c>
      <c r="G75" s="40"/>
      <c r="H75" s="40" t="s">
        <v>1872</v>
      </c>
      <c r="I75" s="76" t="s">
        <v>24</v>
      </c>
      <c r="J75" s="40" t="s">
        <v>1664</v>
      </c>
      <c r="K75" s="40" t="s">
        <v>1811</v>
      </c>
      <c r="L75" s="473"/>
      <c r="M75" s="466"/>
      <c r="N75" s="101"/>
    </row>
    <row r="76" spans="1:14" s="35" customFormat="1" ht="24">
      <c r="A76" s="469"/>
      <c r="B76" s="40" t="s">
        <v>1875</v>
      </c>
      <c r="C76" s="40" t="s">
        <v>1876</v>
      </c>
      <c r="D76" s="77" t="s">
        <v>1668</v>
      </c>
      <c r="E76" s="76" t="s">
        <v>1669</v>
      </c>
      <c r="F76" s="76" t="s">
        <v>357</v>
      </c>
      <c r="G76" s="40"/>
      <c r="H76" s="40" t="s">
        <v>1877</v>
      </c>
      <c r="I76" s="76" t="s">
        <v>24</v>
      </c>
      <c r="J76" s="40" t="s">
        <v>1671</v>
      </c>
      <c r="K76" s="40" t="s">
        <v>1815</v>
      </c>
      <c r="L76" s="473"/>
      <c r="M76" s="466"/>
      <c r="N76" s="101"/>
    </row>
    <row r="77" spans="1:14" s="35" customFormat="1" ht="24">
      <c r="A77" s="469"/>
      <c r="B77" s="40" t="s">
        <v>1878</v>
      </c>
      <c r="C77" s="40" t="s">
        <v>1879</v>
      </c>
      <c r="D77" s="77" t="s">
        <v>1675</v>
      </c>
      <c r="E77" s="76" t="s">
        <v>1676</v>
      </c>
      <c r="F77" s="76" t="s">
        <v>357</v>
      </c>
      <c r="G77" s="40"/>
      <c r="H77" s="40" t="s">
        <v>366</v>
      </c>
      <c r="I77" s="76" t="s">
        <v>24</v>
      </c>
      <c r="J77" s="40" t="s">
        <v>1139</v>
      </c>
      <c r="K77" s="40" t="s">
        <v>1818</v>
      </c>
      <c r="L77" s="473"/>
      <c r="M77" s="466"/>
      <c r="N77" s="101"/>
    </row>
    <row r="78" spans="1:14" s="36" customFormat="1" ht="36">
      <c r="A78" s="469"/>
      <c r="B78" s="42" t="s">
        <v>1880</v>
      </c>
      <c r="C78" s="42" t="s">
        <v>1881</v>
      </c>
      <c r="D78" s="93" t="s">
        <v>1680</v>
      </c>
      <c r="E78" s="78" t="s">
        <v>1681</v>
      </c>
      <c r="F78" s="78" t="s">
        <v>357</v>
      </c>
      <c r="G78" s="42"/>
      <c r="H78" s="42" t="s">
        <v>366</v>
      </c>
      <c r="I78" s="78" t="s">
        <v>57</v>
      </c>
      <c r="J78" s="103" t="s">
        <v>1682</v>
      </c>
      <c r="K78" s="42" t="s">
        <v>1882</v>
      </c>
      <c r="L78" s="473"/>
      <c r="M78" s="466"/>
      <c r="N78" s="99" t="s">
        <v>1684</v>
      </c>
    </row>
    <row r="79" spans="1:14" s="35" customFormat="1" ht="24">
      <c r="A79" s="469"/>
      <c r="B79" s="40" t="s">
        <v>1883</v>
      </c>
      <c r="C79" s="40" t="s">
        <v>1884</v>
      </c>
      <c r="D79" s="77" t="s">
        <v>1687</v>
      </c>
      <c r="E79" s="96" t="s">
        <v>1688</v>
      </c>
      <c r="F79" s="76" t="s">
        <v>357</v>
      </c>
      <c r="G79" s="40"/>
      <c r="H79" s="40" t="s">
        <v>366</v>
      </c>
      <c r="I79" s="76" t="s">
        <v>24</v>
      </c>
      <c r="J79" s="104" t="s">
        <v>1689</v>
      </c>
      <c r="K79" s="105" t="s">
        <v>1690</v>
      </c>
      <c r="L79" s="473"/>
      <c r="M79" s="466"/>
      <c r="N79" s="101"/>
    </row>
    <row r="80" spans="1:14" s="35" customFormat="1" ht="60">
      <c r="A80" s="469"/>
      <c r="B80" s="40" t="s">
        <v>1885</v>
      </c>
      <c r="C80" s="40" t="s">
        <v>1886</v>
      </c>
      <c r="D80" s="77" t="s">
        <v>1693</v>
      </c>
      <c r="E80" s="76" t="s">
        <v>1694</v>
      </c>
      <c r="F80" s="76" t="s">
        <v>357</v>
      </c>
      <c r="G80" s="40"/>
      <c r="H80" s="40" t="s">
        <v>366</v>
      </c>
      <c r="I80" s="76" t="s">
        <v>24</v>
      </c>
      <c r="J80" s="40" t="s">
        <v>1695</v>
      </c>
      <c r="K80" s="40" t="s">
        <v>1826</v>
      </c>
      <c r="L80" s="473"/>
      <c r="M80" s="466"/>
      <c r="N80" s="101"/>
    </row>
    <row r="81" spans="1:14" s="35" customFormat="1" ht="24">
      <c r="A81" s="469"/>
      <c r="B81" s="40" t="s">
        <v>1887</v>
      </c>
      <c r="C81" s="40" t="s">
        <v>1888</v>
      </c>
      <c r="D81" s="77" t="s">
        <v>1699</v>
      </c>
      <c r="E81" s="76" t="s">
        <v>1700</v>
      </c>
      <c r="F81" s="76" t="s">
        <v>357</v>
      </c>
      <c r="G81" s="40"/>
      <c r="H81" s="40" t="s">
        <v>1889</v>
      </c>
      <c r="I81" s="76" t="s">
        <v>24</v>
      </c>
      <c r="J81" s="40" t="s">
        <v>359</v>
      </c>
      <c r="K81" s="97" t="s">
        <v>1860</v>
      </c>
      <c r="L81" s="473"/>
      <c r="M81" s="466"/>
      <c r="N81" s="101"/>
    </row>
    <row r="82" spans="1:14" s="35" customFormat="1" ht="48">
      <c r="A82" s="469"/>
      <c r="B82" s="40" t="s">
        <v>1890</v>
      </c>
      <c r="C82" s="40" t="s">
        <v>1891</v>
      </c>
      <c r="D82" s="77" t="s">
        <v>1705</v>
      </c>
      <c r="E82" s="76" t="s">
        <v>1706</v>
      </c>
      <c r="F82" s="76" t="s">
        <v>357</v>
      </c>
      <c r="G82" s="40"/>
      <c r="H82" s="40" t="s">
        <v>1892</v>
      </c>
      <c r="I82" s="76" t="s">
        <v>24</v>
      </c>
      <c r="J82" s="106" t="s">
        <v>1707</v>
      </c>
      <c r="K82" s="40" t="s">
        <v>1833</v>
      </c>
      <c r="L82" s="473"/>
      <c r="M82" s="466"/>
      <c r="N82" s="101"/>
    </row>
    <row r="83" spans="1:14" s="35" customFormat="1" ht="24">
      <c r="A83" s="469"/>
      <c r="B83" s="40" t="s">
        <v>1893</v>
      </c>
      <c r="C83" s="40" t="s">
        <v>1894</v>
      </c>
      <c r="D83" s="77" t="s">
        <v>1711</v>
      </c>
      <c r="E83" s="76" t="s">
        <v>1712</v>
      </c>
      <c r="F83" s="76" t="s">
        <v>357</v>
      </c>
      <c r="G83" s="40"/>
      <c r="H83" s="40" t="s">
        <v>1895</v>
      </c>
      <c r="I83" s="76" t="s">
        <v>24</v>
      </c>
      <c r="J83" s="40" t="s">
        <v>359</v>
      </c>
      <c r="K83" s="106" t="s">
        <v>1867</v>
      </c>
      <c r="L83" s="473"/>
      <c r="M83" s="466"/>
      <c r="N83" s="101"/>
    </row>
    <row r="84" spans="1:14" s="36" customFormat="1" ht="24" customHeight="1">
      <c r="A84" s="469"/>
      <c r="B84" s="42" t="s">
        <v>1896</v>
      </c>
      <c r="C84" s="42" t="s">
        <v>1897</v>
      </c>
      <c r="D84" s="93" t="s">
        <v>1048</v>
      </c>
      <c r="E84" s="78" t="s">
        <v>1049</v>
      </c>
      <c r="F84" s="78" t="s">
        <v>357</v>
      </c>
      <c r="G84" s="42"/>
      <c r="H84" s="42"/>
      <c r="I84" s="78" t="s">
        <v>24</v>
      </c>
      <c r="J84" s="42" t="s">
        <v>71</v>
      </c>
      <c r="K84" s="100" t="s">
        <v>1649</v>
      </c>
      <c r="L84" s="473"/>
      <c r="M84" s="466"/>
      <c r="N84" s="99" t="s">
        <v>1651</v>
      </c>
    </row>
    <row r="85" spans="1:14" s="35" customFormat="1" ht="24">
      <c r="A85" s="469"/>
      <c r="B85" s="40" t="s">
        <v>1898</v>
      </c>
      <c r="C85" s="40" t="s">
        <v>1899</v>
      </c>
      <c r="D85" s="77" t="s">
        <v>1803</v>
      </c>
      <c r="E85" s="76" t="s">
        <v>1804</v>
      </c>
      <c r="F85" s="76" t="s">
        <v>357</v>
      </c>
      <c r="G85" s="40"/>
      <c r="H85" s="40" t="s">
        <v>1900</v>
      </c>
      <c r="I85" s="76" t="s">
        <v>24</v>
      </c>
      <c r="J85" s="40" t="s">
        <v>1644</v>
      </c>
      <c r="K85" s="40" t="s">
        <v>1806</v>
      </c>
      <c r="L85" s="473"/>
      <c r="M85" s="466"/>
      <c r="N85" s="101"/>
    </row>
    <row r="86" spans="1:14" s="35" customFormat="1" ht="36">
      <c r="A86" s="469"/>
      <c r="B86" s="40" t="s">
        <v>1901</v>
      </c>
      <c r="C86" s="40" t="s">
        <v>1902</v>
      </c>
      <c r="D86" s="77" t="s">
        <v>1809</v>
      </c>
      <c r="E86" s="76" t="s">
        <v>1810</v>
      </c>
      <c r="F86" s="76" t="s">
        <v>357</v>
      </c>
      <c r="G86" s="40"/>
      <c r="H86" s="40" t="s">
        <v>1900</v>
      </c>
      <c r="I86" s="76" t="s">
        <v>24</v>
      </c>
      <c r="J86" s="40" t="s">
        <v>1664</v>
      </c>
      <c r="K86" s="40" t="s">
        <v>1811</v>
      </c>
      <c r="L86" s="473"/>
      <c r="M86" s="466"/>
      <c r="N86" s="101"/>
    </row>
    <row r="87" spans="1:14" s="35" customFormat="1" ht="24">
      <c r="A87" s="469"/>
      <c r="B87" s="40" t="s">
        <v>1903</v>
      </c>
      <c r="C87" s="40" t="s">
        <v>1904</v>
      </c>
      <c r="D87" s="77" t="s">
        <v>1668</v>
      </c>
      <c r="E87" s="76" t="s">
        <v>1669</v>
      </c>
      <c r="F87" s="76" t="s">
        <v>357</v>
      </c>
      <c r="G87" s="40"/>
      <c r="H87" s="40" t="s">
        <v>1905</v>
      </c>
      <c r="I87" s="76" t="s">
        <v>24</v>
      </c>
      <c r="J87" s="40" t="s">
        <v>1671</v>
      </c>
      <c r="K87" s="40" t="s">
        <v>1815</v>
      </c>
      <c r="L87" s="473"/>
      <c r="M87" s="466"/>
      <c r="N87" s="101"/>
    </row>
    <row r="88" spans="1:14" s="35" customFormat="1" ht="24">
      <c r="A88" s="469"/>
      <c r="B88" s="40" t="s">
        <v>1906</v>
      </c>
      <c r="C88" s="40" t="s">
        <v>1907</v>
      </c>
      <c r="D88" s="77" t="s">
        <v>1675</v>
      </c>
      <c r="E88" s="76" t="s">
        <v>1676</v>
      </c>
      <c r="F88" s="76" t="s">
        <v>357</v>
      </c>
      <c r="G88" s="40"/>
      <c r="H88" s="40" t="s">
        <v>366</v>
      </c>
      <c r="I88" s="76" t="s">
        <v>24</v>
      </c>
      <c r="J88" s="40" t="s">
        <v>1139</v>
      </c>
      <c r="K88" s="40" t="s">
        <v>1818</v>
      </c>
      <c r="L88" s="473"/>
      <c r="M88" s="466"/>
      <c r="N88" s="99" t="s">
        <v>1684</v>
      </c>
    </row>
    <row r="89" spans="1:14" s="36" customFormat="1" ht="36">
      <c r="A89" s="469"/>
      <c r="B89" s="42" t="s">
        <v>1908</v>
      </c>
      <c r="C89" s="42" t="s">
        <v>1909</v>
      </c>
      <c r="D89" s="93" t="s">
        <v>1680</v>
      </c>
      <c r="E89" s="78" t="s">
        <v>1681</v>
      </c>
      <c r="F89" s="78" t="s">
        <v>357</v>
      </c>
      <c r="G89" s="42"/>
      <c r="H89" s="42" t="s">
        <v>366</v>
      </c>
      <c r="I89" s="78" t="s">
        <v>57</v>
      </c>
      <c r="J89" s="103" t="s">
        <v>1682</v>
      </c>
      <c r="K89" s="42" t="s">
        <v>1910</v>
      </c>
      <c r="L89" s="473"/>
      <c r="M89" s="466"/>
      <c r="N89" s="113"/>
    </row>
    <row r="90" spans="1:14" s="35" customFormat="1" ht="24">
      <c r="A90" s="469"/>
      <c r="B90" s="40" t="s">
        <v>1911</v>
      </c>
      <c r="C90" s="40" t="s">
        <v>1912</v>
      </c>
      <c r="D90" s="77" t="s">
        <v>1687</v>
      </c>
      <c r="E90" s="96" t="s">
        <v>1688</v>
      </c>
      <c r="F90" s="76" t="s">
        <v>357</v>
      </c>
      <c r="G90" s="40"/>
      <c r="H90" s="40" t="s">
        <v>366</v>
      </c>
      <c r="I90" s="76" t="s">
        <v>24</v>
      </c>
      <c r="J90" s="104" t="s">
        <v>1689</v>
      </c>
      <c r="K90" s="105" t="s">
        <v>1690</v>
      </c>
      <c r="L90" s="473"/>
      <c r="M90" s="466"/>
      <c r="N90" s="101"/>
    </row>
    <row r="91" spans="1:14" s="35" customFormat="1" ht="60">
      <c r="A91" s="469"/>
      <c r="B91" s="40" t="s">
        <v>1913</v>
      </c>
      <c r="C91" s="40" t="s">
        <v>1914</v>
      </c>
      <c r="D91" s="77" t="s">
        <v>1693</v>
      </c>
      <c r="E91" s="76" t="s">
        <v>1694</v>
      </c>
      <c r="F91" s="76" t="s">
        <v>357</v>
      </c>
      <c r="G91" s="40"/>
      <c r="H91" s="40" t="s">
        <v>366</v>
      </c>
      <c r="I91" s="76" t="s">
        <v>24</v>
      </c>
      <c r="J91" s="40" t="s">
        <v>1695</v>
      </c>
      <c r="K91" s="40" t="s">
        <v>1826</v>
      </c>
      <c r="L91" s="473"/>
      <c r="M91" s="466"/>
      <c r="N91" s="101"/>
    </row>
    <row r="92" spans="1:14" s="35" customFormat="1" ht="24">
      <c r="A92" s="469"/>
      <c r="B92" s="40" t="s">
        <v>1915</v>
      </c>
      <c r="C92" s="40" t="s">
        <v>1916</v>
      </c>
      <c r="D92" s="77" t="s">
        <v>1699</v>
      </c>
      <c r="E92" s="76" t="s">
        <v>1700</v>
      </c>
      <c r="F92" s="76" t="s">
        <v>357</v>
      </c>
      <c r="G92" s="40"/>
      <c r="H92" s="40" t="s">
        <v>1917</v>
      </c>
      <c r="I92" s="76" t="s">
        <v>24</v>
      </c>
      <c r="J92" s="40" t="s">
        <v>359</v>
      </c>
      <c r="K92" s="97" t="s">
        <v>1860</v>
      </c>
      <c r="L92" s="473"/>
      <c r="M92" s="466"/>
      <c r="N92" s="101"/>
    </row>
    <row r="93" spans="1:14" s="35" customFormat="1" ht="48">
      <c r="A93" s="469"/>
      <c r="B93" s="40" t="s">
        <v>1918</v>
      </c>
      <c r="C93" s="40" t="s">
        <v>1919</v>
      </c>
      <c r="D93" s="77" t="s">
        <v>1705</v>
      </c>
      <c r="E93" s="76" t="s">
        <v>1706</v>
      </c>
      <c r="F93" s="76" t="s">
        <v>357</v>
      </c>
      <c r="G93" s="40"/>
      <c r="H93" s="40" t="s">
        <v>1920</v>
      </c>
      <c r="I93" s="76" t="s">
        <v>24</v>
      </c>
      <c r="J93" s="106" t="s">
        <v>1707</v>
      </c>
      <c r="K93" s="40" t="s">
        <v>1833</v>
      </c>
      <c r="L93" s="473"/>
      <c r="M93" s="466"/>
      <c r="N93" s="101"/>
    </row>
    <row r="94" spans="1:14" s="35" customFormat="1" ht="24">
      <c r="A94" s="469"/>
      <c r="B94" s="40" t="s">
        <v>1921</v>
      </c>
      <c r="C94" s="40" t="s">
        <v>1922</v>
      </c>
      <c r="D94" s="77" t="s">
        <v>1711</v>
      </c>
      <c r="E94" s="76" t="s">
        <v>1712</v>
      </c>
      <c r="F94" s="76" t="s">
        <v>357</v>
      </c>
      <c r="G94" s="40"/>
      <c r="H94" s="40" t="s">
        <v>1923</v>
      </c>
      <c r="I94" s="76" t="s">
        <v>24</v>
      </c>
      <c r="J94" s="40" t="s">
        <v>359</v>
      </c>
      <c r="K94" s="106" t="s">
        <v>1867</v>
      </c>
      <c r="L94" s="473"/>
      <c r="M94" s="466"/>
      <c r="N94" s="101"/>
    </row>
    <row r="95" spans="1:14" s="36" customFormat="1" ht="24" customHeight="1">
      <c r="A95" s="469"/>
      <c r="B95" s="42" t="s">
        <v>1924</v>
      </c>
      <c r="C95" s="42" t="s">
        <v>1925</v>
      </c>
      <c r="D95" s="93" t="s">
        <v>1048</v>
      </c>
      <c r="E95" s="78" t="s">
        <v>1049</v>
      </c>
      <c r="F95" s="78" t="s">
        <v>357</v>
      </c>
      <c r="G95" s="42"/>
      <c r="H95" s="42"/>
      <c r="I95" s="78" t="s">
        <v>24</v>
      </c>
      <c r="J95" s="42" t="s">
        <v>71</v>
      </c>
      <c r="K95" s="100" t="s">
        <v>1649</v>
      </c>
      <c r="L95" s="473"/>
      <c r="M95" s="466"/>
      <c r="N95" s="99" t="s">
        <v>1651</v>
      </c>
    </row>
    <row r="96" spans="1:14" s="35" customFormat="1" ht="24">
      <c r="A96" s="469"/>
      <c r="B96" s="40" t="s">
        <v>1926</v>
      </c>
      <c r="C96" s="40" t="s">
        <v>1927</v>
      </c>
      <c r="D96" s="77" t="s">
        <v>1803</v>
      </c>
      <c r="E96" s="76" t="s">
        <v>1804</v>
      </c>
      <c r="F96" s="76" t="s">
        <v>357</v>
      </c>
      <c r="G96" s="40"/>
      <c r="H96" s="40" t="s">
        <v>1928</v>
      </c>
      <c r="I96" s="76" t="s">
        <v>24</v>
      </c>
      <c r="J96" s="40" t="s">
        <v>1644</v>
      </c>
      <c r="K96" s="40" t="s">
        <v>1806</v>
      </c>
      <c r="L96" s="473"/>
      <c r="M96" s="466"/>
      <c r="N96" s="101"/>
    </row>
    <row r="97" spans="1:14" s="35" customFormat="1" ht="36">
      <c r="A97" s="469"/>
      <c r="B97" s="40" t="s">
        <v>1929</v>
      </c>
      <c r="C97" s="40" t="s">
        <v>1930</v>
      </c>
      <c r="D97" s="77" t="s">
        <v>1809</v>
      </c>
      <c r="E97" s="76" t="s">
        <v>1810</v>
      </c>
      <c r="F97" s="76" t="s">
        <v>357</v>
      </c>
      <c r="G97" s="40"/>
      <c r="H97" s="40" t="s">
        <v>1928</v>
      </c>
      <c r="I97" s="76" t="s">
        <v>24</v>
      </c>
      <c r="J97" s="40" t="s">
        <v>1664</v>
      </c>
      <c r="K97" s="40" t="s">
        <v>1811</v>
      </c>
      <c r="L97" s="473"/>
      <c r="M97" s="466"/>
      <c r="N97" s="101"/>
    </row>
    <row r="98" spans="1:14" s="35" customFormat="1" ht="24">
      <c r="A98" s="469"/>
      <c r="B98" s="40" t="s">
        <v>1931</v>
      </c>
      <c r="C98" s="40" t="s">
        <v>1932</v>
      </c>
      <c r="D98" s="77" t="s">
        <v>1668</v>
      </c>
      <c r="E98" s="76" t="s">
        <v>1669</v>
      </c>
      <c r="F98" s="76" t="s">
        <v>357</v>
      </c>
      <c r="G98" s="40"/>
      <c r="H98" s="40" t="s">
        <v>1933</v>
      </c>
      <c r="I98" s="76" t="s">
        <v>24</v>
      </c>
      <c r="J98" s="40" t="s">
        <v>1671</v>
      </c>
      <c r="K98" s="40" t="s">
        <v>1815</v>
      </c>
      <c r="L98" s="473"/>
      <c r="M98" s="466"/>
      <c r="N98" s="101"/>
    </row>
    <row r="99" spans="1:14" s="35" customFormat="1" ht="24">
      <c r="A99" s="469"/>
      <c r="B99" s="40" t="s">
        <v>1934</v>
      </c>
      <c r="C99" s="40" t="s">
        <v>1935</v>
      </c>
      <c r="D99" s="77" t="s">
        <v>1675</v>
      </c>
      <c r="E99" s="76" t="s">
        <v>1676</v>
      </c>
      <c r="F99" s="76" t="s">
        <v>357</v>
      </c>
      <c r="G99" s="40"/>
      <c r="H99" s="40" t="s">
        <v>366</v>
      </c>
      <c r="I99" s="76" t="s">
        <v>24</v>
      </c>
      <c r="J99" s="40" t="s">
        <v>1139</v>
      </c>
      <c r="K99" s="40" t="s">
        <v>1818</v>
      </c>
      <c r="L99" s="473"/>
      <c r="M99" s="466"/>
      <c r="N99" s="101"/>
    </row>
    <row r="100" spans="1:14" s="36" customFormat="1" ht="36">
      <c r="A100" s="469"/>
      <c r="B100" s="42" t="s">
        <v>1936</v>
      </c>
      <c r="C100" s="42" t="s">
        <v>1937</v>
      </c>
      <c r="D100" s="93" t="s">
        <v>1680</v>
      </c>
      <c r="E100" s="78" t="s">
        <v>1681</v>
      </c>
      <c r="F100" s="78" t="s">
        <v>357</v>
      </c>
      <c r="G100" s="42"/>
      <c r="H100" s="42" t="s">
        <v>366</v>
      </c>
      <c r="I100" s="78" t="s">
        <v>57</v>
      </c>
      <c r="J100" s="103" t="s">
        <v>1682</v>
      </c>
      <c r="K100" s="42" t="s">
        <v>1938</v>
      </c>
      <c r="L100" s="473"/>
      <c r="M100" s="466"/>
      <c r="N100" s="99" t="s">
        <v>1684</v>
      </c>
    </row>
    <row r="101" spans="1:14" s="35" customFormat="1" ht="24">
      <c r="A101" s="469"/>
      <c r="B101" s="40" t="s">
        <v>1939</v>
      </c>
      <c r="C101" s="40" t="s">
        <v>1940</v>
      </c>
      <c r="D101" s="77" t="s">
        <v>1687</v>
      </c>
      <c r="E101" s="96" t="s">
        <v>1688</v>
      </c>
      <c r="F101" s="76" t="s">
        <v>357</v>
      </c>
      <c r="G101" s="40"/>
      <c r="H101" s="40" t="s">
        <v>366</v>
      </c>
      <c r="I101" s="76" t="s">
        <v>24</v>
      </c>
      <c r="J101" s="104" t="s">
        <v>1689</v>
      </c>
      <c r="K101" s="105" t="s">
        <v>1690</v>
      </c>
      <c r="L101" s="473"/>
      <c r="M101" s="466"/>
      <c r="N101" s="101"/>
    </row>
    <row r="102" spans="1:14" s="35" customFormat="1" ht="60">
      <c r="A102" s="469"/>
      <c r="B102" s="40" t="s">
        <v>1941</v>
      </c>
      <c r="C102" s="40" t="s">
        <v>1942</v>
      </c>
      <c r="D102" s="77" t="s">
        <v>1693</v>
      </c>
      <c r="E102" s="76" t="s">
        <v>1694</v>
      </c>
      <c r="F102" s="76" t="s">
        <v>357</v>
      </c>
      <c r="G102" s="40"/>
      <c r="H102" s="40" t="s">
        <v>366</v>
      </c>
      <c r="I102" s="76" t="s">
        <v>24</v>
      </c>
      <c r="J102" s="40" t="s">
        <v>1695</v>
      </c>
      <c r="K102" s="40" t="s">
        <v>1826</v>
      </c>
      <c r="L102" s="473"/>
      <c r="M102" s="466"/>
      <c r="N102" s="101"/>
    </row>
    <row r="103" spans="1:14" s="35" customFormat="1" ht="24">
      <c r="A103" s="469"/>
      <c r="B103" s="40" t="s">
        <v>1943</v>
      </c>
      <c r="C103" s="40" t="s">
        <v>1944</v>
      </c>
      <c r="D103" s="77" t="s">
        <v>1699</v>
      </c>
      <c r="E103" s="76" t="s">
        <v>1700</v>
      </c>
      <c r="F103" s="76" t="s">
        <v>357</v>
      </c>
      <c r="G103" s="40"/>
      <c r="H103" s="40" t="s">
        <v>1945</v>
      </c>
      <c r="I103" s="76" t="s">
        <v>24</v>
      </c>
      <c r="J103" s="40" t="s">
        <v>359</v>
      </c>
      <c r="K103" s="97" t="s">
        <v>1860</v>
      </c>
      <c r="L103" s="473"/>
      <c r="M103" s="466"/>
      <c r="N103" s="101"/>
    </row>
    <row r="104" spans="1:14" s="35" customFormat="1" ht="48">
      <c r="A104" s="469"/>
      <c r="B104" s="40" t="s">
        <v>1946</v>
      </c>
      <c r="C104" s="40" t="s">
        <v>1947</v>
      </c>
      <c r="D104" s="77" t="s">
        <v>1705</v>
      </c>
      <c r="E104" s="76" t="s">
        <v>1706</v>
      </c>
      <c r="F104" s="76" t="s">
        <v>357</v>
      </c>
      <c r="G104" s="40"/>
      <c r="H104" s="40" t="s">
        <v>1948</v>
      </c>
      <c r="I104" s="76" t="s">
        <v>24</v>
      </c>
      <c r="J104" s="106" t="s">
        <v>1707</v>
      </c>
      <c r="K104" s="40" t="s">
        <v>1833</v>
      </c>
      <c r="L104" s="473"/>
      <c r="M104" s="466"/>
      <c r="N104" s="101"/>
    </row>
    <row r="105" spans="1:14" s="35" customFormat="1" ht="24">
      <c r="A105" s="469"/>
      <c r="B105" s="40" t="s">
        <v>1949</v>
      </c>
      <c r="C105" s="40" t="s">
        <v>1950</v>
      </c>
      <c r="D105" s="77" t="s">
        <v>1711</v>
      </c>
      <c r="E105" s="76" t="s">
        <v>1712</v>
      </c>
      <c r="F105" s="76" t="s">
        <v>357</v>
      </c>
      <c r="G105" s="40"/>
      <c r="H105" s="40" t="s">
        <v>1951</v>
      </c>
      <c r="I105" s="76" t="s">
        <v>24</v>
      </c>
      <c r="J105" s="40" t="s">
        <v>359</v>
      </c>
      <c r="K105" s="106" t="s">
        <v>1867</v>
      </c>
      <c r="L105" s="473"/>
      <c r="M105" s="466"/>
      <c r="N105" s="101"/>
    </row>
    <row r="106" spans="1:14" s="36" customFormat="1" ht="24" customHeight="1">
      <c r="A106" s="469"/>
      <c r="B106" s="42" t="s">
        <v>1952</v>
      </c>
      <c r="C106" s="42" t="s">
        <v>1953</v>
      </c>
      <c r="D106" s="93" t="s">
        <v>1048</v>
      </c>
      <c r="E106" s="78" t="s">
        <v>1049</v>
      </c>
      <c r="F106" s="78" t="s">
        <v>789</v>
      </c>
      <c r="G106" s="42"/>
      <c r="H106" s="42"/>
      <c r="I106" s="78" t="s">
        <v>24</v>
      </c>
      <c r="J106" s="42" t="s">
        <v>71</v>
      </c>
      <c r="K106" s="100" t="s">
        <v>1649</v>
      </c>
      <c r="L106" s="108"/>
      <c r="M106" s="466"/>
      <c r="N106" s="99" t="s">
        <v>1651</v>
      </c>
    </row>
    <row r="107" spans="1:14" s="35" customFormat="1" ht="24" customHeight="1">
      <c r="A107" s="469"/>
      <c r="B107" s="40" t="s">
        <v>1954</v>
      </c>
      <c r="C107" s="40" t="s">
        <v>1955</v>
      </c>
      <c r="D107" s="77" t="s">
        <v>1803</v>
      </c>
      <c r="E107" s="76" t="s">
        <v>1804</v>
      </c>
      <c r="F107" s="76" t="s">
        <v>789</v>
      </c>
      <c r="G107" s="40"/>
      <c r="H107" s="40"/>
      <c r="I107" s="76" t="s">
        <v>24</v>
      </c>
      <c r="J107" s="40" t="s">
        <v>1644</v>
      </c>
      <c r="K107" s="40" t="s">
        <v>1806</v>
      </c>
      <c r="L107" s="474"/>
      <c r="M107" s="466"/>
      <c r="N107" s="101"/>
    </row>
    <row r="108" spans="1:14" s="35" customFormat="1" ht="36">
      <c r="A108" s="469"/>
      <c r="B108" s="40" t="s">
        <v>1956</v>
      </c>
      <c r="C108" s="40" t="s">
        <v>1957</v>
      </c>
      <c r="D108" s="77" t="s">
        <v>1809</v>
      </c>
      <c r="E108" s="76" t="s">
        <v>1810</v>
      </c>
      <c r="F108" s="76" t="s">
        <v>789</v>
      </c>
      <c r="G108" s="40"/>
      <c r="H108" s="40"/>
      <c r="I108" s="76" t="s">
        <v>24</v>
      </c>
      <c r="J108" s="40" t="s">
        <v>1664</v>
      </c>
      <c r="K108" s="40" t="s">
        <v>1811</v>
      </c>
      <c r="L108" s="403"/>
      <c r="M108" s="466"/>
      <c r="N108" s="101"/>
    </row>
    <row r="109" spans="1:14" s="35" customFormat="1" ht="24">
      <c r="A109" s="469"/>
      <c r="B109" s="40" t="s">
        <v>1958</v>
      </c>
      <c r="C109" s="40" t="s">
        <v>1959</v>
      </c>
      <c r="D109" s="77" t="s">
        <v>1668</v>
      </c>
      <c r="E109" s="76" t="s">
        <v>1669</v>
      </c>
      <c r="F109" s="76" t="s">
        <v>789</v>
      </c>
      <c r="G109" s="40"/>
      <c r="H109" s="40"/>
      <c r="I109" s="76" t="s">
        <v>24</v>
      </c>
      <c r="J109" s="40" t="s">
        <v>1671</v>
      </c>
      <c r="K109" s="40" t="s">
        <v>1815</v>
      </c>
      <c r="L109" s="403"/>
      <c r="M109" s="466"/>
      <c r="N109" s="101"/>
    </row>
    <row r="110" spans="1:14" s="35" customFormat="1" ht="24">
      <c r="A110" s="469"/>
      <c r="B110" s="40" t="s">
        <v>1960</v>
      </c>
      <c r="C110" s="40" t="s">
        <v>1961</v>
      </c>
      <c r="D110" s="77" t="s">
        <v>1675</v>
      </c>
      <c r="E110" s="76" t="s">
        <v>1676</v>
      </c>
      <c r="F110" s="76" t="s">
        <v>789</v>
      </c>
      <c r="G110" s="40"/>
      <c r="H110" s="40"/>
      <c r="I110" s="76" t="s">
        <v>24</v>
      </c>
      <c r="J110" s="40" t="s">
        <v>1139</v>
      </c>
      <c r="K110" s="40" t="s">
        <v>1818</v>
      </c>
      <c r="L110" s="403"/>
      <c r="M110" s="466"/>
      <c r="N110" s="101"/>
    </row>
    <row r="111" spans="1:14" s="36" customFormat="1" ht="24">
      <c r="A111" s="469"/>
      <c r="B111" s="42" t="s">
        <v>1962</v>
      </c>
      <c r="C111" s="42" t="s">
        <v>1963</v>
      </c>
      <c r="D111" s="93" t="s">
        <v>1680</v>
      </c>
      <c r="E111" s="78" t="s">
        <v>1681</v>
      </c>
      <c r="F111" s="78" t="s">
        <v>789</v>
      </c>
      <c r="G111" s="42"/>
      <c r="H111" s="42"/>
      <c r="I111" s="110" t="s">
        <v>57</v>
      </c>
      <c r="J111" s="103" t="s">
        <v>1682</v>
      </c>
      <c r="K111" s="42" t="s">
        <v>1785</v>
      </c>
      <c r="L111" s="403"/>
      <c r="M111" s="466"/>
      <c r="N111" s="99" t="s">
        <v>1684</v>
      </c>
    </row>
    <row r="112" spans="1:14" s="35" customFormat="1" ht="24">
      <c r="A112" s="469"/>
      <c r="B112" s="40" t="s">
        <v>1964</v>
      </c>
      <c r="C112" s="40" t="s">
        <v>1965</v>
      </c>
      <c r="D112" s="77" t="s">
        <v>1687</v>
      </c>
      <c r="E112" s="96" t="s">
        <v>1688</v>
      </c>
      <c r="F112" s="76" t="s">
        <v>789</v>
      </c>
      <c r="G112" s="40"/>
      <c r="H112" s="40"/>
      <c r="I112" s="76" t="s">
        <v>24</v>
      </c>
      <c r="J112" s="104" t="s">
        <v>1689</v>
      </c>
      <c r="K112" s="105" t="s">
        <v>1690</v>
      </c>
      <c r="L112" s="403"/>
      <c r="M112" s="466"/>
      <c r="N112" s="101"/>
    </row>
    <row r="113" spans="1:14" s="35" customFormat="1" ht="60">
      <c r="A113" s="469"/>
      <c r="B113" s="40" t="s">
        <v>1966</v>
      </c>
      <c r="C113" s="40" t="s">
        <v>1967</v>
      </c>
      <c r="D113" s="77" t="s">
        <v>1693</v>
      </c>
      <c r="E113" s="76" t="s">
        <v>1694</v>
      </c>
      <c r="F113" s="76" t="s">
        <v>789</v>
      </c>
      <c r="G113" s="40"/>
      <c r="H113" s="40"/>
      <c r="I113" s="76" t="s">
        <v>24</v>
      </c>
      <c r="J113" s="40" t="s">
        <v>1695</v>
      </c>
      <c r="K113" s="40" t="s">
        <v>1826</v>
      </c>
      <c r="L113" s="403"/>
      <c r="M113" s="466"/>
      <c r="N113" s="101"/>
    </row>
    <row r="114" spans="1:14" s="35" customFormat="1" ht="24">
      <c r="A114" s="469"/>
      <c r="B114" s="40" t="s">
        <v>1968</v>
      </c>
      <c r="C114" s="40" t="s">
        <v>1969</v>
      </c>
      <c r="D114" s="77" t="s">
        <v>1699</v>
      </c>
      <c r="E114" s="76" t="s">
        <v>1700</v>
      </c>
      <c r="F114" s="76" t="s">
        <v>789</v>
      </c>
      <c r="G114" s="40"/>
      <c r="H114" s="40"/>
      <c r="I114" s="76" t="s">
        <v>24</v>
      </c>
      <c r="J114" s="40" t="s">
        <v>359</v>
      </c>
      <c r="K114" s="97" t="s">
        <v>1702</v>
      </c>
      <c r="L114" s="403"/>
      <c r="M114" s="466"/>
      <c r="N114" s="101"/>
    </row>
    <row r="115" spans="1:14" s="35" customFormat="1" ht="48">
      <c r="A115" s="469"/>
      <c r="B115" s="40" t="s">
        <v>1970</v>
      </c>
      <c r="C115" s="40" t="s">
        <v>1971</v>
      </c>
      <c r="D115" s="77" t="s">
        <v>1705</v>
      </c>
      <c r="E115" s="76" t="s">
        <v>1706</v>
      </c>
      <c r="F115" s="76" t="s">
        <v>789</v>
      </c>
      <c r="G115" s="40"/>
      <c r="H115" s="40"/>
      <c r="I115" s="76" t="s">
        <v>24</v>
      </c>
      <c r="J115" s="106" t="s">
        <v>1707</v>
      </c>
      <c r="K115" s="40" t="s">
        <v>1833</v>
      </c>
      <c r="L115" s="403"/>
      <c r="M115" s="466"/>
      <c r="N115" s="101"/>
    </row>
    <row r="116" spans="1:14" s="35" customFormat="1" ht="24">
      <c r="A116" s="477"/>
      <c r="B116" s="40" t="s">
        <v>1972</v>
      </c>
      <c r="C116" s="40" t="s">
        <v>1973</v>
      </c>
      <c r="D116" s="77" t="s">
        <v>1711</v>
      </c>
      <c r="E116" s="76" t="s">
        <v>1712</v>
      </c>
      <c r="F116" s="76" t="s">
        <v>789</v>
      </c>
      <c r="G116" s="40"/>
      <c r="H116" s="40"/>
      <c r="I116" s="76" t="s">
        <v>24</v>
      </c>
      <c r="J116" s="40" t="s">
        <v>359</v>
      </c>
      <c r="K116" s="40" t="s">
        <v>1837</v>
      </c>
      <c r="L116" s="404"/>
      <c r="M116" s="467"/>
      <c r="N116" s="101"/>
    </row>
    <row r="117" spans="1:14" s="36" customFormat="1" ht="24" customHeight="1">
      <c r="A117" s="476" t="s">
        <v>1974</v>
      </c>
      <c r="B117" s="42" t="s">
        <v>1975</v>
      </c>
      <c r="C117" s="42" t="s">
        <v>1976</v>
      </c>
      <c r="D117" s="93" t="s">
        <v>1048</v>
      </c>
      <c r="E117" s="78" t="s">
        <v>1049</v>
      </c>
      <c r="F117" s="78" t="s">
        <v>357</v>
      </c>
      <c r="G117" s="42"/>
      <c r="H117" s="42"/>
      <c r="I117" s="78" t="s">
        <v>24</v>
      </c>
      <c r="J117" s="42" t="s">
        <v>71</v>
      </c>
      <c r="K117" s="100" t="s">
        <v>1649</v>
      </c>
      <c r="L117" s="108"/>
      <c r="M117" s="465" t="s">
        <v>1977</v>
      </c>
      <c r="N117" s="99" t="s">
        <v>1651</v>
      </c>
    </row>
    <row r="118" spans="1:14" s="35" customFormat="1" ht="24" customHeight="1">
      <c r="A118" s="469"/>
      <c r="B118" s="40" t="s">
        <v>1978</v>
      </c>
      <c r="C118" s="40" t="s">
        <v>1979</v>
      </c>
      <c r="D118" s="77" t="s">
        <v>1980</v>
      </c>
      <c r="E118" s="76" t="s">
        <v>1981</v>
      </c>
      <c r="F118" s="76" t="s">
        <v>357</v>
      </c>
      <c r="G118" s="40"/>
      <c r="H118" s="40" t="s">
        <v>1982</v>
      </c>
      <c r="I118" s="76" t="s">
        <v>24</v>
      </c>
      <c r="J118" s="40" t="s">
        <v>1983</v>
      </c>
      <c r="K118" s="97" t="s">
        <v>1984</v>
      </c>
      <c r="L118" s="475" t="s">
        <v>407</v>
      </c>
      <c r="M118" s="466"/>
      <c r="N118" s="101"/>
    </row>
    <row r="119" spans="1:14" s="35" customFormat="1" ht="24">
      <c r="A119" s="469"/>
      <c r="B119" s="40" t="s">
        <v>1985</v>
      </c>
      <c r="C119" s="40" t="s">
        <v>1986</v>
      </c>
      <c r="D119" s="77" t="s">
        <v>1668</v>
      </c>
      <c r="E119" s="76" t="s">
        <v>1669</v>
      </c>
      <c r="F119" s="76" t="s">
        <v>357</v>
      </c>
      <c r="G119" s="40"/>
      <c r="H119" s="40" t="s">
        <v>1987</v>
      </c>
      <c r="I119" s="76" t="s">
        <v>24</v>
      </c>
      <c r="J119" s="40" t="s">
        <v>1671</v>
      </c>
      <c r="K119" s="40" t="s">
        <v>1672</v>
      </c>
      <c r="L119" s="455"/>
      <c r="M119" s="466"/>
      <c r="N119" s="101"/>
    </row>
    <row r="120" spans="1:14" s="35" customFormat="1" ht="24">
      <c r="A120" s="469"/>
      <c r="B120" s="40" t="s">
        <v>1988</v>
      </c>
      <c r="C120" s="40" t="s">
        <v>1989</v>
      </c>
      <c r="D120" s="77" t="s">
        <v>1675</v>
      </c>
      <c r="E120" s="76" t="s">
        <v>1676</v>
      </c>
      <c r="F120" s="76" t="s">
        <v>357</v>
      </c>
      <c r="G120" s="40"/>
      <c r="H120" s="40" t="s">
        <v>366</v>
      </c>
      <c r="I120" s="76" t="s">
        <v>24</v>
      </c>
      <c r="J120" s="40" t="s">
        <v>1139</v>
      </c>
      <c r="K120" s="40" t="s">
        <v>1677</v>
      </c>
      <c r="L120" s="455"/>
      <c r="M120" s="466"/>
      <c r="N120" s="101"/>
    </row>
    <row r="121" spans="1:14" s="36" customFormat="1" ht="36">
      <c r="A121" s="469"/>
      <c r="B121" s="42" t="s">
        <v>1990</v>
      </c>
      <c r="C121" s="42" t="s">
        <v>1991</v>
      </c>
      <c r="D121" s="93" t="s">
        <v>1680</v>
      </c>
      <c r="E121" s="78" t="s">
        <v>1681</v>
      </c>
      <c r="F121" s="78" t="s">
        <v>357</v>
      </c>
      <c r="G121" s="42"/>
      <c r="H121" s="42" t="s">
        <v>366</v>
      </c>
      <c r="I121" s="78" t="s">
        <v>57</v>
      </c>
      <c r="J121" s="103" t="s">
        <v>1682</v>
      </c>
      <c r="K121" s="42" t="s">
        <v>1992</v>
      </c>
      <c r="L121" s="455"/>
      <c r="M121" s="466"/>
      <c r="N121" s="99" t="s">
        <v>1684</v>
      </c>
    </row>
    <row r="122" spans="1:14" s="35" customFormat="1" ht="24">
      <c r="A122" s="469"/>
      <c r="B122" s="40" t="s">
        <v>1993</v>
      </c>
      <c r="C122" s="40" t="s">
        <v>1994</v>
      </c>
      <c r="D122" s="77" t="s">
        <v>1687</v>
      </c>
      <c r="E122" s="96" t="s">
        <v>1688</v>
      </c>
      <c r="F122" s="76" t="s">
        <v>357</v>
      </c>
      <c r="G122" s="40"/>
      <c r="H122" s="40" t="s">
        <v>366</v>
      </c>
      <c r="I122" s="76" t="s">
        <v>24</v>
      </c>
      <c r="J122" s="104" t="s">
        <v>1689</v>
      </c>
      <c r="K122" s="105" t="s">
        <v>1690</v>
      </c>
      <c r="L122" s="455"/>
      <c r="M122" s="466"/>
      <c r="N122" s="101"/>
    </row>
    <row r="123" spans="1:14" s="35" customFormat="1" ht="72">
      <c r="A123" s="469"/>
      <c r="B123" s="112" t="s">
        <v>1995</v>
      </c>
      <c r="C123" s="40" t="s">
        <v>1996</v>
      </c>
      <c r="D123" s="77" t="s">
        <v>1997</v>
      </c>
      <c r="E123" s="76" t="s">
        <v>1998</v>
      </c>
      <c r="F123" s="76" t="s">
        <v>357</v>
      </c>
      <c r="G123" s="40"/>
      <c r="H123" s="40" t="s">
        <v>366</v>
      </c>
      <c r="I123" s="76" t="s">
        <v>24</v>
      </c>
      <c r="J123" s="40" t="s">
        <v>71</v>
      </c>
      <c r="K123" s="40" t="s">
        <v>1999</v>
      </c>
      <c r="L123" s="455"/>
      <c r="M123" s="466"/>
      <c r="N123" s="101"/>
    </row>
    <row r="124" spans="1:14" s="35" customFormat="1" ht="60">
      <c r="A124" s="469"/>
      <c r="B124" s="112" t="s">
        <v>2000</v>
      </c>
      <c r="C124" s="40" t="s">
        <v>2001</v>
      </c>
      <c r="D124" s="77" t="s">
        <v>1693</v>
      </c>
      <c r="E124" s="76" t="s">
        <v>1694</v>
      </c>
      <c r="F124" s="76" t="s">
        <v>357</v>
      </c>
      <c r="G124" s="40"/>
      <c r="H124" s="40" t="s">
        <v>366</v>
      </c>
      <c r="I124" s="76" t="s">
        <v>24</v>
      </c>
      <c r="J124" s="40" t="s">
        <v>1695</v>
      </c>
      <c r="K124" s="40" t="s">
        <v>2002</v>
      </c>
      <c r="L124" s="455"/>
      <c r="M124" s="466"/>
      <c r="N124" s="101"/>
    </row>
    <row r="125" spans="1:14" s="35" customFormat="1" ht="24">
      <c r="A125" s="469"/>
      <c r="B125" s="40" t="s">
        <v>2003</v>
      </c>
      <c r="C125" s="40" t="s">
        <v>2004</v>
      </c>
      <c r="D125" s="77" t="s">
        <v>1699</v>
      </c>
      <c r="E125" s="76" t="s">
        <v>1700</v>
      </c>
      <c r="F125" s="76" t="s">
        <v>357</v>
      </c>
      <c r="G125" s="40"/>
      <c r="H125" s="40" t="s">
        <v>2005</v>
      </c>
      <c r="I125" s="76" t="s">
        <v>24</v>
      </c>
      <c r="J125" s="40" t="s">
        <v>359</v>
      </c>
      <c r="K125" s="40" t="s">
        <v>2006</v>
      </c>
      <c r="L125" s="455"/>
      <c r="M125" s="466"/>
      <c r="N125" s="101"/>
    </row>
    <row r="126" spans="1:14" s="35" customFormat="1" ht="48">
      <c r="A126" s="469"/>
      <c r="B126" s="40" t="s">
        <v>2007</v>
      </c>
      <c r="C126" s="40" t="s">
        <v>2008</v>
      </c>
      <c r="D126" s="77" t="s">
        <v>1705</v>
      </c>
      <c r="E126" s="76" t="s">
        <v>1706</v>
      </c>
      <c r="F126" s="76" t="s">
        <v>357</v>
      </c>
      <c r="G126" s="40"/>
      <c r="H126" s="40" t="s">
        <v>2009</v>
      </c>
      <c r="I126" s="76" t="s">
        <v>24</v>
      </c>
      <c r="J126" s="115" t="s">
        <v>1707</v>
      </c>
      <c r="K126" s="40" t="s">
        <v>1833</v>
      </c>
      <c r="L126" s="455"/>
      <c r="M126" s="466"/>
      <c r="N126" s="101"/>
    </row>
    <row r="127" spans="1:14" s="35" customFormat="1" ht="24">
      <c r="A127" s="469"/>
      <c r="B127" s="40" t="s">
        <v>2010</v>
      </c>
      <c r="C127" s="40" t="s">
        <v>2011</v>
      </c>
      <c r="D127" s="77" t="s">
        <v>1711</v>
      </c>
      <c r="E127" s="76" t="s">
        <v>1712</v>
      </c>
      <c r="F127" s="76" t="s">
        <v>357</v>
      </c>
      <c r="G127" s="40"/>
      <c r="H127" s="40" t="s">
        <v>2012</v>
      </c>
      <c r="I127" s="76" t="s">
        <v>24</v>
      </c>
      <c r="J127" s="40" t="s">
        <v>359</v>
      </c>
      <c r="K127" s="106" t="s">
        <v>1867</v>
      </c>
      <c r="L127" s="455"/>
      <c r="M127" s="466"/>
      <c r="N127" s="101"/>
    </row>
    <row r="128" spans="1:14" s="36" customFormat="1" ht="24" customHeight="1">
      <c r="A128" s="469"/>
      <c r="B128" s="42" t="s">
        <v>2013</v>
      </c>
      <c r="C128" s="42" t="s">
        <v>2014</v>
      </c>
      <c r="D128" s="93" t="s">
        <v>1048</v>
      </c>
      <c r="E128" s="78" t="s">
        <v>1049</v>
      </c>
      <c r="F128" s="78" t="s">
        <v>357</v>
      </c>
      <c r="G128" s="42"/>
      <c r="H128" s="42"/>
      <c r="I128" s="78" t="s">
        <v>24</v>
      </c>
      <c r="J128" s="42" t="s">
        <v>71</v>
      </c>
      <c r="K128" s="100" t="s">
        <v>1649</v>
      </c>
      <c r="L128" s="455"/>
      <c r="M128" s="466"/>
      <c r="N128" s="99" t="s">
        <v>1651</v>
      </c>
    </row>
    <row r="129" spans="1:14" s="35" customFormat="1" ht="22.5" customHeight="1">
      <c r="A129" s="469"/>
      <c r="B129" s="40" t="s">
        <v>2015</v>
      </c>
      <c r="C129" s="40" t="s">
        <v>2016</v>
      </c>
      <c r="D129" s="77" t="s">
        <v>1980</v>
      </c>
      <c r="E129" s="76" t="s">
        <v>1981</v>
      </c>
      <c r="F129" s="76" t="s">
        <v>357</v>
      </c>
      <c r="G129" s="40"/>
      <c r="H129" s="40" t="s">
        <v>2017</v>
      </c>
      <c r="I129" s="76" t="s">
        <v>24</v>
      </c>
      <c r="J129" s="40" t="s">
        <v>1983</v>
      </c>
      <c r="K129" s="97" t="s">
        <v>1984</v>
      </c>
      <c r="L129" s="455"/>
      <c r="M129" s="466"/>
      <c r="N129" s="101"/>
    </row>
    <row r="130" spans="1:14" s="35" customFormat="1" ht="24">
      <c r="A130" s="469"/>
      <c r="B130" s="40" t="s">
        <v>2018</v>
      </c>
      <c r="C130" s="40" t="s">
        <v>2019</v>
      </c>
      <c r="D130" s="77" t="s">
        <v>1668</v>
      </c>
      <c r="E130" s="76" t="s">
        <v>1669</v>
      </c>
      <c r="F130" s="76" t="s">
        <v>357</v>
      </c>
      <c r="G130" s="40"/>
      <c r="H130" s="40" t="s">
        <v>2020</v>
      </c>
      <c r="I130" s="76" t="s">
        <v>24</v>
      </c>
      <c r="J130" s="40" t="s">
        <v>1671</v>
      </c>
      <c r="K130" s="40" t="s">
        <v>1672</v>
      </c>
      <c r="L130" s="455"/>
      <c r="M130" s="466"/>
      <c r="N130" s="101"/>
    </row>
    <row r="131" spans="1:14" s="35" customFormat="1" ht="24">
      <c r="A131" s="469"/>
      <c r="B131" s="40" t="s">
        <v>2021</v>
      </c>
      <c r="C131" s="40" t="s">
        <v>2022</v>
      </c>
      <c r="D131" s="77" t="s">
        <v>1675</v>
      </c>
      <c r="E131" s="76" t="s">
        <v>1676</v>
      </c>
      <c r="F131" s="76" t="s">
        <v>357</v>
      </c>
      <c r="G131" s="40"/>
      <c r="H131" s="40" t="s">
        <v>366</v>
      </c>
      <c r="I131" s="76" t="s">
        <v>24</v>
      </c>
      <c r="J131" s="40" t="s">
        <v>1139</v>
      </c>
      <c r="K131" s="40" t="s">
        <v>1677</v>
      </c>
      <c r="L131" s="455"/>
      <c r="M131" s="466"/>
      <c r="N131" s="101"/>
    </row>
    <row r="132" spans="1:14" s="36" customFormat="1" ht="36">
      <c r="A132" s="469"/>
      <c r="B132" s="42" t="s">
        <v>2023</v>
      </c>
      <c r="C132" s="42" t="s">
        <v>2024</v>
      </c>
      <c r="D132" s="93" t="s">
        <v>1680</v>
      </c>
      <c r="E132" s="78" t="s">
        <v>1681</v>
      </c>
      <c r="F132" s="78" t="s">
        <v>357</v>
      </c>
      <c r="G132" s="42"/>
      <c r="H132" s="42" t="s">
        <v>366</v>
      </c>
      <c r="I132" s="78" t="s">
        <v>57</v>
      </c>
      <c r="J132" s="103" t="s">
        <v>1682</v>
      </c>
      <c r="K132" s="42" t="s">
        <v>2025</v>
      </c>
      <c r="L132" s="455"/>
      <c r="M132" s="466"/>
      <c r="N132" s="99" t="s">
        <v>1684</v>
      </c>
    </row>
    <row r="133" spans="1:14" s="35" customFormat="1" ht="24">
      <c r="A133" s="469"/>
      <c r="B133" s="40" t="s">
        <v>2026</v>
      </c>
      <c r="C133" s="40" t="s">
        <v>2027</v>
      </c>
      <c r="D133" s="77" t="s">
        <v>1687</v>
      </c>
      <c r="E133" s="96" t="s">
        <v>1688</v>
      </c>
      <c r="F133" s="76" t="s">
        <v>357</v>
      </c>
      <c r="G133" s="40"/>
      <c r="H133" s="40" t="s">
        <v>366</v>
      </c>
      <c r="I133" s="76" t="s">
        <v>24</v>
      </c>
      <c r="J133" s="104" t="s">
        <v>1689</v>
      </c>
      <c r="K133" s="105" t="s">
        <v>1690</v>
      </c>
      <c r="L133" s="455"/>
      <c r="M133" s="466"/>
      <c r="N133" s="101"/>
    </row>
    <row r="134" spans="1:14" s="35" customFormat="1" ht="72">
      <c r="A134" s="469"/>
      <c r="B134" s="112" t="s">
        <v>2028</v>
      </c>
      <c r="C134" s="40" t="s">
        <v>2029</v>
      </c>
      <c r="D134" s="77" t="s">
        <v>1997</v>
      </c>
      <c r="E134" s="76" t="s">
        <v>1998</v>
      </c>
      <c r="F134" s="76" t="s">
        <v>357</v>
      </c>
      <c r="G134" s="40"/>
      <c r="H134" s="40" t="s">
        <v>366</v>
      </c>
      <c r="I134" s="76" t="s">
        <v>24</v>
      </c>
      <c r="J134" s="40" t="s">
        <v>71</v>
      </c>
      <c r="K134" s="40" t="s">
        <v>1999</v>
      </c>
      <c r="L134" s="455"/>
      <c r="M134" s="466"/>
      <c r="N134" s="101"/>
    </row>
    <row r="135" spans="1:14" s="35" customFormat="1" ht="60">
      <c r="A135" s="469"/>
      <c r="B135" s="112" t="s">
        <v>2030</v>
      </c>
      <c r="C135" s="40" t="s">
        <v>2031</v>
      </c>
      <c r="D135" s="77" t="s">
        <v>1693</v>
      </c>
      <c r="E135" s="76" t="s">
        <v>1694</v>
      </c>
      <c r="F135" s="76" t="s">
        <v>357</v>
      </c>
      <c r="G135" s="40"/>
      <c r="H135" s="40" t="s">
        <v>366</v>
      </c>
      <c r="I135" s="76" t="s">
        <v>24</v>
      </c>
      <c r="J135" s="40" t="s">
        <v>1695</v>
      </c>
      <c r="K135" s="40" t="s">
        <v>2002</v>
      </c>
      <c r="L135" s="455"/>
      <c r="M135" s="466"/>
      <c r="N135" s="101"/>
    </row>
    <row r="136" spans="1:14" s="35" customFormat="1" ht="24">
      <c r="A136" s="469"/>
      <c r="B136" s="40" t="s">
        <v>2032</v>
      </c>
      <c r="C136" s="40" t="s">
        <v>2033</v>
      </c>
      <c r="D136" s="77" t="s">
        <v>1699</v>
      </c>
      <c r="E136" s="76" t="s">
        <v>1700</v>
      </c>
      <c r="F136" s="76" t="s">
        <v>357</v>
      </c>
      <c r="G136" s="40"/>
      <c r="H136" s="40" t="s">
        <v>2034</v>
      </c>
      <c r="I136" s="76" t="s">
        <v>24</v>
      </c>
      <c r="J136" s="40" t="s">
        <v>359</v>
      </c>
      <c r="K136" s="40" t="s">
        <v>2035</v>
      </c>
      <c r="L136" s="455"/>
      <c r="M136" s="466"/>
      <c r="N136" s="101"/>
    </row>
    <row r="137" spans="1:14" s="35" customFormat="1" ht="48">
      <c r="A137" s="469"/>
      <c r="B137" s="40" t="s">
        <v>2036</v>
      </c>
      <c r="C137" s="40" t="s">
        <v>2037</v>
      </c>
      <c r="D137" s="77" t="s">
        <v>1705</v>
      </c>
      <c r="E137" s="76" t="s">
        <v>1706</v>
      </c>
      <c r="F137" s="76" t="s">
        <v>357</v>
      </c>
      <c r="G137" s="40"/>
      <c r="H137" s="40" t="s">
        <v>2038</v>
      </c>
      <c r="I137" s="76" t="s">
        <v>24</v>
      </c>
      <c r="J137" s="115" t="s">
        <v>1707</v>
      </c>
      <c r="K137" s="40" t="s">
        <v>1833</v>
      </c>
      <c r="L137" s="455"/>
      <c r="M137" s="466"/>
      <c r="N137" s="101"/>
    </row>
    <row r="138" spans="1:14" s="35" customFormat="1" ht="24">
      <c r="A138" s="469"/>
      <c r="B138" s="40" t="s">
        <v>2039</v>
      </c>
      <c r="C138" s="40" t="s">
        <v>2040</v>
      </c>
      <c r="D138" s="77" t="s">
        <v>1711</v>
      </c>
      <c r="E138" s="76" t="s">
        <v>1712</v>
      </c>
      <c r="F138" s="76" t="s">
        <v>357</v>
      </c>
      <c r="G138" s="40"/>
      <c r="H138" s="40" t="s">
        <v>2041</v>
      </c>
      <c r="I138" s="76" t="s">
        <v>24</v>
      </c>
      <c r="J138" s="40" t="s">
        <v>359</v>
      </c>
      <c r="K138" s="106" t="s">
        <v>2042</v>
      </c>
      <c r="L138" s="455"/>
      <c r="M138" s="466"/>
      <c r="N138" s="101"/>
    </row>
    <row r="139" spans="1:14" s="36" customFormat="1" ht="24" customHeight="1">
      <c r="A139" s="469"/>
      <c r="B139" s="42" t="s">
        <v>2043</v>
      </c>
      <c r="C139" s="42" t="s">
        <v>2044</v>
      </c>
      <c r="D139" s="93" t="s">
        <v>1048</v>
      </c>
      <c r="E139" s="78" t="s">
        <v>1049</v>
      </c>
      <c r="F139" s="78" t="s">
        <v>789</v>
      </c>
      <c r="G139" s="42"/>
      <c r="H139" s="42"/>
      <c r="I139" s="78" t="s">
        <v>24</v>
      </c>
      <c r="J139" s="42" t="s">
        <v>71</v>
      </c>
      <c r="K139" s="100" t="s">
        <v>1649</v>
      </c>
      <c r="L139" s="109"/>
      <c r="M139" s="466"/>
      <c r="N139" s="99" t="s">
        <v>1651</v>
      </c>
    </row>
    <row r="140" spans="1:14" s="35" customFormat="1" ht="24" customHeight="1">
      <c r="A140" s="469"/>
      <c r="B140" s="40" t="s">
        <v>2045</v>
      </c>
      <c r="C140" s="40" t="s">
        <v>2046</v>
      </c>
      <c r="D140" s="77" t="s">
        <v>1980</v>
      </c>
      <c r="E140" s="76" t="s">
        <v>1981</v>
      </c>
      <c r="F140" s="76" t="s">
        <v>789</v>
      </c>
      <c r="G140" s="40"/>
      <c r="H140" s="40"/>
      <c r="I140" s="76" t="s">
        <v>24</v>
      </c>
      <c r="J140" s="40" t="s">
        <v>1983</v>
      </c>
      <c r="K140" s="97" t="s">
        <v>1984</v>
      </c>
      <c r="L140" s="474"/>
      <c r="M140" s="466"/>
      <c r="N140" s="101"/>
    </row>
    <row r="141" spans="1:14" s="35" customFormat="1" ht="24">
      <c r="A141" s="469"/>
      <c r="B141" s="40" t="s">
        <v>2047</v>
      </c>
      <c r="C141" s="40" t="s">
        <v>2048</v>
      </c>
      <c r="D141" s="77" t="s">
        <v>1668</v>
      </c>
      <c r="E141" s="76" t="s">
        <v>1669</v>
      </c>
      <c r="F141" s="76" t="s">
        <v>789</v>
      </c>
      <c r="G141" s="40"/>
      <c r="H141" s="40"/>
      <c r="I141" s="76" t="s">
        <v>24</v>
      </c>
      <c r="J141" s="40" t="s">
        <v>1671</v>
      </c>
      <c r="K141" s="40" t="s">
        <v>1672</v>
      </c>
      <c r="L141" s="403"/>
      <c r="M141" s="466"/>
      <c r="N141" s="101"/>
    </row>
    <row r="142" spans="1:14" s="35" customFormat="1" ht="24">
      <c r="A142" s="469"/>
      <c r="B142" s="40" t="s">
        <v>2049</v>
      </c>
      <c r="C142" s="40" t="s">
        <v>2050</v>
      </c>
      <c r="D142" s="77" t="s">
        <v>1675</v>
      </c>
      <c r="E142" s="76" t="s">
        <v>1676</v>
      </c>
      <c r="F142" s="76" t="s">
        <v>789</v>
      </c>
      <c r="G142" s="40"/>
      <c r="H142" s="40"/>
      <c r="I142" s="76" t="s">
        <v>24</v>
      </c>
      <c r="J142" s="40" t="s">
        <v>1139</v>
      </c>
      <c r="K142" s="40" t="s">
        <v>1677</v>
      </c>
      <c r="L142" s="403"/>
      <c r="M142" s="466"/>
      <c r="N142" s="101"/>
    </row>
    <row r="143" spans="1:14" s="36" customFormat="1" ht="24">
      <c r="A143" s="469"/>
      <c r="B143" s="42" t="s">
        <v>2051</v>
      </c>
      <c r="C143" s="42" t="s">
        <v>2052</v>
      </c>
      <c r="D143" s="93" t="s">
        <v>1680</v>
      </c>
      <c r="E143" s="78" t="s">
        <v>1681</v>
      </c>
      <c r="F143" s="78" t="s">
        <v>789</v>
      </c>
      <c r="G143" s="42"/>
      <c r="H143" s="42"/>
      <c r="I143" s="110" t="s">
        <v>57</v>
      </c>
      <c r="J143" s="103" t="s">
        <v>1682</v>
      </c>
      <c r="K143" s="42" t="s">
        <v>1785</v>
      </c>
      <c r="L143" s="403"/>
      <c r="M143" s="466"/>
      <c r="N143" s="99" t="s">
        <v>1684</v>
      </c>
    </row>
    <row r="144" spans="1:14" s="35" customFormat="1" ht="24">
      <c r="A144" s="469"/>
      <c r="B144" s="40" t="s">
        <v>2053</v>
      </c>
      <c r="C144" s="40" t="s">
        <v>2054</v>
      </c>
      <c r="D144" s="77" t="s">
        <v>1687</v>
      </c>
      <c r="E144" s="96" t="s">
        <v>1688</v>
      </c>
      <c r="F144" s="76" t="s">
        <v>789</v>
      </c>
      <c r="G144" s="40"/>
      <c r="H144" s="40"/>
      <c r="I144" s="76" t="s">
        <v>24</v>
      </c>
      <c r="J144" s="104" t="s">
        <v>1689</v>
      </c>
      <c r="K144" s="105" t="s">
        <v>1690</v>
      </c>
      <c r="L144" s="403"/>
      <c r="M144" s="466"/>
      <c r="N144" s="101"/>
    </row>
    <row r="145" spans="1:14" s="35" customFormat="1" ht="72">
      <c r="A145" s="469"/>
      <c r="B145" s="112" t="s">
        <v>2055</v>
      </c>
      <c r="C145" s="40" t="s">
        <v>2056</v>
      </c>
      <c r="D145" s="77" t="s">
        <v>1997</v>
      </c>
      <c r="E145" s="76" t="s">
        <v>1998</v>
      </c>
      <c r="F145" s="76" t="s">
        <v>789</v>
      </c>
      <c r="G145" s="40"/>
      <c r="H145" s="40"/>
      <c r="I145" s="76" t="s">
        <v>24</v>
      </c>
      <c r="J145" s="40" t="s">
        <v>71</v>
      </c>
      <c r="K145" s="40" t="s">
        <v>1999</v>
      </c>
      <c r="L145" s="403"/>
      <c r="M145" s="466"/>
      <c r="N145" s="101"/>
    </row>
    <row r="146" spans="1:14" s="35" customFormat="1" ht="60">
      <c r="A146" s="469"/>
      <c r="B146" s="112" t="s">
        <v>2057</v>
      </c>
      <c r="C146" s="40" t="s">
        <v>2058</v>
      </c>
      <c r="D146" s="77" t="s">
        <v>1693</v>
      </c>
      <c r="E146" s="76" t="s">
        <v>1694</v>
      </c>
      <c r="F146" s="76" t="s">
        <v>789</v>
      </c>
      <c r="G146" s="40"/>
      <c r="H146" s="40"/>
      <c r="I146" s="76" t="s">
        <v>24</v>
      </c>
      <c r="J146" s="40" t="s">
        <v>1695</v>
      </c>
      <c r="K146" s="40" t="s">
        <v>2002</v>
      </c>
      <c r="L146" s="403"/>
      <c r="M146" s="466"/>
      <c r="N146" s="101"/>
    </row>
    <row r="147" spans="1:14" s="35" customFormat="1" ht="24">
      <c r="A147" s="469"/>
      <c r="B147" s="40" t="s">
        <v>2059</v>
      </c>
      <c r="C147" s="40" t="s">
        <v>2060</v>
      </c>
      <c r="D147" s="77" t="s">
        <v>1699</v>
      </c>
      <c r="E147" s="76" t="s">
        <v>1700</v>
      </c>
      <c r="F147" s="76" t="s">
        <v>789</v>
      </c>
      <c r="G147" s="40"/>
      <c r="H147" s="40"/>
      <c r="I147" s="76" t="s">
        <v>24</v>
      </c>
      <c r="J147" s="40" t="s">
        <v>359</v>
      </c>
      <c r="K147" s="40" t="s">
        <v>2006</v>
      </c>
      <c r="L147" s="403"/>
      <c r="M147" s="466"/>
      <c r="N147" s="101"/>
    </row>
    <row r="148" spans="1:14" s="35" customFormat="1" ht="48">
      <c r="A148" s="469"/>
      <c r="B148" s="40" t="s">
        <v>2061</v>
      </c>
      <c r="C148" s="40" t="s">
        <v>2062</v>
      </c>
      <c r="D148" s="77" t="s">
        <v>1705</v>
      </c>
      <c r="E148" s="76" t="s">
        <v>1706</v>
      </c>
      <c r="F148" s="76" t="s">
        <v>789</v>
      </c>
      <c r="G148" s="40"/>
      <c r="H148" s="40"/>
      <c r="I148" s="76" t="s">
        <v>24</v>
      </c>
      <c r="J148" s="115" t="s">
        <v>1707</v>
      </c>
      <c r="K148" s="40" t="s">
        <v>1833</v>
      </c>
      <c r="L148" s="403"/>
      <c r="M148" s="466"/>
      <c r="N148" s="101"/>
    </row>
    <row r="149" spans="1:14" s="35" customFormat="1" ht="24">
      <c r="A149" s="477"/>
      <c r="B149" s="40" t="s">
        <v>2063</v>
      </c>
      <c r="C149" s="40" t="s">
        <v>2064</v>
      </c>
      <c r="D149" s="77" t="s">
        <v>1711</v>
      </c>
      <c r="E149" s="76" t="s">
        <v>1712</v>
      </c>
      <c r="F149" s="76" t="s">
        <v>789</v>
      </c>
      <c r="G149" s="40"/>
      <c r="H149" s="40"/>
      <c r="I149" s="76" t="s">
        <v>24</v>
      </c>
      <c r="J149" s="40" t="s">
        <v>359</v>
      </c>
      <c r="K149" s="106" t="s">
        <v>1867</v>
      </c>
      <c r="L149" s="404"/>
      <c r="M149" s="467"/>
      <c r="N149" s="101"/>
    </row>
    <row r="150" spans="1:14" s="36" customFormat="1" ht="24" customHeight="1">
      <c r="A150" s="476" t="s">
        <v>2065</v>
      </c>
      <c r="B150" s="42" t="s">
        <v>2066</v>
      </c>
      <c r="C150" s="42" t="s">
        <v>2067</v>
      </c>
      <c r="D150" s="93" t="s">
        <v>1048</v>
      </c>
      <c r="E150" s="78" t="s">
        <v>1049</v>
      </c>
      <c r="F150" s="78" t="s">
        <v>357</v>
      </c>
      <c r="G150" s="42"/>
      <c r="H150" s="42"/>
      <c r="I150" s="78" t="s">
        <v>24</v>
      </c>
      <c r="J150" s="42" t="s">
        <v>71</v>
      </c>
      <c r="K150" s="100" t="s">
        <v>1649</v>
      </c>
      <c r="L150" s="109"/>
      <c r="M150" s="465" t="s">
        <v>2068</v>
      </c>
      <c r="N150" s="99" t="s">
        <v>1651</v>
      </c>
    </row>
    <row r="151" spans="1:14" s="35" customFormat="1" ht="24" customHeight="1">
      <c r="A151" s="469"/>
      <c r="B151" s="40" t="s">
        <v>2069</v>
      </c>
      <c r="C151" s="40" t="s">
        <v>2070</v>
      </c>
      <c r="D151" s="77" t="s">
        <v>2071</v>
      </c>
      <c r="E151" s="76" t="s">
        <v>2072</v>
      </c>
      <c r="F151" s="76" t="s">
        <v>357</v>
      </c>
      <c r="G151" s="40"/>
      <c r="H151" s="40" t="s">
        <v>2073</v>
      </c>
      <c r="I151" s="76" t="s">
        <v>24</v>
      </c>
      <c r="J151" s="40" t="s">
        <v>1644</v>
      </c>
      <c r="K151" s="40" t="s">
        <v>2074</v>
      </c>
      <c r="L151" s="475" t="s">
        <v>407</v>
      </c>
      <c r="M151" s="466"/>
      <c r="N151" s="101"/>
    </row>
    <row r="152" spans="1:14" s="35" customFormat="1" ht="24">
      <c r="A152" s="469"/>
      <c r="B152" s="40" t="s">
        <v>2075</v>
      </c>
      <c r="C152" s="40" t="s">
        <v>2076</v>
      </c>
      <c r="D152" s="77" t="s">
        <v>2077</v>
      </c>
      <c r="E152" s="76" t="s">
        <v>2078</v>
      </c>
      <c r="F152" s="76" t="s">
        <v>357</v>
      </c>
      <c r="G152" s="40"/>
      <c r="H152" s="40" t="s">
        <v>2073</v>
      </c>
      <c r="I152" s="76" t="s">
        <v>24</v>
      </c>
      <c r="J152" s="40" t="s">
        <v>1664</v>
      </c>
      <c r="K152" s="40" t="s">
        <v>2079</v>
      </c>
      <c r="L152" s="455"/>
      <c r="M152" s="466"/>
      <c r="N152" s="101"/>
    </row>
    <row r="153" spans="1:14" s="35" customFormat="1" ht="24">
      <c r="A153" s="469"/>
      <c r="B153" s="40" t="s">
        <v>2080</v>
      </c>
      <c r="C153" s="40" t="s">
        <v>2081</v>
      </c>
      <c r="D153" s="77" t="s">
        <v>1668</v>
      </c>
      <c r="E153" s="76" t="s">
        <v>1669</v>
      </c>
      <c r="F153" s="76" t="s">
        <v>357</v>
      </c>
      <c r="G153" s="40"/>
      <c r="H153" s="40" t="s">
        <v>2082</v>
      </c>
      <c r="I153" s="76" t="s">
        <v>24</v>
      </c>
      <c r="J153" s="40" t="s">
        <v>1664</v>
      </c>
      <c r="K153" s="40" t="s">
        <v>2083</v>
      </c>
      <c r="L153" s="455"/>
      <c r="M153" s="466"/>
      <c r="N153" s="101"/>
    </row>
    <row r="154" spans="1:14" s="35" customFormat="1" ht="24">
      <c r="A154" s="469"/>
      <c r="B154" s="40" t="s">
        <v>2084</v>
      </c>
      <c r="C154" s="40" t="s">
        <v>2085</v>
      </c>
      <c r="D154" s="77" t="s">
        <v>1675</v>
      </c>
      <c r="E154" s="76" t="s">
        <v>1676</v>
      </c>
      <c r="F154" s="76" t="s">
        <v>357</v>
      </c>
      <c r="G154" s="40"/>
      <c r="H154" s="40" t="s">
        <v>366</v>
      </c>
      <c r="I154" s="76" t="s">
        <v>24</v>
      </c>
      <c r="J154" s="40" t="s">
        <v>1139</v>
      </c>
      <c r="K154" s="40" t="s">
        <v>1677</v>
      </c>
      <c r="L154" s="455"/>
      <c r="M154" s="466"/>
      <c r="N154" s="101"/>
    </row>
    <row r="155" spans="1:14" s="36" customFormat="1" ht="36">
      <c r="A155" s="469"/>
      <c r="B155" s="42" t="s">
        <v>2086</v>
      </c>
      <c r="C155" s="42" t="s">
        <v>2087</v>
      </c>
      <c r="D155" s="93" t="s">
        <v>1680</v>
      </c>
      <c r="E155" s="78" t="s">
        <v>1681</v>
      </c>
      <c r="F155" s="78" t="s">
        <v>357</v>
      </c>
      <c r="G155" s="42"/>
      <c r="H155" s="42" t="s">
        <v>366</v>
      </c>
      <c r="I155" s="78" t="s">
        <v>57</v>
      </c>
      <c r="J155" s="103" t="s">
        <v>1682</v>
      </c>
      <c r="K155" s="42" t="s">
        <v>1683</v>
      </c>
      <c r="L155" s="455"/>
      <c r="M155" s="466"/>
      <c r="N155" s="99" t="s">
        <v>1684</v>
      </c>
    </row>
    <row r="156" spans="1:14" s="35" customFormat="1" ht="24">
      <c r="A156" s="469"/>
      <c r="B156" s="40" t="s">
        <v>2088</v>
      </c>
      <c r="C156" s="40" t="s">
        <v>2089</v>
      </c>
      <c r="D156" s="77" t="s">
        <v>1687</v>
      </c>
      <c r="E156" s="96" t="s">
        <v>1688</v>
      </c>
      <c r="F156" s="76" t="s">
        <v>357</v>
      </c>
      <c r="G156" s="40"/>
      <c r="H156" s="40" t="s">
        <v>366</v>
      </c>
      <c r="I156" s="76" t="s">
        <v>24</v>
      </c>
      <c r="J156" s="104" t="s">
        <v>1689</v>
      </c>
      <c r="K156" s="105" t="s">
        <v>1690</v>
      </c>
      <c r="L156" s="455"/>
      <c r="M156" s="466"/>
      <c r="N156" s="101"/>
    </row>
    <row r="157" spans="1:14" s="35" customFormat="1" ht="60">
      <c r="A157" s="469"/>
      <c r="B157" s="40" t="s">
        <v>2090</v>
      </c>
      <c r="C157" s="40" t="s">
        <v>2091</v>
      </c>
      <c r="D157" s="77" t="s">
        <v>1693</v>
      </c>
      <c r="E157" s="76" t="s">
        <v>1694</v>
      </c>
      <c r="F157" s="76" t="s">
        <v>357</v>
      </c>
      <c r="G157" s="40"/>
      <c r="H157" s="40" t="s">
        <v>366</v>
      </c>
      <c r="I157" s="76" t="s">
        <v>24</v>
      </c>
      <c r="J157" s="40" t="s">
        <v>1695</v>
      </c>
      <c r="K157" s="40" t="s">
        <v>1762</v>
      </c>
      <c r="L157" s="455"/>
      <c r="M157" s="466"/>
      <c r="N157" s="101"/>
    </row>
    <row r="158" spans="1:14" s="35" customFormat="1" ht="24">
      <c r="A158" s="469"/>
      <c r="B158" s="40" t="s">
        <v>2092</v>
      </c>
      <c r="C158" s="40" t="s">
        <v>2093</v>
      </c>
      <c r="D158" s="77" t="s">
        <v>1699</v>
      </c>
      <c r="E158" s="76" t="s">
        <v>1700</v>
      </c>
      <c r="F158" s="76" t="s">
        <v>357</v>
      </c>
      <c r="G158" s="40"/>
      <c r="H158" s="40" t="s">
        <v>2094</v>
      </c>
      <c r="I158" s="76" t="s">
        <v>24</v>
      </c>
      <c r="J158" s="40" t="s">
        <v>359</v>
      </c>
      <c r="K158" s="40" t="s">
        <v>2035</v>
      </c>
      <c r="L158" s="455"/>
      <c r="M158" s="466"/>
      <c r="N158" s="101"/>
    </row>
    <row r="159" spans="1:14" s="35" customFormat="1" ht="48">
      <c r="A159" s="469"/>
      <c r="B159" s="40" t="s">
        <v>2095</v>
      </c>
      <c r="C159" s="40" t="s">
        <v>2096</v>
      </c>
      <c r="D159" s="77" t="s">
        <v>1705</v>
      </c>
      <c r="E159" s="76" t="s">
        <v>1706</v>
      </c>
      <c r="F159" s="76" t="s">
        <v>357</v>
      </c>
      <c r="G159" s="40"/>
      <c r="H159" s="40" t="s">
        <v>2097</v>
      </c>
      <c r="I159" s="76" t="s">
        <v>24</v>
      </c>
      <c r="J159" s="115" t="s">
        <v>1707</v>
      </c>
      <c r="K159" s="40" t="s">
        <v>1833</v>
      </c>
      <c r="L159" s="455"/>
      <c r="M159" s="466"/>
      <c r="N159" s="101"/>
    </row>
    <row r="160" spans="1:14" s="35" customFormat="1" ht="24">
      <c r="A160" s="469"/>
      <c r="B160" s="40" t="s">
        <v>2098</v>
      </c>
      <c r="C160" s="40" t="s">
        <v>2099</v>
      </c>
      <c r="D160" s="77" t="s">
        <v>1711</v>
      </c>
      <c r="E160" s="76" t="s">
        <v>1712</v>
      </c>
      <c r="F160" s="76" t="s">
        <v>357</v>
      </c>
      <c r="G160" s="40"/>
      <c r="H160" s="40" t="s">
        <v>2100</v>
      </c>
      <c r="I160" s="76" t="s">
        <v>24</v>
      </c>
      <c r="J160" s="40" t="s">
        <v>359</v>
      </c>
      <c r="K160" s="106" t="s">
        <v>2101</v>
      </c>
      <c r="L160" s="455"/>
      <c r="M160" s="466"/>
      <c r="N160" s="101"/>
    </row>
    <row r="161" spans="1:14" s="36" customFormat="1" ht="24" customHeight="1">
      <c r="A161" s="469"/>
      <c r="B161" s="42" t="s">
        <v>2102</v>
      </c>
      <c r="C161" s="42" t="s">
        <v>2103</v>
      </c>
      <c r="D161" s="93" t="s">
        <v>1048</v>
      </c>
      <c r="E161" s="78" t="s">
        <v>1049</v>
      </c>
      <c r="F161" s="78" t="s">
        <v>789</v>
      </c>
      <c r="G161" s="42"/>
      <c r="H161" s="42"/>
      <c r="I161" s="78" t="s">
        <v>24</v>
      </c>
      <c r="J161" s="42" t="s">
        <v>71</v>
      </c>
      <c r="K161" s="100" t="s">
        <v>1649</v>
      </c>
      <c r="L161" s="109"/>
      <c r="M161" s="466"/>
      <c r="N161" s="99" t="s">
        <v>1651</v>
      </c>
    </row>
    <row r="162" spans="1:14" s="35" customFormat="1" ht="24" customHeight="1">
      <c r="A162" s="469"/>
      <c r="B162" s="40" t="s">
        <v>2104</v>
      </c>
      <c r="C162" s="40" t="s">
        <v>2105</v>
      </c>
      <c r="D162" s="77" t="s">
        <v>2071</v>
      </c>
      <c r="E162" s="76" t="s">
        <v>2072</v>
      </c>
      <c r="F162" s="76" t="s">
        <v>789</v>
      </c>
      <c r="G162" s="40"/>
      <c r="H162" s="40"/>
      <c r="I162" s="76" t="s">
        <v>24</v>
      </c>
      <c r="J162" s="40" t="s">
        <v>1644</v>
      </c>
      <c r="K162" s="40" t="s">
        <v>2074</v>
      </c>
      <c r="L162" s="475"/>
      <c r="M162" s="466"/>
      <c r="N162" s="101"/>
    </row>
    <row r="163" spans="1:14" s="35" customFormat="1" ht="24">
      <c r="A163" s="469"/>
      <c r="B163" s="40" t="s">
        <v>2106</v>
      </c>
      <c r="C163" s="40" t="s">
        <v>2107</v>
      </c>
      <c r="D163" s="77" t="s">
        <v>2077</v>
      </c>
      <c r="E163" s="76" t="s">
        <v>2078</v>
      </c>
      <c r="F163" s="76" t="s">
        <v>789</v>
      </c>
      <c r="G163" s="40"/>
      <c r="H163" s="40"/>
      <c r="I163" s="76" t="s">
        <v>24</v>
      </c>
      <c r="J163" s="40" t="s">
        <v>1664</v>
      </c>
      <c r="K163" s="40" t="s">
        <v>2079</v>
      </c>
      <c r="L163" s="455"/>
      <c r="M163" s="466"/>
      <c r="N163" s="101"/>
    </row>
    <row r="164" spans="1:14" s="35" customFormat="1" ht="24">
      <c r="A164" s="469"/>
      <c r="B164" s="40" t="s">
        <v>2108</v>
      </c>
      <c r="C164" s="40" t="s">
        <v>2109</v>
      </c>
      <c r="D164" s="77" t="s">
        <v>1668</v>
      </c>
      <c r="E164" s="76" t="s">
        <v>1669</v>
      </c>
      <c r="F164" s="76" t="s">
        <v>789</v>
      </c>
      <c r="G164" s="40"/>
      <c r="H164" s="40"/>
      <c r="I164" s="76" t="s">
        <v>24</v>
      </c>
      <c r="J164" s="40" t="s">
        <v>1664</v>
      </c>
      <c r="K164" s="40" t="s">
        <v>2083</v>
      </c>
      <c r="L164" s="455"/>
      <c r="M164" s="466"/>
      <c r="N164" s="101"/>
    </row>
    <row r="165" spans="1:14" s="35" customFormat="1" ht="24">
      <c r="A165" s="469"/>
      <c r="B165" s="40" t="s">
        <v>2110</v>
      </c>
      <c r="C165" s="40" t="s">
        <v>2111</v>
      </c>
      <c r="D165" s="77" t="s">
        <v>1675</v>
      </c>
      <c r="E165" s="76" t="s">
        <v>1676</v>
      </c>
      <c r="F165" s="76" t="s">
        <v>789</v>
      </c>
      <c r="G165" s="40"/>
      <c r="H165" s="40"/>
      <c r="I165" s="76" t="s">
        <v>24</v>
      </c>
      <c r="J165" s="40" t="s">
        <v>1139</v>
      </c>
      <c r="K165" s="40" t="s">
        <v>1677</v>
      </c>
      <c r="L165" s="455"/>
      <c r="M165" s="466"/>
      <c r="N165" s="101"/>
    </row>
    <row r="166" spans="1:14" s="36" customFormat="1" ht="24">
      <c r="A166" s="469"/>
      <c r="B166" s="42" t="s">
        <v>2112</v>
      </c>
      <c r="C166" s="42" t="s">
        <v>2113</v>
      </c>
      <c r="D166" s="93" t="s">
        <v>1680</v>
      </c>
      <c r="E166" s="78" t="s">
        <v>1681</v>
      </c>
      <c r="F166" s="78" t="s">
        <v>789</v>
      </c>
      <c r="G166" s="42"/>
      <c r="H166" s="42"/>
      <c r="I166" s="110" t="s">
        <v>57</v>
      </c>
      <c r="J166" s="103" t="s">
        <v>1682</v>
      </c>
      <c r="K166" s="42" t="s">
        <v>1785</v>
      </c>
      <c r="L166" s="455"/>
      <c r="M166" s="466"/>
      <c r="N166" s="99" t="s">
        <v>1684</v>
      </c>
    </row>
    <row r="167" spans="1:14" s="35" customFormat="1" ht="24">
      <c r="A167" s="469"/>
      <c r="B167" s="40" t="s">
        <v>2114</v>
      </c>
      <c r="C167" s="40" t="s">
        <v>2115</v>
      </c>
      <c r="D167" s="77" t="s">
        <v>1687</v>
      </c>
      <c r="E167" s="96" t="s">
        <v>1688</v>
      </c>
      <c r="F167" s="76" t="s">
        <v>789</v>
      </c>
      <c r="G167" s="40"/>
      <c r="H167" s="40"/>
      <c r="I167" s="76" t="s">
        <v>24</v>
      </c>
      <c r="J167" s="104" t="s">
        <v>1689</v>
      </c>
      <c r="K167" s="105" t="s">
        <v>1690</v>
      </c>
      <c r="L167" s="455"/>
      <c r="M167" s="466"/>
      <c r="N167" s="101"/>
    </row>
    <row r="168" spans="1:14" s="35" customFormat="1" ht="60">
      <c r="A168" s="469"/>
      <c r="B168" s="40" t="s">
        <v>2116</v>
      </c>
      <c r="C168" s="40" t="s">
        <v>2117</v>
      </c>
      <c r="D168" s="77" t="s">
        <v>1693</v>
      </c>
      <c r="E168" s="76" t="s">
        <v>1694</v>
      </c>
      <c r="F168" s="76" t="s">
        <v>789</v>
      </c>
      <c r="G168" s="40"/>
      <c r="H168" s="40"/>
      <c r="I168" s="76" t="s">
        <v>24</v>
      </c>
      <c r="J168" s="40" t="s">
        <v>1695</v>
      </c>
      <c r="K168" s="40" t="s">
        <v>1762</v>
      </c>
      <c r="L168" s="455"/>
      <c r="M168" s="466"/>
      <c r="N168" s="101"/>
    </row>
    <row r="169" spans="1:14" s="35" customFormat="1" ht="24">
      <c r="A169" s="469"/>
      <c r="B169" s="40" t="s">
        <v>2118</v>
      </c>
      <c r="C169" s="40" t="s">
        <v>2119</v>
      </c>
      <c r="D169" s="77" t="s">
        <v>1699</v>
      </c>
      <c r="E169" s="76" t="s">
        <v>1700</v>
      </c>
      <c r="F169" s="76" t="s">
        <v>789</v>
      </c>
      <c r="G169" s="40"/>
      <c r="H169" s="40"/>
      <c r="I169" s="76" t="s">
        <v>24</v>
      </c>
      <c r="J169" s="40" t="s">
        <v>359</v>
      </c>
      <c r="K169" s="40" t="s">
        <v>2035</v>
      </c>
      <c r="L169" s="455"/>
      <c r="M169" s="466"/>
      <c r="N169" s="101"/>
    </row>
    <row r="170" spans="1:14" s="35" customFormat="1" ht="48">
      <c r="A170" s="469"/>
      <c r="B170" s="40" t="s">
        <v>2120</v>
      </c>
      <c r="C170" s="40" t="s">
        <v>2121</v>
      </c>
      <c r="D170" s="77" t="s">
        <v>1705</v>
      </c>
      <c r="E170" s="76" t="s">
        <v>1706</v>
      </c>
      <c r="F170" s="76" t="s">
        <v>789</v>
      </c>
      <c r="G170" s="40"/>
      <c r="H170" s="40"/>
      <c r="I170" s="76" t="s">
        <v>24</v>
      </c>
      <c r="J170" s="115" t="s">
        <v>1707</v>
      </c>
      <c r="K170" s="40" t="s">
        <v>1833</v>
      </c>
      <c r="L170" s="455"/>
      <c r="M170" s="466"/>
      <c r="N170" s="101"/>
    </row>
    <row r="171" spans="1:14" s="35" customFormat="1" ht="24">
      <c r="A171" s="477"/>
      <c r="B171" s="40" t="s">
        <v>2122</v>
      </c>
      <c r="C171" s="40" t="s">
        <v>2123</v>
      </c>
      <c r="D171" s="77" t="s">
        <v>1711</v>
      </c>
      <c r="E171" s="76" t="s">
        <v>1712</v>
      </c>
      <c r="F171" s="76" t="s">
        <v>789</v>
      </c>
      <c r="G171" s="40"/>
      <c r="H171" s="40"/>
      <c r="I171" s="76" t="s">
        <v>24</v>
      </c>
      <c r="J171" s="40" t="s">
        <v>359</v>
      </c>
      <c r="K171" s="106" t="s">
        <v>2101</v>
      </c>
      <c r="L171" s="455"/>
      <c r="M171" s="467"/>
      <c r="N171" s="101"/>
    </row>
    <row r="172" spans="1:14" s="36" customFormat="1" ht="24" customHeight="1">
      <c r="A172" s="476" t="s">
        <v>2124</v>
      </c>
      <c r="B172" s="42" t="s">
        <v>2125</v>
      </c>
      <c r="C172" s="42" t="s">
        <v>2126</v>
      </c>
      <c r="D172" s="93" t="s">
        <v>1048</v>
      </c>
      <c r="E172" s="78" t="s">
        <v>1049</v>
      </c>
      <c r="F172" s="78" t="s">
        <v>357</v>
      </c>
      <c r="G172" s="42"/>
      <c r="H172" s="42"/>
      <c r="I172" s="78" t="s">
        <v>24</v>
      </c>
      <c r="J172" s="42" t="s">
        <v>71</v>
      </c>
      <c r="K172" s="100" t="s">
        <v>1649</v>
      </c>
      <c r="L172" s="109"/>
      <c r="M172" s="465" t="s">
        <v>2127</v>
      </c>
      <c r="N172" s="99" t="s">
        <v>1651</v>
      </c>
    </row>
    <row r="173" spans="1:14" s="35" customFormat="1" ht="24" customHeight="1">
      <c r="A173" s="469"/>
      <c r="B173" s="40" t="s">
        <v>2128</v>
      </c>
      <c r="C173" s="40" t="s">
        <v>2129</v>
      </c>
      <c r="D173" s="77" t="s">
        <v>2130</v>
      </c>
      <c r="E173" s="76" t="s">
        <v>2131</v>
      </c>
      <c r="F173" s="76" t="s">
        <v>357</v>
      </c>
      <c r="G173" s="40"/>
      <c r="H173" s="40" t="s">
        <v>2132</v>
      </c>
      <c r="I173" s="76" t="s">
        <v>24</v>
      </c>
      <c r="J173" s="40" t="s">
        <v>1644</v>
      </c>
      <c r="K173" s="40" t="s">
        <v>2133</v>
      </c>
      <c r="L173" s="472" t="s">
        <v>407</v>
      </c>
      <c r="M173" s="466"/>
      <c r="N173" s="101"/>
    </row>
    <row r="174" spans="1:14" s="35" customFormat="1" ht="24">
      <c r="A174" s="469"/>
      <c r="B174" s="40" t="s">
        <v>2134</v>
      </c>
      <c r="C174" s="40" t="s">
        <v>2135</v>
      </c>
      <c r="D174" s="77" t="s">
        <v>2136</v>
      </c>
      <c r="E174" s="76" t="s">
        <v>2137</v>
      </c>
      <c r="F174" s="76" t="s">
        <v>357</v>
      </c>
      <c r="G174" s="40"/>
      <c r="H174" s="40" t="s">
        <v>2132</v>
      </c>
      <c r="I174" s="76" t="s">
        <v>24</v>
      </c>
      <c r="J174" s="40" t="s">
        <v>1664</v>
      </c>
      <c r="K174" s="40" t="s">
        <v>2138</v>
      </c>
      <c r="L174" s="473"/>
      <c r="M174" s="466"/>
      <c r="N174" s="101"/>
    </row>
    <row r="175" spans="1:14" s="35" customFormat="1" ht="24">
      <c r="A175" s="469"/>
      <c r="B175" s="40" t="s">
        <v>2139</v>
      </c>
      <c r="C175" s="40" t="s">
        <v>2140</v>
      </c>
      <c r="D175" s="77" t="s">
        <v>2141</v>
      </c>
      <c r="E175" s="76" t="s">
        <v>2142</v>
      </c>
      <c r="F175" s="76" t="s">
        <v>357</v>
      </c>
      <c r="G175" s="40"/>
      <c r="H175" s="40" t="s">
        <v>2143</v>
      </c>
      <c r="I175" s="76" t="s">
        <v>24</v>
      </c>
      <c r="J175" s="40" t="s">
        <v>1644</v>
      </c>
      <c r="K175" s="40" t="s">
        <v>2144</v>
      </c>
      <c r="L175" s="473"/>
      <c r="M175" s="466"/>
      <c r="N175" s="101"/>
    </row>
    <row r="176" spans="1:14" s="35" customFormat="1" ht="24">
      <c r="A176" s="469"/>
      <c r="B176" s="40" t="s">
        <v>2145</v>
      </c>
      <c r="C176" s="40" t="s">
        <v>2146</v>
      </c>
      <c r="D176" s="77" t="s">
        <v>2147</v>
      </c>
      <c r="E176" s="76" t="s">
        <v>2148</v>
      </c>
      <c r="F176" s="76" t="s">
        <v>357</v>
      </c>
      <c r="G176" s="40"/>
      <c r="H176" s="40" t="s">
        <v>2143</v>
      </c>
      <c r="I176" s="76" t="s">
        <v>24</v>
      </c>
      <c r="J176" s="40" t="s">
        <v>1664</v>
      </c>
      <c r="K176" s="40" t="s">
        <v>2149</v>
      </c>
      <c r="L176" s="473"/>
      <c r="M176" s="466"/>
      <c r="N176" s="101"/>
    </row>
    <row r="177" spans="1:14" s="35" customFormat="1" ht="24">
      <c r="A177" s="469"/>
      <c r="B177" s="40" t="s">
        <v>2150</v>
      </c>
      <c r="C177" s="40" t="s">
        <v>2151</v>
      </c>
      <c r="D177" s="77" t="s">
        <v>1668</v>
      </c>
      <c r="E177" s="76" t="s">
        <v>1669</v>
      </c>
      <c r="F177" s="76" t="s">
        <v>357</v>
      </c>
      <c r="G177" s="40"/>
      <c r="H177" s="40" t="s">
        <v>2152</v>
      </c>
      <c r="I177" s="76" t="s">
        <v>24</v>
      </c>
      <c r="J177" s="40" t="s">
        <v>1671</v>
      </c>
      <c r="K177" s="40" t="s">
        <v>1672</v>
      </c>
      <c r="L177" s="473"/>
      <c r="M177" s="466"/>
      <c r="N177" s="101"/>
    </row>
    <row r="178" spans="1:14" s="35" customFormat="1" ht="24">
      <c r="A178" s="469"/>
      <c r="B178" s="40" t="s">
        <v>2153</v>
      </c>
      <c r="C178" s="40" t="s">
        <v>2154</v>
      </c>
      <c r="D178" s="77" t="s">
        <v>1675</v>
      </c>
      <c r="E178" s="76" t="s">
        <v>1676</v>
      </c>
      <c r="F178" s="76" t="s">
        <v>357</v>
      </c>
      <c r="G178" s="40"/>
      <c r="H178" s="40" t="s">
        <v>366</v>
      </c>
      <c r="I178" s="76" t="s">
        <v>24</v>
      </c>
      <c r="J178" s="40" t="s">
        <v>1139</v>
      </c>
      <c r="K178" s="40" t="s">
        <v>1677</v>
      </c>
      <c r="L178" s="473"/>
      <c r="M178" s="466"/>
      <c r="N178" s="101"/>
    </row>
    <row r="179" spans="1:14" s="36" customFormat="1" ht="36">
      <c r="A179" s="469"/>
      <c r="B179" s="42" t="s">
        <v>2155</v>
      </c>
      <c r="C179" s="42" t="s">
        <v>2156</v>
      </c>
      <c r="D179" s="93" t="s">
        <v>1680</v>
      </c>
      <c r="E179" s="78" t="s">
        <v>1681</v>
      </c>
      <c r="F179" s="78" t="s">
        <v>357</v>
      </c>
      <c r="G179" s="42"/>
      <c r="H179" s="42" t="s">
        <v>366</v>
      </c>
      <c r="I179" s="78" t="s">
        <v>57</v>
      </c>
      <c r="J179" s="103" t="s">
        <v>1682</v>
      </c>
      <c r="K179" s="42" t="s">
        <v>1683</v>
      </c>
      <c r="L179" s="473"/>
      <c r="M179" s="466"/>
      <c r="N179" s="99" t="s">
        <v>1684</v>
      </c>
    </row>
    <row r="180" spans="1:14" s="35" customFormat="1" ht="24">
      <c r="A180" s="469"/>
      <c r="B180" s="40" t="s">
        <v>2157</v>
      </c>
      <c r="C180" s="40" t="s">
        <v>2158</v>
      </c>
      <c r="D180" s="77" t="s">
        <v>1687</v>
      </c>
      <c r="E180" s="96" t="s">
        <v>1688</v>
      </c>
      <c r="F180" s="76" t="s">
        <v>357</v>
      </c>
      <c r="G180" s="40"/>
      <c r="H180" s="40" t="s">
        <v>366</v>
      </c>
      <c r="I180" s="76" t="s">
        <v>24</v>
      </c>
      <c r="J180" s="104" t="s">
        <v>1689</v>
      </c>
      <c r="K180" s="105" t="s">
        <v>1690</v>
      </c>
      <c r="L180" s="473"/>
      <c r="M180" s="466"/>
      <c r="N180" s="101"/>
    </row>
    <row r="181" spans="1:14" s="35" customFormat="1" ht="60">
      <c r="A181" s="469"/>
      <c r="B181" s="40" t="s">
        <v>2159</v>
      </c>
      <c r="C181" s="40" t="s">
        <v>2160</v>
      </c>
      <c r="D181" s="77" t="s">
        <v>1693</v>
      </c>
      <c r="E181" s="76" t="s">
        <v>1694</v>
      </c>
      <c r="F181" s="76" t="s">
        <v>357</v>
      </c>
      <c r="G181" s="40"/>
      <c r="H181" s="40" t="s">
        <v>366</v>
      </c>
      <c r="I181" s="76" t="s">
        <v>24</v>
      </c>
      <c r="J181" s="40" t="s">
        <v>1695</v>
      </c>
      <c r="K181" s="40" t="s">
        <v>1762</v>
      </c>
      <c r="L181" s="473"/>
      <c r="M181" s="466"/>
      <c r="N181" s="101"/>
    </row>
    <row r="182" spans="1:14" s="35" customFormat="1" ht="24">
      <c r="A182" s="469"/>
      <c r="B182" s="40" t="s">
        <v>2161</v>
      </c>
      <c r="C182" s="40" t="s">
        <v>2162</v>
      </c>
      <c r="D182" s="77" t="s">
        <v>1699</v>
      </c>
      <c r="E182" s="76" t="s">
        <v>1700</v>
      </c>
      <c r="F182" s="76" t="s">
        <v>357</v>
      </c>
      <c r="G182" s="40"/>
      <c r="H182" s="40" t="s">
        <v>2163</v>
      </c>
      <c r="I182" s="76" t="s">
        <v>24</v>
      </c>
      <c r="J182" s="40" t="s">
        <v>359</v>
      </c>
      <c r="K182" s="40" t="s">
        <v>2035</v>
      </c>
      <c r="L182" s="473"/>
      <c r="M182" s="466"/>
      <c r="N182" s="101"/>
    </row>
    <row r="183" spans="1:14" s="35" customFormat="1" ht="48">
      <c r="A183" s="469"/>
      <c r="B183" s="40" t="s">
        <v>2164</v>
      </c>
      <c r="C183" s="40" t="s">
        <v>2165</v>
      </c>
      <c r="D183" s="77" t="s">
        <v>1705</v>
      </c>
      <c r="E183" s="76" t="s">
        <v>1706</v>
      </c>
      <c r="F183" s="76" t="s">
        <v>357</v>
      </c>
      <c r="G183" s="40"/>
      <c r="H183" s="40" t="s">
        <v>2166</v>
      </c>
      <c r="I183" s="76" t="s">
        <v>24</v>
      </c>
      <c r="J183" s="115" t="s">
        <v>1707</v>
      </c>
      <c r="K183" s="40" t="s">
        <v>1833</v>
      </c>
      <c r="L183" s="473"/>
      <c r="M183" s="466"/>
      <c r="N183" s="101"/>
    </row>
    <row r="184" spans="1:14" s="35" customFormat="1" ht="24">
      <c r="A184" s="469"/>
      <c r="B184" s="40" t="s">
        <v>2167</v>
      </c>
      <c r="C184" s="40" t="s">
        <v>2168</v>
      </c>
      <c r="D184" s="77" t="s">
        <v>1711</v>
      </c>
      <c r="E184" s="76" t="s">
        <v>1712</v>
      </c>
      <c r="F184" s="76" t="s">
        <v>357</v>
      </c>
      <c r="G184" s="40"/>
      <c r="H184" s="40" t="s">
        <v>2169</v>
      </c>
      <c r="I184" s="76" t="s">
        <v>24</v>
      </c>
      <c r="J184" s="40" t="s">
        <v>359</v>
      </c>
      <c r="K184" s="106" t="s">
        <v>2042</v>
      </c>
      <c r="L184" s="473"/>
      <c r="M184" s="466"/>
      <c r="N184" s="101"/>
    </row>
    <row r="185" spans="1:14" s="36" customFormat="1" ht="24" customHeight="1">
      <c r="A185" s="469"/>
      <c r="B185" s="42" t="s">
        <v>2170</v>
      </c>
      <c r="C185" s="42" t="s">
        <v>2171</v>
      </c>
      <c r="D185" s="93" t="s">
        <v>1048</v>
      </c>
      <c r="E185" s="78" t="s">
        <v>1049</v>
      </c>
      <c r="F185" s="78" t="s">
        <v>789</v>
      </c>
      <c r="G185" s="42"/>
      <c r="H185" s="42"/>
      <c r="I185" s="78" t="s">
        <v>24</v>
      </c>
      <c r="J185" s="42" t="s">
        <v>71</v>
      </c>
      <c r="K185" s="100" t="s">
        <v>1649</v>
      </c>
      <c r="L185" s="109"/>
      <c r="M185" s="466"/>
      <c r="N185" s="99" t="s">
        <v>1651</v>
      </c>
    </row>
    <row r="186" spans="1:14" s="35" customFormat="1" ht="24" customHeight="1">
      <c r="A186" s="469"/>
      <c r="B186" s="40" t="s">
        <v>2172</v>
      </c>
      <c r="C186" s="40" t="s">
        <v>2173</v>
      </c>
      <c r="D186" s="77" t="s">
        <v>2130</v>
      </c>
      <c r="E186" s="76" t="s">
        <v>2131</v>
      </c>
      <c r="F186" s="76" t="s">
        <v>789</v>
      </c>
      <c r="G186" s="40"/>
      <c r="H186" s="40"/>
      <c r="I186" s="76" t="s">
        <v>24</v>
      </c>
      <c r="J186" s="40" t="s">
        <v>1644</v>
      </c>
      <c r="K186" s="40" t="s">
        <v>2133</v>
      </c>
      <c r="L186" s="472" t="s">
        <v>407</v>
      </c>
      <c r="M186" s="466"/>
      <c r="N186" s="101"/>
    </row>
    <row r="187" spans="1:14" s="35" customFormat="1" ht="24">
      <c r="A187" s="469"/>
      <c r="B187" s="40" t="s">
        <v>2174</v>
      </c>
      <c r="C187" s="40" t="s">
        <v>2175</v>
      </c>
      <c r="D187" s="77" t="s">
        <v>2136</v>
      </c>
      <c r="E187" s="76" t="s">
        <v>2137</v>
      </c>
      <c r="F187" s="76" t="s">
        <v>789</v>
      </c>
      <c r="G187" s="40"/>
      <c r="H187" s="40"/>
      <c r="I187" s="76" t="s">
        <v>24</v>
      </c>
      <c r="J187" s="40" t="s">
        <v>1664</v>
      </c>
      <c r="K187" s="40" t="s">
        <v>2138</v>
      </c>
      <c r="L187" s="473"/>
      <c r="M187" s="466"/>
      <c r="N187" s="101"/>
    </row>
    <row r="188" spans="1:14" s="35" customFormat="1" ht="24">
      <c r="A188" s="469"/>
      <c r="B188" s="40" t="s">
        <v>2176</v>
      </c>
      <c r="C188" s="40" t="s">
        <v>2177</v>
      </c>
      <c r="D188" s="77" t="s">
        <v>2141</v>
      </c>
      <c r="E188" s="76" t="s">
        <v>2142</v>
      </c>
      <c r="F188" s="76" t="s">
        <v>789</v>
      </c>
      <c r="G188" s="40"/>
      <c r="H188" s="40"/>
      <c r="I188" s="76" t="s">
        <v>24</v>
      </c>
      <c r="J188" s="40" t="s">
        <v>1644</v>
      </c>
      <c r="K188" s="40" t="s">
        <v>2144</v>
      </c>
      <c r="L188" s="473"/>
      <c r="M188" s="466"/>
      <c r="N188" s="101"/>
    </row>
    <row r="189" spans="1:14" s="35" customFormat="1" ht="24">
      <c r="A189" s="469"/>
      <c r="B189" s="40" t="s">
        <v>2178</v>
      </c>
      <c r="C189" s="40" t="s">
        <v>2179</v>
      </c>
      <c r="D189" s="77" t="s">
        <v>2147</v>
      </c>
      <c r="E189" s="76" t="s">
        <v>2148</v>
      </c>
      <c r="F189" s="76" t="s">
        <v>789</v>
      </c>
      <c r="G189" s="40"/>
      <c r="H189" s="40"/>
      <c r="I189" s="76" t="s">
        <v>24</v>
      </c>
      <c r="J189" s="40" t="s">
        <v>1664</v>
      </c>
      <c r="K189" s="40" t="s">
        <v>2149</v>
      </c>
      <c r="L189" s="473"/>
      <c r="M189" s="466"/>
      <c r="N189" s="101"/>
    </row>
    <row r="190" spans="1:14" s="35" customFormat="1" ht="24">
      <c r="A190" s="469"/>
      <c r="B190" s="40" t="s">
        <v>2180</v>
      </c>
      <c r="C190" s="40" t="s">
        <v>2181</v>
      </c>
      <c r="D190" s="77" t="s">
        <v>1668</v>
      </c>
      <c r="E190" s="76" t="s">
        <v>1669</v>
      </c>
      <c r="F190" s="76" t="s">
        <v>789</v>
      </c>
      <c r="G190" s="40"/>
      <c r="H190" s="40"/>
      <c r="I190" s="76" t="s">
        <v>24</v>
      </c>
      <c r="J190" s="40" t="s">
        <v>1671</v>
      </c>
      <c r="K190" s="40" t="s">
        <v>1672</v>
      </c>
      <c r="L190" s="473"/>
      <c r="M190" s="466"/>
      <c r="N190" s="101"/>
    </row>
    <row r="191" spans="1:14" s="35" customFormat="1" ht="24">
      <c r="A191" s="469"/>
      <c r="B191" s="40" t="s">
        <v>2182</v>
      </c>
      <c r="C191" s="40" t="s">
        <v>2183</v>
      </c>
      <c r="D191" s="77" t="s">
        <v>1675</v>
      </c>
      <c r="E191" s="76" t="s">
        <v>1676</v>
      </c>
      <c r="F191" s="76" t="s">
        <v>789</v>
      </c>
      <c r="G191" s="40"/>
      <c r="H191" s="40"/>
      <c r="I191" s="76" t="s">
        <v>24</v>
      </c>
      <c r="J191" s="40" t="s">
        <v>1139</v>
      </c>
      <c r="K191" s="40" t="s">
        <v>1677</v>
      </c>
      <c r="L191" s="473"/>
      <c r="M191" s="466"/>
      <c r="N191" s="101"/>
    </row>
    <row r="192" spans="1:14" s="36" customFormat="1" ht="24">
      <c r="A192" s="469"/>
      <c r="B192" s="42" t="s">
        <v>2184</v>
      </c>
      <c r="C192" s="42" t="s">
        <v>2185</v>
      </c>
      <c r="D192" s="93" t="s">
        <v>1680</v>
      </c>
      <c r="E192" s="78" t="s">
        <v>1681</v>
      </c>
      <c r="F192" s="78" t="s">
        <v>789</v>
      </c>
      <c r="G192" s="42"/>
      <c r="H192" s="42"/>
      <c r="I192" s="110" t="s">
        <v>57</v>
      </c>
      <c r="J192" s="103" t="s">
        <v>1682</v>
      </c>
      <c r="K192" s="42" t="s">
        <v>1785</v>
      </c>
      <c r="L192" s="473"/>
      <c r="M192" s="466"/>
      <c r="N192" s="99" t="s">
        <v>1684</v>
      </c>
    </row>
    <row r="193" spans="1:14" s="35" customFormat="1" ht="24">
      <c r="A193" s="469"/>
      <c r="B193" s="40" t="s">
        <v>2186</v>
      </c>
      <c r="C193" s="40" t="s">
        <v>2187</v>
      </c>
      <c r="D193" s="77" t="s">
        <v>1687</v>
      </c>
      <c r="E193" s="96" t="s">
        <v>1688</v>
      </c>
      <c r="F193" s="76" t="s">
        <v>789</v>
      </c>
      <c r="G193" s="40"/>
      <c r="H193" s="40"/>
      <c r="I193" s="76" t="s">
        <v>24</v>
      </c>
      <c r="J193" s="104" t="s">
        <v>1689</v>
      </c>
      <c r="K193" s="105" t="s">
        <v>1690</v>
      </c>
      <c r="L193" s="473"/>
      <c r="M193" s="466"/>
      <c r="N193" s="101"/>
    </row>
    <row r="194" spans="1:14" s="35" customFormat="1" ht="60">
      <c r="A194" s="469"/>
      <c r="B194" s="40" t="s">
        <v>2188</v>
      </c>
      <c r="C194" s="40" t="s">
        <v>2189</v>
      </c>
      <c r="D194" s="77" t="s">
        <v>1693</v>
      </c>
      <c r="E194" s="76" t="s">
        <v>1694</v>
      </c>
      <c r="F194" s="76" t="s">
        <v>789</v>
      </c>
      <c r="G194" s="40"/>
      <c r="H194" s="40"/>
      <c r="I194" s="76" t="s">
        <v>24</v>
      </c>
      <c r="J194" s="40" t="s">
        <v>1695</v>
      </c>
      <c r="K194" s="40" t="s">
        <v>1762</v>
      </c>
      <c r="L194" s="473"/>
      <c r="M194" s="466"/>
      <c r="N194" s="101"/>
    </row>
    <row r="195" spans="1:14" s="35" customFormat="1" ht="24">
      <c r="A195" s="469"/>
      <c r="B195" s="40" t="s">
        <v>2190</v>
      </c>
      <c r="C195" s="40" t="s">
        <v>2191</v>
      </c>
      <c r="D195" s="77" t="s">
        <v>1699</v>
      </c>
      <c r="E195" s="76" t="s">
        <v>1700</v>
      </c>
      <c r="F195" s="76" t="s">
        <v>789</v>
      </c>
      <c r="G195" s="40"/>
      <c r="H195" s="40"/>
      <c r="I195" s="76" t="s">
        <v>24</v>
      </c>
      <c r="J195" s="40" t="s">
        <v>359</v>
      </c>
      <c r="K195" s="40" t="s">
        <v>2035</v>
      </c>
      <c r="L195" s="473"/>
      <c r="M195" s="466"/>
      <c r="N195" s="101"/>
    </row>
    <row r="196" spans="1:14" s="35" customFormat="1" ht="48">
      <c r="A196" s="469"/>
      <c r="B196" s="40" t="s">
        <v>2192</v>
      </c>
      <c r="C196" s="40" t="s">
        <v>2193</v>
      </c>
      <c r="D196" s="77" t="s">
        <v>1705</v>
      </c>
      <c r="E196" s="76" t="s">
        <v>1706</v>
      </c>
      <c r="F196" s="76" t="s">
        <v>789</v>
      </c>
      <c r="G196" s="40"/>
      <c r="H196" s="40"/>
      <c r="I196" s="76" t="s">
        <v>24</v>
      </c>
      <c r="J196" s="115" t="s">
        <v>1707</v>
      </c>
      <c r="K196" s="40" t="s">
        <v>1833</v>
      </c>
      <c r="L196" s="473"/>
      <c r="M196" s="466"/>
      <c r="N196" s="101"/>
    </row>
    <row r="197" spans="1:14" s="35" customFormat="1" ht="24">
      <c r="A197" s="477"/>
      <c r="B197" s="40" t="s">
        <v>2194</v>
      </c>
      <c r="C197" s="40" t="s">
        <v>2195</v>
      </c>
      <c r="D197" s="77" t="s">
        <v>1711</v>
      </c>
      <c r="E197" s="76" t="s">
        <v>1712</v>
      </c>
      <c r="F197" s="76" t="s">
        <v>789</v>
      </c>
      <c r="G197" s="40"/>
      <c r="H197" s="40"/>
      <c r="I197" s="76" t="s">
        <v>24</v>
      </c>
      <c r="J197" s="40" t="s">
        <v>359</v>
      </c>
      <c r="K197" s="106" t="s">
        <v>2042</v>
      </c>
      <c r="L197" s="473"/>
      <c r="M197" s="467"/>
      <c r="N197" s="101"/>
    </row>
    <row r="198" spans="1:14" s="36" customFormat="1" ht="24" customHeight="1">
      <c r="A198" s="476" t="s">
        <v>2196</v>
      </c>
      <c r="B198" s="42" t="s">
        <v>2197</v>
      </c>
      <c r="C198" s="42" t="s">
        <v>2198</v>
      </c>
      <c r="D198" s="93" t="s">
        <v>1048</v>
      </c>
      <c r="E198" s="78" t="s">
        <v>1049</v>
      </c>
      <c r="F198" s="78" t="s">
        <v>357</v>
      </c>
      <c r="G198" s="42"/>
      <c r="H198" s="42"/>
      <c r="I198" s="78" t="s">
        <v>24</v>
      </c>
      <c r="J198" s="42" t="s">
        <v>71</v>
      </c>
      <c r="K198" s="100" t="s">
        <v>1649</v>
      </c>
      <c r="L198" s="109"/>
      <c r="M198" s="465" t="s">
        <v>2199</v>
      </c>
      <c r="N198" s="99" t="s">
        <v>1651</v>
      </c>
    </row>
    <row r="199" spans="1:14" s="35" customFormat="1" ht="24" customHeight="1">
      <c r="A199" s="469"/>
      <c r="B199" s="40" t="s">
        <v>2200</v>
      </c>
      <c r="C199" s="40" t="s">
        <v>2201</v>
      </c>
      <c r="D199" s="77" t="s">
        <v>2202</v>
      </c>
      <c r="E199" s="76" t="s">
        <v>2203</v>
      </c>
      <c r="F199" s="76" t="s">
        <v>357</v>
      </c>
      <c r="G199" s="40"/>
      <c r="H199" s="40" t="s">
        <v>366</v>
      </c>
      <c r="I199" s="76" t="s">
        <v>24</v>
      </c>
      <c r="J199" s="40" t="s">
        <v>2204</v>
      </c>
      <c r="K199" s="40" t="s">
        <v>2205</v>
      </c>
      <c r="L199" s="472" t="s">
        <v>407</v>
      </c>
      <c r="M199" s="466"/>
      <c r="N199" s="101"/>
    </row>
    <row r="200" spans="1:14" s="35" customFormat="1" ht="24">
      <c r="A200" s="469"/>
      <c r="B200" s="40" t="s">
        <v>2206</v>
      </c>
      <c r="C200" s="40" t="s">
        <v>2207</v>
      </c>
      <c r="D200" s="77" t="s">
        <v>2208</v>
      </c>
      <c r="E200" s="76" t="s">
        <v>2209</v>
      </c>
      <c r="F200" s="76" t="s">
        <v>357</v>
      </c>
      <c r="G200" s="40"/>
      <c r="H200" s="40" t="s">
        <v>366</v>
      </c>
      <c r="I200" s="76" t="s">
        <v>24</v>
      </c>
      <c r="J200" s="40" t="s">
        <v>2210</v>
      </c>
      <c r="K200" s="40" t="s">
        <v>2211</v>
      </c>
      <c r="L200" s="473"/>
      <c r="M200" s="466"/>
      <c r="N200" s="101"/>
    </row>
    <row r="201" spans="1:14" s="35" customFormat="1" ht="24">
      <c r="A201" s="469"/>
      <c r="B201" s="40" t="s">
        <v>2212</v>
      </c>
      <c r="C201" s="40" t="s">
        <v>2213</v>
      </c>
      <c r="D201" s="77" t="s">
        <v>2214</v>
      </c>
      <c r="E201" s="76" t="s">
        <v>2215</v>
      </c>
      <c r="F201" s="76" t="s">
        <v>357</v>
      </c>
      <c r="G201" s="40"/>
      <c r="H201" s="40" t="s">
        <v>366</v>
      </c>
      <c r="I201" s="76" t="s">
        <v>24</v>
      </c>
      <c r="J201" s="40" t="s">
        <v>2216</v>
      </c>
      <c r="K201" s="40" t="s">
        <v>2217</v>
      </c>
      <c r="L201" s="473"/>
      <c r="M201" s="466"/>
      <c r="N201" s="101"/>
    </row>
    <row r="202" spans="1:14" s="35" customFormat="1" ht="24">
      <c r="A202" s="469"/>
      <c r="B202" s="40" t="s">
        <v>2218</v>
      </c>
      <c r="C202" s="40" t="s">
        <v>2219</v>
      </c>
      <c r="D202" s="77" t="s">
        <v>2220</v>
      </c>
      <c r="E202" s="76" t="s">
        <v>2221</v>
      </c>
      <c r="F202" s="76" t="s">
        <v>357</v>
      </c>
      <c r="G202" s="40"/>
      <c r="H202" s="40" t="s">
        <v>2222</v>
      </c>
      <c r="I202" s="76" t="s">
        <v>24</v>
      </c>
      <c r="J202" s="40" t="s">
        <v>2204</v>
      </c>
      <c r="K202" s="40" t="s">
        <v>2223</v>
      </c>
      <c r="L202" s="473"/>
      <c r="M202" s="466"/>
      <c r="N202" s="101"/>
    </row>
    <row r="203" spans="1:14" s="35" customFormat="1" ht="24">
      <c r="A203" s="469"/>
      <c r="B203" s="40" t="s">
        <v>2224</v>
      </c>
      <c r="C203" s="40" t="s">
        <v>2225</v>
      </c>
      <c r="D203" s="77" t="s">
        <v>1668</v>
      </c>
      <c r="E203" s="76" t="s">
        <v>1669</v>
      </c>
      <c r="F203" s="76" t="s">
        <v>357</v>
      </c>
      <c r="G203" s="40"/>
      <c r="H203" s="40" t="s">
        <v>2226</v>
      </c>
      <c r="I203" s="76" t="s">
        <v>24</v>
      </c>
      <c r="J203" s="120" t="s">
        <v>1671</v>
      </c>
      <c r="K203" s="40" t="s">
        <v>2227</v>
      </c>
      <c r="L203" s="473"/>
      <c r="M203" s="466"/>
      <c r="N203" s="101"/>
    </row>
    <row r="204" spans="1:14" s="35" customFormat="1" ht="24">
      <c r="A204" s="469"/>
      <c r="B204" s="40" t="s">
        <v>2228</v>
      </c>
      <c r="C204" s="40" t="s">
        <v>2229</v>
      </c>
      <c r="D204" s="77" t="s">
        <v>1675</v>
      </c>
      <c r="E204" s="76" t="s">
        <v>1676</v>
      </c>
      <c r="F204" s="76" t="s">
        <v>357</v>
      </c>
      <c r="G204" s="40"/>
      <c r="H204" s="40" t="s">
        <v>366</v>
      </c>
      <c r="I204" s="76" t="s">
        <v>24</v>
      </c>
      <c r="J204" s="40" t="s">
        <v>1139</v>
      </c>
      <c r="K204" s="40" t="s">
        <v>2230</v>
      </c>
      <c r="L204" s="473"/>
      <c r="M204" s="466"/>
      <c r="N204" s="101"/>
    </row>
    <row r="205" spans="1:14" s="36" customFormat="1" ht="36">
      <c r="A205" s="469"/>
      <c r="B205" s="42" t="s">
        <v>2231</v>
      </c>
      <c r="C205" s="42" t="s">
        <v>2232</v>
      </c>
      <c r="D205" s="93" t="s">
        <v>1680</v>
      </c>
      <c r="E205" s="78" t="s">
        <v>1681</v>
      </c>
      <c r="F205" s="78" t="s">
        <v>357</v>
      </c>
      <c r="G205" s="42"/>
      <c r="H205" s="42" t="s">
        <v>366</v>
      </c>
      <c r="I205" s="78" t="s">
        <v>57</v>
      </c>
      <c r="J205" s="103" t="s">
        <v>1682</v>
      </c>
      <c r="K205" s="42" t="s">
        <v>2233</v>
      </c>
      <c r="L205" s="473"/>
      <c r="M205" s="466"/>
      <c r="N205" s="99" t="s">
        <v>1684</v>
      </c>
    </row>
    <row r="206" spans="1:14" s="35" customFormat="1" ht="24">
      <c r="A206" s="469"/>
      <c r="B206" s="40" t="s">
        <v>2234</v>
      </c>
      <c r="C206" s="40" t="s">
        <v>2235</v>
      </c>
      <c r="D206" s="77" t="s">
        <v>1687</v>
      </c>
      <c r="E206" s="96" t="s">
        <v>1688</v>
      </c>
      <c r="F206" s="76" t="s">
        <v>357</v>
      </c>
      <c r="G206" s="40"/>
      <c r="H206" s="40" t="s">
        <v>366</v>
      </c>
      <c r="I206" s="76" t="s">
        <v>24</v>
      </c>
      <c r="J206" s="104" t="s">
        <v>1689</v>
      </c>
      <c r="K206" s="105" t="s">
        <v>1690</v>
      </c>
      <c r="L206" s="473"/>
      <c r="M206" s="466"/>
      <c r="N206" s="101"/>
    </row>
    <row r="207" spans="1:14" s="35" customFormat="1" ht="60">
      <c r="A207" s="469"/>
      <c r="B207" s="40" t="s">
        <v>2236</v>
      </c>
      <c r="C207" s="40" t="s">
        <v>2237</v>
      </c>
      <c r="D207" s="77" t="s">
        <v>1693</v>
      </c>
      <c r="E207" s="76" t="s">
        <v>1694</v>
      </c>
      <c r="F207" s="76" t="s">
        <v>357</v>
      </c>
      <c r="G207" s="40"/>
      <c r="H207" s="40" t="s">
        <v>366</v>
      </c>
      <c r="I207" s="76" t="s">
        <v>24</v>
      </c>
      <c r="J207" s="40" t="s">
        <v>1695</v>
      </c>
      <c r="K207" s="40" t="s">
        <v>2238</v>
      </c>
      <c r="L207" s="473"/>
      <c r="M207" s="466"/>
      <c r="N207" s="101"/>
    </row>
    <row r="208" spans="1:14" s="35" customFormat="1" ht="48">
      <c r="A208" s="469"/>
      <c r="B208" s="40" t="s">
        <v>2239</v>
      </c>
      <c r="C208" s="40" t="s">
        <v>2240</v>
      </c>
      <c r="D208" s="77" t="s">
        <v>1705</v>
      </c>
      <c r="E208" s="76" t="s">
        <v>1706</v>
      </c>
      <c r="F208" s="76" t="s">
        <v>357</v>
      </c>
      <c r="G208" s="40"/>
      <c r="H208" s="40" t="s">
        <v>2241</v>
      </c>
      <c r="I208" s="76" t="s">
        <v>24</v>
      </c>
      <c r="J208" s="106" t="s">
        <v>1707</v>
      </c>
      <c r="K208" s="40" t="s">
        <v>2242</v>
      </c>
      <c r="L208" s="473"/>
      <c r="M208" s="466"/>
      <c r="N208" s="101"/>
    </row>
    <row r="209" spans="1:14" s="36" customFormat="1" ht="24" customHeight="1">
      <c r="A209" s="469"/>
      <c r="B209" s="42" t="s">
        <v>2243</v>
      </c>
      <c r="C209" s="42" t="s">
        <v>2244</v>
      </c>
      <c r="D209" s="93" t="s">
        <v>1048</v>
      </c>
      <c r="E209" s="78" t="s">
        <v>1049</v>
      </c>
      <c r="F209" s="78" t="s">
        <v>357</v>
      </c>
      <c r="G209" s="42"/>
      <c r="H209" s="42"/>
      <c r="I209" s="78" t="s">
        <v>24</v>
      </c>
      <c r="J209" s="42" t="s">
        <v>71</v>
      </c>
      <c r="K209" s="100" t="s">
        <v>1649</v>
      </c>
      <c r="L209" s="473"/>
      <c r="M209" s="466"/>
      <c r="N209" s="99" t="s">
        <v>1651</v>
      </c>
    </row>
    <row r="210" spans="1:14" s="35" customFormat="1" ht="22.5" customHeight="1">
      <c r="A210" s="469"/>
      <c r="B210" s="40" t="s">
        <v>2245</v>
      </c>
      <c r="C210" s="40" t="s">
        <v>2246</v>
      </c>
      <c r="D210" s="77" t="s">
        <v>2202</v>
      </c>
      <c r="E210" s="76" t="s">
        <v>2203</v>
      </c>
      <c r="F210" s="76" t="s">
        <v>357</v>
      </c>
      <c r="G210" s="40"/>
      <c r="H210" s="40" t="s">
        <v>366</v>
      </c>
      <c r="I210" s="76" t="s">
        <v>24</v>
      </c>
      <c r="J210" s="40" t="s">
        <v>2204</v>
      </c>
      <c r="K210" s="40" t="s">
        <v>2205</v>
      </c>
      <c r="L210" s="473"/>
      <c r="M210" s="466"/>
      <c r="N210" s="101"/>
    </row>
    <row r="211" spans="1:14" s="35" customFormat="1" ht="24">
      <c r="A211" s="469"/>
      <c r="B211" s="40" t="s">
        <v>2247</v>
      </c>
      <c r="C211" s="40" t="s">
        <v>2248</v>
      </c>
      <c r="D211" s="77" t="s">
        <v>2208</v>
      </c>
      <c r="E211" s="76" t="s">
        <v>2209</v>
      </c>
      <c r="F211" s="76" t="s">
        <v>357</v>
      </c>
      <c r="G211" s="40"/>
      <c r="H211" s="40" t="s">
        <v>2249</v>
      </c>
      <c r="I211" s="76" t="s">
        <v>24</v>
      </c>
      <c r="J211" s="40" t="s">
        <v>2210</v>
      </c>
      <c r="K211" s="40" t="s">
        <v>2211</v>
      </c>
      <c r="L211" s="473"/>
      <c r="M211" s="466"/>
      <c r="N211" s="101"/>
    </row>
    <row r="212" spans="1:14" s="35" customFormat="1" ht="24">
      <c r="A212" s="469"/>
      <c r="B212" s="40" t="s">
        <v>2250</v>
      </c>
      <c r="C212" s="40" t="s">
        <v>2251</v>
      </c>
      <c r="D212" s="77" t="s">
        <v>2214</v>
      </c>
      <c r="E212" s="76" t="s">
        <v>2215</v>
      </c>
      <c r="F212" s="76" t="s">
        <v>357</v>
      </c>
      <c r="G212" s="40"/>
      <c r="H212" s="40" t="s">
        <v>366</v>
      </c>
      <c r="I212" s="76" t="s">
        <v>24</v>
      </c>
      <c r="J212" s="40" t="s">
        <v>2216</v>
      </c>
      <c r="K212" s="40" t="s">
        <v>2217</v>
      </c>
      <c r="L212" s="473"/>
      <c r="M212" s="466"/>
      <c r="N212" s="101"/>
    </row>
    <row r="213" spans="1:14" s="35" customFormat="1" ht="24">
      <c r="A213" s="469"/>
      <c r="B213" s="40" t="s">
        <v>2252</v>
      </c>
      <c r="C213" s="40" t="s">
        <v>2253</v>
      </c>
      <c r="D213" s="77" t="s">
        <v>2220</v>
      </c>
      <c r="E213" s="76" t="s">
        <v>2221</v>
      </c>
      <c r="F213" s="76" t="s">
        <v>357</v>
      </c>
      <c r="G213" s="40"/>
      <c r="H213" s="40"/>
      <c r="I213" s="76" t="s">
        <v>24</v>
      </c>
      <c r="J213" s="40" t="s">
        <v>2204</v>
      </c>
      <c r="K213" s="40" t="s">
        <v>2223</v>
      </c>
      <c r="L213" s="473"/>
      <c r="M213" s="466"/>
      <c r="N213" s="101"/>
    </row>
    <row r="214" spans="1:14" s="35" customFormat="1" ht="24">
      <c r="A214" s="469"/>
      <c r="B214" s="40" t="s">
        <v>2254</v>
      </c>
      <c r="C214" s="40" t="s">
        <v>2255</v>
      </c>
      <c r="D214" s="77" t="s">
        <v>1668</v>
      </c>
      <c r="E214" s="76" t="s">
        <v>1669</v>
      </c>
      <c r="F214" s="76" t="s">
        <v>357</v>
      </c>
      <c r="G214" s="40"/>
      <c r="H214" s="40" t="s">
        <v>2256</v>
      </c>
      <c r="I214" s="76" t="s">
        <v>24</v>
      </c>
      <c r="J214" s="120" t="s">
        <v>1671</v>
      </c>
      <c r="K214" s="40" t="s">
        <v>2227</v>
      </c>
      <c r="L214" s="473"/>
      <c r="M214" s="466"/>
      <c r="N214" s="101"/>
    </row>
    <row r="215" spans="1:14" s="35" customFormat="1" ht="24">
      <c r="A215" s="469"/>
      <c r="B215" s="40" t="s">
        <v>2257</v>
      </c>
      <c r="C215" s="40" t="s">
        <v>2258</v>
      </c>
      <c r="D215" s="77" t="s">
        <v>1675</v>
      </c>
      <c r="E215" s="76" t="s">
        <v>1676</v>
      </c>
      <c r="F215" s="76" t="s">
        <v>357</v>
      </c>
      <c r="G215" s="40"/>
      <c r="H215" s="40" t="s">
        <v>366</v>
      </c>
      <c r="I215" s="76" t="s">
        <v>24</v>
      </c>
      <c r="J215" s="40" t="s">
        <v>1139</v>
      </c>
      <c r="K215" s="40" t="s">
        <v>2230</v>
      </c>
      <c r="L215" s="473"/>
      <c r="M215" s="466"/>
      <c r="N215" s="101"/>
    </row>
    <row r="216" spans="1:14" s="36" customFormat="1" ht="36">
      <c r="A216" s="469"/>
      <c r="B216" s="42" t="s">
        <v>2259</v>
      </c>
      <c r="C216" s="42" t="s">
        <v>2260</v>
      </c>
      <c r="D216" s="93" t="s">
        <v>1680</v>
      </c>
      <c r="E216" s="78" t="s">
        <v>1681</v>
      </c>
      <c r="F216" s="78" t="s">
        <v>357</v>
      </c>
      <c r="G216" s="42"/>
      <c r="H216" s="42" t="s">
        <v>366</v>
      </c>
      <c r="I216" s="78" t="s">
        <v>57</v>
      </c>
      <c r="J216" s="103" t="s">
        <v>1682</v>
      </c>
      <c r="K216" s="42" t="s">
        <v>2261</v>
      </c>
      <c r="L216" s="473"/>
      <c r="M216" s="466"/>
      <c r="N216" s="99" t="s">
        <v>1684</v>
      </c>
    </row>
    <row r="217" spans="1:14" s="35" customFormat="1" ht="24">
      <c r="A217" s="469"/>
      <c r="B217" s="40" t="s">
        <v>2262</v>
      </c>
      <c r="C217" s="40" t="s">
        <v>2263</v>
      </c>
      <c r="D217" s="77" t="s">
        <v>1687</v>
      </c>
      <c r="E217" s="96" t="s">
        <v>1688</v>
      </c>
      <c r="F217" s="76" t="s">
        <v>357</v>
      </c>
      <c r="G217" s="40"/>
      <c r="H217" s="40" t="s">
        <v>366</v>
      </c>
      <c r="I217" s="76" t="s">
        <v>24</v>
      </c>
      <c r="J217" s="104" t="s">
        <v>1689</v>
      </c>
      <c r="K217" s="105" t="s">
        <v>1690</v>
      </c>
      <c r="L217" s="473"/>
      <c r="M217" s="466"/>
      <c r="N217" s="101"/>
    </row>
    <row r="218" spans="1:14" s="35" customFormat="1" ht="60">
      <c r="A218" s="469"/>
      <c r="B218" s="40" t="s">
        <v>2264</v>
      </c>
      <c r="C218" s="40" t="s">
        <v>2265</v>
      </c>
      <c r="D218" s="77" t="s">
        <v>1693</v>
      </c>
      <c r="E218" s="76" t="s">
        <v>1694</v>
      </c>
      <c r="F218" s="76" t="s">
        <v>357</v>
      </c>
      <c r="G218" s="40"/>
      <c r="H218" s="40" t="s">
        <v>366</v>
      </c>
      <c r="I218" s="76" t="s">
        <v>24</v>
      </c>
      <c r="J218" s="40" t="s">
        <v>1695</v>
      </c>
      <c r="K218" s="40" t="s">
        <v>2266</v>
      </c>
      <c r="L218" s="473"/>
      <c r="M218" s="466"/>
      <c r="N218" s="101"/>
    </row>
    <row r="219" spans="1:14" s="35" customFormat="1" ht="48">
      <c r="A219" s="469"/>
      <c r="B219" s="40" t="s">
        <v>2267</v>
      </c>
      <c r="C219" s="40" t="s">
        <v>2268</v>
      </c>
      <c r="D219" s="77" t="s">
        <v>1705</v>
      </c>
      <c r="E219" s="76" t="s">
        <v>1706</v>
      </c>
      <c r="F219" s="76" t="s">
        <v>357</v>
      </c>
      <c r="G219" s="40"/>
      <c r="H219" s="40" t="s">
        <v>2269</v>
      </c>
      <c r="I219" s="76" t="s">
        <v>24</v>
      </c>
      <c r="J219" s="106" t="s">
        <v>1707</v>
      </c>
      <c r="K219" s="40" t="s">
        <v>2242</v>
      </c>
      <c r="L219" s="473"/>
      <c r="M219" s="466"/>
      <c r="N219" s="101"/>
    </row>
    <row r="220" spans="1:14" s="36" customFormat="1" ht="24" customHeight="1">
      <c r="A220" s="469"/>
      <c r="B220" s="42" t="s">
        <v>2270</v>
      </c>
      <c r="C220" s="42" t="s">
        <v>2271</v>
      </c>
      <c r="D220" s="93" t="s">
        <v>1048</v>
      </c>
      <c r="E220" s="78" t="s">
        <v>1049</v>
      </c>
      <c r="F220" s="78" t="s">
        <v>789</v>
      </c>
      <c r="G220" s="42"/>
      <c r="H220" s="42"/>
      <c r="I220" s="78" t="s">
        <v>24</v>
      </c>
      <c r="J220" s="42" t="s">
        <v>71</v>
      </c>
      <c r="K220" s="100" t="s">
        <v>1649</v>
      </c>
      <c r="L220" s="102"/>
      <c r="M220" s="466"/>
      <c r="N220" s="99" t="s">
        <v>1651</v>
      </c>
    </row>
    <row r="221" spans="1:14" s="35" customFormat="1" ht="24" customHeight="1">
      <c r="A221" s="469"/>
      <c r="B221" s="40" t="s">
        <v>2272</v>
      </c>
      <c r="C221" s="40" t="s">
        <v>2273</v>
      </c>
      <c r="D221" s="77" t="s">
        <v>2202</v>
      </c>
      <c r="E221" s="76" t="s">
        <v>2203</v>
      </c>
      <c r="F221" s="76" t="s">
        <v>789</v>
      </c>
      <c r="G221" s="40"/>
      <c r="H221" s="40"/>
      <c r="I221" s="76" t="s">
        <v>24</v>
      </c>
      <c r="J221" s="40" t="s">
        <v>2204</v>
      </c>
      <c r="K221" s="40" t="s">
        <v>2205</v>
      </c>
      <c r="L221" s="102"/>
      <c r="M221" s="466"/>
      <c r="N221" s="101"/>
    </row>
    <row r="222" spans="1:14" s="35" customFormat="1" ht="24">
      <c r="A222" s="469"/>
      <c r="B222" s="40" t="s">
        <v>2274</v>
      </c>
      <c r="C222" s="40" t="s">
        <v>2275</v>
      </c>
      <c r="D222" s="77" t="s">
        <v>2208</v>
      </c>
      <c r="E222" s="76" t="s">
        <v>2209</v>
      </c>
      <c r="F222" s="76" t="s">
        <v>789</v>
      </c>
      <c r="G222" s="40"/>
      <c r="H222" s="40"/>
      <c r="I222" s="76" t="s">
        <v>24</v>
      </c>
      <c r="J222" s="40" t="s">
        <v>2210</v>
      </c>
      <c r="K222" s="40" t="s">
        <v>2211</v>
      </c>
      <c r="L222" s="102"/>
      <c r="M222" s="466"/>
      <c r="N222" s="101"/>
    </row>
    <row r="223" spans="1:14" s="35" customFormat="1" ht="24">
      <c r="A223" s="469"/>
      <c r="B223" s="40" t="s">
        <v>2276</v>
      </c>
      <c r="C223" s="40" t="s">
        <v>2277</v>
      </c>
      <c r="D223" s="77" t="s">
        <v>2214</v>
      </c>
      <c r="E223" s="76" t="s">
        <v>2215</v>
      </c>
      <c r="F223" s="76" t="s">
        <v>789</v>
      </c>
      <c r="G223" s="40"/>
      <c r="H223" s="40"/>
      <c r="I223" s="76" t="s">
        <v>24</v>
      </c>
      <c r="J223" s="40" t="s">
        <v>2216</v>
      </c>
      <c r="K223" s="40" t="s">
        <v>2217</v>
      </c>
      <c r="L223" s="102"/>
      <c r="M223" s="466"/>
      <c r="N223" s="101"/>
    </row>
    <row r="224" spans="1:14" s="35" customFormat="1" ht="24">
      <c r="A224" s="469"/>
      <c r="B224" s="40" t="s">
        <v>2278</v>
      </c>
      <c r="C224" s="40" t="s">
        <v>2279</v>
      </c>
      <c r="D224" s="77" t="s">
        <v>2220</v>
      </c>
      <c r="E224" s="76" t="s">
        <v>2221</v>
      </c>
      <c r="F224" s="76" t="s">
        <v>789</v>
      </c>
      <c r="G224" s="40"/>
      <c r="H224" s="40"/>
      <c r="I224" s="76" t="s">
        <v>24</v>
      </c>
      <c r="J224" s="40" t="s">
        <v>2204</v>
      </c>
      <c r="K224" s="40" t="s">
        <v>2223</v>
      </c>
      <c r="L224" s="102"/>
      <c r="M224" s="466"/>
      <c r="N224" s="101"/>
    </row>
    <row r="225" spans="1:14" s="35" customFormat="1" ht="24">
      <c r="A225" s="469"/>
      <c r="B225" s="40" t="s">
        <v>2280</v>
      </c>
      <c r="C225" s="40" t="s">
        <v>2281</v>
      </c>
      <c r="D225" s="77" t="s">
        <v>1668</v>
      </c>
      <c r="E225" s="76" t="s">
        <v>1669</v>
      </c>
      <c r="F225" s="76" t="s">
        <v>789</v>
      </c>
      <c r="G225" s="40"/>
      <c r="H225" s="40"/>
      <c r="I225" s="76" t="s">
        <v>24</v>
      </c>
      <c r="J225" s="120" t="s">
        <v>1671</v>
      </c>
      <c r="K225" s="40" t="s">
        <v>2227</v>
      </c>
      <c r="L225" s="102"/>
      <c r="M225" s="466"/>
      <c r="N225" s="101"/>
    </row>
    <row r="226" spans="1:14" s="35" customFormat="1" ht="24">
      <c r="A226" s="469"/>
      <c r="B226" s="40" t="s">
        <v>2282</v>
      </c>
      <c r="C226" s="40" t="s">
        <v>2283</v>
      </c>
      <c r="D226" s="77" t="s">
        <v>1675</v>
      </c>
      <c r="E226" s="76" t="s">
        <v>1676</v>
      </c>
      <c r="F226" s="76" t="s">
        <v>789</v>
      </c>
      <c r="G226" s="40"/>
      <c r="H226" s="40"/>
      <c r="I226" s="76" t="s">
        <v>24</v>
      </c>
      <c r="J226" s="40" t="s">
        <v>1139</v>
      </c>
      <c r="K226" s="40" t="s">
        <v>2230</v>
      </c>
      <c r="L226" s="102"/>
      <c r="M226" s="466"/>
      <c r="N226" s="101"/>
    </row>
    <row r="227" spans="1:14" s="36" customFormat="1" ht="24">
      <c r="A227" s="469"/>
      <c r="B227" s="42" t="s">
        <v>2284</v>
      </c>
      <c r="C227" s="42" t="s">
        <v>2285</v>
      </c>
      <c r="D227" s="93" t="s">
        <v>1680</v>
      </c>
      <c r="E227" s="78" t="s">
        <v>1681</v>
      </c>
      <c r="F227" s="78" t="s">
        <v>789</v>
      </c>
      <c r="G227" s="42"/>
      <c r="H227" s="42"/>
      <c r="I227" s="110" t="s">
        <v>57</v>
      </c>
      <c r="J227" s="103" t="s">
        <v>1682</v>
      </c>
      <c r="K227" s="42" t="s">
        <v>1785</v>
      </c>
      <c r="L227" s="121"/>
      <c r="M227" s="466"/>
      <c r="N227" s="99" t="s">
        <v>1684</v>
      </c>
    </row>
    <row r="228" spans="1:14" s="35" customFormat="1" ht="24">
      <c r="A228" s="469"/>
      <c r="B228" s="40" t="s">
        <v>2286</v>
      </c>
      <c r="C228" s="40" t="s">
        <v>2287</v>
      </c>
      <c r="D228" s="77" t="s">
        <v>1687</v>
      </c>
      <c r="E228" s="96" t="s">
        <v>1688</v>
      </c>
      <c r="F228" s="76" t="s">
        <v>789</v>
      </c>
      <c r="G228" s="40"/>
      <c r="H228" s="40"/>
      <c r="I228" s="76" t="s">
        <v>24</v>
      </c>
      <c r="J228" s="104" t="s">
        <v>1689</v>
      </c>
      <c r="K228" s="105" t="s">
        <v>1690</v>
      </c>
      <c r="L228" s="102"/>
      <c r="M228" s="466"/>
      <c r="N228" s="101"/>
    </row>
    <row r="229" spans="1:14" s="35" customFormat="1" ht="60">
      <c r="A229" s="469"/>
      <c r="B229" s="40" t="s">
        <v>2288</v>
      </c>
      <c r="C229" s="40" t="s">
        <v>2289</v>
      </c>
      <c r="D229" s="77" t="s">
        <v>1693</v>
      </c>
      <c r="E229" s="76" t="s">
        <v>1694</v>
      </c>
      <c r="F229" s="76" t="s">
        <v>789</v>
      </c>
      <c r="G229" s="40"/>
      <c r="H229" s="40"/>
      <c r="I229" s="76" t="s">
        <v>24</v>
      </c>
      <c r="J229" s="40" t="s">
        <v>1695</v>
      </c>
      <c r="K229" s="40" t="s">
        <v>2238</v>
      </c>
      <c r="L229" s="102"/>
      <c r="M229" s="466"/>
      <c r="N229" s="101"/>
    </row>
    <row r="230" spans="1:14" s="35" customFormat="1" ht="48">
      <c r="A230" s="477"/>
      <c r="B230" s="40" t="s">
        <v>2290</v>
      </c>
      <c r="C230" s="40" t="s">
        <v>2291</v>
      </c>
      <c r="D230" s="77" t="s">
        <v>1705</v>
      </c>
      <c r="E230" s="76" t="s">
        <v>1706</v>
      </c>
      <c r="F230" s="76" t="s">
        <v>789</v>
      </c>
      <c r="G230" s="40"/>
      <c r="H230" s="40"/>
      <c r="I230" s="76" t="s">
        <v>24</v>
      </c>
      <c r="J230" s="106" t="s">
        <v>1707</v>
      </c>
      <c r="K230" s="40" t="s">
        <v>2242</v>
      </c>
      <c r="L230" s="102"/>
      <c r="M230" s="467"/>
      <c r="N230" s="101"/>
    </row>
    <row r="231" spans="1:14" s="36" customFormat="1" ht="24" customHeight="1">
      <c r="A231" s="476" t="s">
        <v>2292</v>
      </c>
      <c r="B231" s="42" t="s">
        <v>2293</v>
      </c>
      <c r="C231" s="42" t="s">
        <v>2294</v>
      </c>
      <c r="D231" s="93" t="s">
        <v>1048</v>
      </c>
      <c r="E231" s="78" t="s">
        <v>1049</v>
      </c>
      <c r="F231" s="78" t="s">
        <v>357</v>
      </c>
      <c r="G231" s="42"/>
      <c r="H231" s="42"/>
      <c r="I231" s="78" t="s">
        <v>24</v>
      </c>
      <c r="J231" s="42" t="s">
        <v>71</v>
      </c>
      <c r="K231" s="100" t="s">
        <v>1649</v>
      </c>
      <c r="L231" s="102"/>
      <c r="M231" s="465" t="s">
        <v>2295</v>
      </c>
      <c r="N231" s="99" t="s">
        <v>1651</v>
      </c>
    </row>
    <row r="232" spans="1:14" s="35" customFormat="1" ht="36" customHeight="1">
      <c r="A232" s="478"/>
      <c r="B232" s="40" t="s">
        <v>2296</v>
      </c>
      <c r="C232" s="40" t="s">
        <v>2297</v>
      </c>
      <c r="D232" s="77" t="s">
        <v>2298</v>
      </c>
      <c r="E232" s="76" t="s">
        <v>2299</v>
      </c>
      <c r="F232" s="76" t="s">
        <v>357</v>
      </c>
      <c r="G232" s="40"/>
      <c r="H232" s="40" t="s">
        <v>2300</v>
      </c>
      <c r="I232" s="76" t="s">
        <v>24</v>
      </c>
      <c r="J232" s="40" t="s">
        <v>1644</v>
      </c>
      <c r="K232" s="40" t="s">
        <v>2301</v>
      </c>
      <c r="L232" s="472" t="s">
        <v>407</v>
      </c>
      <c r="M232" s="466"/>
      <c r="N232" s="101"/>
    </row>
    <row r="233" spans="1:14" s="35" customFormat="1" ht="24">
      <c r="A233" s="478"/>
      <c r="B233" s="40" t="s">
        <v>2302</v>
      </c>
      <c r="C233" s="40" t="s">
        <v>2303</v>
      </c>
      <c r="D233" s="77" t="s">
        <v>2304</v>
      </c>
      <c r="E233" s="76" t="s">
        <v>2305</v>
      </c>
      <c r="F233" s="76" t="s">
        <v>357</v>
      </c>
      <c r="G233" s="40"/>
      <c r="H233" s="40" t="s">
        <v>2300</v>
      </c>
      <c r="I233" s="76" t="s">
        <v>24</v>
      </c>
      <c r="J233" s="40" t="s">
        <v>1664</v>
      </c>
      <c r="K233" s="40" t="s">
        <v>2306</v>
      </c>
      <c r="L233" s="473"/>
      <c r="M233" s="466"/>
      <c r="N233" s="101"/>
    </row>
    <row r="234" spans="1:14" s="35" customFormat="1" ht="24">
      <c r="A234" s="478"/>
      <c r="B234" s="40" t="s">
        <v>2307</v>
      </c>
      <c r="C234" s="40" t="s">
        <v>2308</v>
      </c>
      <c r="D234" s="77" t="s">
        <v>2309</v>
      </c>
      <c r="E234" s="76" t="s">
        <v>2310</v>
      </c>
      <c r="F234" s="76" t="s">
        <v>357</v>
      </c>
      <c r="G234" s="40"/>
      <c r="H234" s="40" t="s">
        <v>366</v>
      </c>
      <c r="I234" s="76" t="s">
        <v>24</v>
      </c>
      <c r="J234" s="40" t="s">
        <v>2210</v>
      </c>
      <c r="K234" s="40" t="s">
        <v>2311</v>
      </c>
      <c r="L234" s="473"/>
      <c r="M234" s="466"/>
      <c r="N234" s="101"/>
    </row>
    <row r="235" spans="1:14" s="35" customFormat="1" ht="36">
      <c r="A235" s="478"/>
      <c r="B235" s="40" t="s">
        <v>2312</v>
      </c>
      <c r="C235" s="40" t="s">
        <v>2313</v>
      </c>
      <c r="D235" s="77" t="s">
        <v>2314</v>
      </c>
      <c r="E235" s="76" t="s">
        <v>2315</v>
      </c>
      <c r="F235" s="76" t="s">
        <v>357</v>
      </c>
      <c r="G235" s="40"/>
      <c r="H235" s="40" t="s">
        <v>366</v>
      </c>
      <c r="I235" s="76" t="s">
        <v>24</v>
      </c>
      <c r="J235" s="40" t="s">
        <v>2210</v>
      </c>
      <c r="K235" s="40" t="s">
        <v>2316</v>
      </c>
      <c r="L235" s="473"/>
      <c r="M235" s="466"/>
      <c r="N235" s="122" t="s">
        <v>2317</v>
      </c>
    </row>
    <row r="236" spans="1:14" s="36" customFormat="1" ht="36">
      <c r="A236" s="478"/>
      <c r="B236" s="42" t="s">
        <v>2318</v>
      </c>
      <c r="C236" s="42" t="s">
        <v>2319</v>
      </c>
      <c r="D236" s="93" t="s">
        <v>2320</v>
      </c>
      <c r="E236" s="78" t="s">
        <v>2321</v>
      </c>
      <c r="F236" s="78" t="s">
        <v>357</v>
      </c>
      <c r="G236" s="42"/>
      <c r="H236" s="42" t="s">
        <v>2322</v>
      </c>
      <c r="I236" s="78" t="s">
        <v>24</v>
      </c>
      <c r="J236" s="42" t="s">
        <v>2216</v>
      </c>
      <c r="K236" s="42" t="s">
        <v>2323</v>
      </c>
      <c r="L236" s="473"/>
      <c r="M236" s="466"/>
      <c r="N236" s="99" t="s">
        <v>2317</v>
      </c>
    </row>
    <row r="237" spans="1:14" s="36" customFormat="1" ht="24">
      <c r="A237" s="478"/>
      <c r="B237" s="42" t="s">
        <v>2324</v>
      </c>
      <c r="C237" s="42" t="s">
        <v>2325</v>
      </c>
      <c r="D237" s="93" t="s">
        <v>2326</v>
      </c>
      <c r="E237" s="78" t="s">
        <v>2327</v>
      </c>
      <c r="F237" s="78" t="s">
        <v>357</v>
      </c>
      <c r="G237" s="42"/>
      <c r="H237" s="42" t="s">
        <v>2322</v>
      </c>
      <c r="I237" s="78" t="s">
        <v>24</v>
      </c>
      <c r="J237" s="42" t="s">
        <v>2204</v>
      </c>
      <c r="K237" s="42" t="s">
        <v>2328</v>
      </c>
      <c r="L237" s="473"/>
      <c r="M237" s="466"/>
      <c r="N237" s="99" t="s">
        <v>2317</v>
      </c>
    </row>
    <row r="238" spans="1:14" s="36" customFormat="1" ht="24">
      <c r="A238" s="478"/>
      <c r="B238" s="42" t="s">
        <v>2329</v>
      </c>
      <c r="C238" s="42" t="s">
        <v>2330</v>
      </c>
      <c r="D238" s="93" t="s">
        <v>1668</v>
      </c>
      <c r="E238" s="78" t="s">
        <v>1669</v>
      </c>
      <c r="F238" s="78" t="s">
        <v>357</v>
      </c>
      <c r="G238" s="42"/>
      <c r="H238" s="42" t="s">
        <v>2331</v>
      </c>
      <c r="I238" s="78" t="s">
        <v>24</v>
      </c>
      <c r="J238" s="42" t="s">
        <v>1671</v>
      </c>
      <c r="K238" s="42" t="s">
        <v>2332</v>
      </c>
      <c r="L238" s="473"/>
      <c r="M238" s="466"/>
      <c r="N238" s="99" t="s">
        <v>2317</v>
      </c>
    </row>
    <row r="239" spans="1:14" s="35" customFormat="1" ht="24">
      <c r="A239" s="478"/>
      <c r="B239" s="40" t="s">
        <v>2333</v>
      </c>
      <c r="C239" s="40" t="s">
        <v>2334</v>
      </c>
      <c r="D239" s="77" t="s">
        <v>1675</v>
      </c>
      <c r="E239" s="76" t="s">
        <v>1676</v>
      </c>
      <c r="F239" s="76" t="s">
        <v>357</v>
      </c>
      <c r="G239" s="40"/>
      <c r="H239" s="40" t="s">
        <v>366</v>
      </c>
      <c r="I239" s="76" t="s">
        <v>24</v>
      </c>
      <c r="J239" s="40" t="s">
        <v>1139</v>
      </c>
      <c r="K239" s="40" t="s">
        <v>2230</v>
      </c>
      <c r="L239" s="473"/>
      <c r="M239" s="466"/>
      <c r="N239" s="101"/>
    </row>
    <row r="240" spans="1:14" s="36" customFormat="1" ht="36">
      <c r="A240" s="478"/>
      <c r="B240" s="42" t="s">
        <v>2335</v>
      </c>
      <c r="C240" s="42" t="s">
        <v>2336</v>
      </c>
      <c r="D240" s="93" t="s">
        <v>1680</v>
      </c>
      <c r="E240" s="78" t="s">
        <v>1681</v>
      </c>
      <c r="F240" s="78" t="s">
        <v>357</v>
      </c>
      <c r="G240" s="42"/>
      <c r="H240" s="42" t="s">
        <v>366</v>
      </c>
      <c r="I240" s="78" t="s">
        <v>57</v>
      </c>
      <c r="J240" s="103" t="s">
        <v>1682</v>
      </c>
      <c r="K240" s="42" t="s">
        <v>2233</v>
      </c>
      <c r="L240" s="473"/>
      <c r="M240" s="466"/>
      <c r="N240" s="99" t="s">
        <v>1684</v>
      </c>
    </row>
    <row r="241" spans="1:14" s="35" customFormat="1" ht="24">
      <c r="A241" s="478"/>
      <c r="B241" s="40" t="s">
        <v>2337</v>
      </c>
      <c r="C241" s="40" t="s">
        <v>2338</v>
      </c>
      <c r="D241" s="77" t="s">
        <v>1687</v>
      </c>
      <c r="E241" s="96" t="s">
        <v>1688</v>
      </c>
      <c r="F241" s="76" t="s">
        <v>357</v>
      </c>
      <c r="G241" s="40"/>
      <c r="H241" s="40" t="s">
        <v>366</v>
      </c>
      <c r="I241" s="76" t="s">
        <v>24</v>
      </c>
      <c r="J241" s="104" t="s">
        <v>1689</v>
      </c>
      <c r="K241" s="105" t="s">
        <v>1690</v>
      </c>
      <c r="L241" s="473"/>
      <c r="M241" s="466"/>
      <c r="N241" s="101"/>
    </row>
    <row r="242" spans="1:14" s="35" customFormat="1" ht="60">
      <c r="A242" s="478"/>
      <c r="B242" s="40" t="s">
        <v>2339</v>
      </c>
      <c r="C242" s="40" t="s">
        <v>2340</v>
      </c>
      <c r="D242" s="77" t="s">
        <v>1693</v>
      </c>
      <c r="E242" s="76" t="s">
        <v>1694</v>
      </c>
      <c r="F242" s="76" t="s">
        <v>357</v>
      </c>
      <c r="G242" s="40"/>
      <c r="H242" s="40" t="s">
        <v>366</v>
      </c>
      <c r="I242" s="76" t="s">
        <v>24</v>
      </c>
      <c r="J242" s="40" t="s">
        <v>1695</v>
      </c>
      <c r="K242" s="40" t="s">
        <v>2266</v>
      </c>
      <c r="L242" s="473"/>
      <c r="M242" s="466"/>
      <c r="N242" s="101"/>
    </row>
    <row r="243" spans="1:14" s="35" customFormat="1" ht="48">
      <c r="A243" s="478"/>
      <c r="B243" s="40" t="s">
        <v>2341</v>
      </c>
      <c r="C243" s="40" t="s">
        <v>2342</v>
      </c>
      <c r="D243" s="77" t="s">
        <v>1705</v>
      </c>
      <c r="E243" s="76" t="s">
        <v>1706</v>
      </c>
      <c r="F243" s="76" t="s">
        <v>357</v>
      </c>
      <c r="G243" s="40"/>
      <c r="H243" s="40" t="s">
        <v>2343</v>
      </c>
      <c r="I243" s="76" t="s">
        <v>24</v>
      </c>
      <c r="J243" s="106" t="s">
        <v>1707</v>
      </c>
      <c r="K243" s="40" t="s">
        <v>2242</v>
      </c>
      <c r="L243" s="473"/>
      <c r="M243" s="466"/>
      <c r="N243" s="101"/>
    </row>
    <row r="244" spans="1:14" s="36" customFormat="1" ht="24" customHeight="1">
      <c r="A244" s="478"/>
      <c r="B244" s="42" t="s">
        <v>2344</v>
      </c>
      <c r="C244" s="42" t="s">
        <v>2345</v>
      </c>
      <c r="D244" s="93" t="s">
        <v>1048</v>
      </c>
      <c r="E244" s="78" t="s">
        <v>1049</v>
      </c>
      <c r="F244" s="78" t="s">
        <v>357</v>
      </c>
      <c r="G244" s="42"/>
      <c r="H244" s="42"/>
      <c r="I244" s="78" t="s">
        <v>24</v>
      </c>
      <c r="J244" s="42" t="s">
        <v>71</v>
      </c>
      <c r="K244" s="100" t="s">
        <v>1649</v>
      </c>
      <c r="L244" s="473"/>
      <c r="M244" s="466"/>
      <c r="N244" s="99" t="s">
        <v>1651</v>
      </c>
    </row>
    <row r="245" spans="1:14" s="36" customFormat="1" ht="22.5" customHeight="1">
      <c r="A245" s="478"/>
      <c r="B245" s="42" t="s">
        <v>2346</v>
      </c>
      <c r="C245" s="42" t="s">
        <v>2347</v>
      </c>
      <c r="D245" s="93" t="s">
        <v>2298</v>
      </c>
      <c r="E245" s="78" t="s">
        <v>2299</v>
      </c>
      <c r="F245" s="78" t="s">
        <v>357</v>
      </c>
      <c r="G245" s="42"/>
      <c r="H245" s="116" t="s">
        <v>2348</v>
      </c>
      <c r="I245" s="78" t="s">
        <v>24</v>
      </c>
      <c r="J245" s="106" t="s">
        <v>1644</v>
      </c>
      <c r="K245" s="42" t="s">
        <v>2301</v>
      </c>
      <c r="L245" s="473"/>
      <c r="M245" s="466"/>
      <c r="N245" s="113" t="s">
        <v>2349</v>
      </c>
    </row>
    <row r="246" spans="1:14" s="36" customFormat="1" ht="24">
      <c r="A246" s="478"/>
      <c r="B246" s="42" t="s">
        <v>2350</v>
      </c>
      <c r="C246" s="42" t="s">
        <v>2351</v>
      </c>
      <c r="D246" s="93" t="s">
        <v>2304</v>
      </c>
      <c r="E246" s="78" t="s">
        <v>2305</v>
      </c>
      <c r="F246" s="78" t="s">
        <v>357</v>
      </c>
      <c r="G246" s="42"/>
      <c r="H246" s="116" t="s">
        <v>2352</v>
      </c>
      <c r="I246" s="78" t="s">
        <v>24</v>
      </c>
      <c r="J246" s="42" t="s">
        <v>1664</v>
      </c>
      <c r="K246" s="42" t="s">
        <v>2306</v>
      </c>
      <c r="L246" s="473"/>
      <c r="M246" s="466"/>
      <c r="N246" s="113"/>
    </row>
    <row r="247" spans="1:14" s="35" customFormat="1" ht="24">
      <c r="A247" s="478"/>
      <c r="B247" s="40" t="s">
        <v>2353</v>
      </c>
      <c r="C247" s="40" t="s">
        <v>2354</v>
      </c>
      <c r="D247" s="77" t="s">
        <v>2309</v>
      </c>
      <c r="E247" s="76" t="s">
        <v>2310</v>
      </c>
      <c r="F247" s="76" t="s">
        <v>357</v>
      </c>
      <c r="G247" s="40"/>
      <c r="H247" s="40" t="s">
        <v>366</v>
      </c>
      <c r="I247" s="76" t="s">
        <v>24</v>
      </c>
      <c r="J247" s="40" t="s">
        <v>2210</v>
      </c>
      <c r="K247" s="40" t="s">
        <v>2311</v>
      </c>
      <c r="L247" s="473"/>
      <c r="M247" s="466"/>
      <c r="N247" s="101"/>
    </row>
    <row r="248" spans="1:14" s="35" customFormat="1" ht="36">
      <c r="A248" s="478"/>
      <c r="B248" s="40" t="s">
        <v>2355</v>
      </c>
      <c r="C248" s="40" t="s">
        <v>2356</v>
      </c>
      <c r="D248" s="77" t="s">
        <v>2314</v>
      </c>
      <c r="E248" s="76" t="s">
        <v>2315</v>
      </c>
      <c r="F248" s="76" t="s">
        <v>357</v>
      </c>
      <c r="G248" s="40"/>
      <c r="H248" s="40" t="s">
        <v>2352</v>
      </c>
      <c r="I248" s="76" t="s">
        <v>24</v>
      </c>
      <c r="J248" s="40" t="s">
        <v>2210</v>
      </c>
      <c r="K248" s="40" t="s">
        <v>2316</v>
      </c>
      <c r="L248" s="473"/>
      <c r="M248" s="466"/>
      <c r="N248" s="101"/>
    </row>
    <row r="249" spans="1:14" s="84" customFormat="1" ht="36">
      <c r="A249" s="478"/>
      <c r="B249" s="117" t="s">
        <v>2357</v>
      </c>
      <c r="C249" s="117" t="s">
        <v>2358</v>
      </c>
      <c r="D249" s="118" t="s">
        <v>2320</v>
      </c>
      <c r="E249" s="119" t="s">
        <v>2321</v>
      </c>
      <c r="F249" s="119" t="s">
        <v>357</v>
      </c>
      <c r="G249" s="117"/>
      <c r="H249" s="117" t="s">
        <v>366</v>
      </c>
      <c r="I249" s="119" t="s">
        <v>24</v>
      </c>
      <c r="J249" s="117" t="s">
        <v>2216</v>
      </c>
      <c r="K249" s="117" t="s">
        <v>2323</v>
      </c>
      <c r="L249" s="473"/>
      <c r="M249" s="466"/>
      <c r="N249" s="123"/>
    </row>
    <row r="250" spans="1:14" s="84" customFormat="1" ht="24">
      <c r="A250" s="478"/>
      <c r="B250" s="117" t="s">
        <v>2359</v>
      </c>
      <c r="C250" s="117" t="s">
        <v>2360</v>
      </c>
      <c r="D250" s="118" t="s">
        <v>2326</v>
      </c>
      <c r="E250" s="119" t="s">
        <v>2327</v>
      </c>
      <c r="F250" s="119" t="s">
        <v>357</v>
      </c>
      <c r="G250" s="117"/>
      <c r="H250" s="117" t="s">
        <v>366</v>
      </c>
      <c r="I250" s="119" t="s">
        <v>24</v>
      </c>
      <c r="J250" s="117" t="s">
        <v>2204</v>
      </c>
      <c r="K250" s="117" t="s">
        <v>2328</v>
      </c>
      <c r="L250" s="473"/>
      <c r="M250" s="466"/>
      <c r="N250" s="123"/>
    </row>
    <row r="251" spans="1:14" s="35" customFormat="1" ht="24">
      <c r="A251" s="478"/>
      <c r="B251" s="40" t="s">
        <v>2361</v>
      </c>
      <c r="C251" s="40" t="s">
        <v>2362</v>
      </c>
      <c r="D251" s="77" t="s">
        <v>1668</v>
      </c>
      <c r="E251" s="76" t="s">
        <v>1669</v>
      </c>
      <c r="F251" s="76" t="s">
        <v>357</v>
      </c>
      <c r="G251" s="40"/>
      <c r="H251" s="40" t="s">
        <v>2363</v>
      </c>
      <c r="I251" s="76" t="s">
        <v>24</v>
      </c>
      <c r="J251" s="40" t="s">
        <v>1671</v>
      </c>
      <c r="K251" s="40" t="s">
        <v>2332</v>
      </c>
      <c r="L251" s="473"/>
      <c r="M251" s="466"/>
      <c r="N251" s="101"/>
    </row>
    <row r="252" spans="1:14" s="35" customFormat="1" ht="24">
      <c r="A252" s="478"/>
      <c r="B252" s="40" t="s">
        <v>2364</v>
      </c>
      <c r="C252" s="40" t="s">
        <v>2365</v>
      </c>
      <c r="D252" s="77" t="s">
        <v>1675</v>
      </c>
      <c r="E252" s="76" t="s">
        <v>1676</v>
      </c>
      <c r="F252" s="76" t="s">
        <v>357</v>
      </c>
      <c r="G252" s="40"/>
      <c r="H252" s="40" t="s">
        <v>366</v>
      </c>
      <c r="I252" s="76" t="s">
        <v>24</v>
      </c>
      <c r="J252" s="40" t="s">
        <v>1139</v>
      </c>
      <c r="K252" s="40" t="s">
        <v>2230</v>
      </c>
      <c r="L252" s="473"/>
      <c r="M252" s="466"/>
      <c r="N252" s="101"/>
    </row>
    <row r="253" spans="1:14" s="36" customFormat="1" ht="36">
      <c r="A253" s="478"/>
      <c r="B253" s="42" t="s">
        <v>2366</v>
      </c>
      <c r="C253" s="42" t="s">
        <v>2367</v>
      </c>
      <c r="D253" s="93" t="s">
        <v>1680</v>
      </c>
      <c r="E253" s="78" t="s">
        <v>1681</v>
      </c>
      <c r="F253" s="78" t="s">
        <v>357</v>
      </c>
      <c r="G253" s="42"/>
      <c r="H253" s="42" t="s">
        <v>366</v>
      </c>
      <c r="I253" s="78" t="s">
        <v>57</v>
      </c>
      <c r="J253" s="103" t="s">
        <v>1682</v>
      </c>
      <c r="K253" s="42" t="s">
        <v>2261</v>
      </c>
      <c r="L253" s="473"/>
      <c r="M253" s="466"/>
      <c r="N253" s="99" t="s">
        <v>1684</v>
      </c>
    </row>
    <row r="254" spans="1:14" s="35" customFormat="1" ht="24">
      <c r="A254" s="478"/>
      <c r="B254" s="40" t="s">
        <v>2368</v>
      </c>
      <c r="C254" s="40" t="s">
        <v>2369</v>
      </c>
      <c r="D254" s="77" t="s">
        <v>1687</v>
      </c>
      <c r="E254" s="96" t="s">
        <v>1688</v>
      </c>
      <c r="F254" s="76" t="s">
        <v>357</v>
      </c>
      <c r="G254" s="40"/>
      <c r="H254" s="40" t="s">
        <v>366</v>
      </c>
      <c r="I254" s="76" t="s">
        <v>24</v>
      </c>
      <c r="J254" s="104" t="s">
        <v>1689</v>
      </c>
      <c r="K254" s="105" t="s">
        <v>1690</v>
      </c>
      <c r="L254" s="473"/>
      <c r="M254" s="466"/>
      <c r="N254" s="101"/>
    </row>
    <row r="255" spans="1:14" s="35" customFormat="1" ht="60">
      <c r="A255" s="478"/>
      <c r="B255" s="40" t="s">
        <v>2370</v>
      </c>
      <c r="C255" s="40" t="s">
        <v>2371</v>
      </c>
      <c r="D255" s="77" t="s">
        <v>1693</v>
      </c>
      <c r="E255" s="76" t="s">
        <v>1694</v>
      </c>
      <c r="F255" s="76" t="s">
        <v>357</v>
      </c>
      <c r="G255" s="40"/>
      <c r="H255" s="40" t="s">
        <v>366</v>
      </c>
      <c r="I255" s="76" t="s">
        <v>24</v>
      </c>
      <c r="J255" s="40" t="s">
        <v>1695</v>
      </c>
      <c r="K255" s="40" t="s">
        <v>2266</v>
      </c>
      <c r="L255" s="473"/>
      <c r="M255" s="466"/>
      <c r="N255" s="101"/>
    </row>
    <row r="256" spans="1:14" s="35" customFormat="1" ht="48">
      <c r="A256" s="478"/>
      <c r="B256" s="40" t="s">
        <v>2372</v>
      </c>
      <c r="C256" s="40" t="s">
        <v>2373</v>
      </c>
      <c r="D256" s="77" t="s">
        <v>1705</v>
      </c>
      <c r="E256" s="76" t="s">
        <v>1706</v>
      </c>
      <c r="F256" s="76" t="s">
        <v>357</v>
      </c>
      <c r="G256" s="40"/>
      <c r="H256" s="40" t="s">
        <v>2374</v>
      </c>
      <c r="I256" s="76" t="s">
        <v>24</v>
      </c>
      <c r="J256" s="106" t="s">
        <v>1707</v>
      </c>
      <c r="K256" s="40" t="s">
        <v>2242</v>
      </c>
      <c r="L256" s="473"/>
      <c r="M256" s="466"/>
      <c r="N256" s="101"/>
    </row>
    <row r="257" spans="1:14" s="36" customFormat="1" ht="24" customHeight="1">
      <c r="A257" s="478"/>
      <c r="B257" s="42" t="s">
        <v>2375</v>
      </c>
      <c r="C257" s="42" t="s">
        <v>2376</v>
      </c>
      <c r="D257" s="93" t="s">
        <v>1048</v>
      </c>
      <c r="E257" s="78" t="s">
        <v>1049</v>
      </c>
      <c r="F257" s="78" t="s">
        <v>789</v>
      </c>
      <c r="G257" s="42"/>
      <c r="H257" s="42"/>
      <c r="I257" s="78" t="s">
        <v>24</v>
      </c>
      <c r="J257" s="42" t="s">
        <v>71</v>
      </c>
      <c r="K257" s="100" t="s">
        <v>1649</v>
      </c>
      <c r="L257" s="102"/>
      <c r="M257" s="466"/>
      <c r="N257" s="99" t="s">
        <v>1651</v>
      </c>
    </row>
    <row r="258" spans="1:14" s="35" customFormat="1" ht="36" customHeight="1">
      <c r="A258" s="478"/>
      <c r="B258" s="40" t="s">
        <v>2377</v>
      </c>
      <c r="C258" s="40" t="s">
        <v>2378</v>
      </c>
      <c r="D258" s="77" t="s">
        <v>2298</v>
      </c>
      <c r="E258" s="76" t="s">
        <v>2299</v>
      </c>
      <c r="F258" s="76" t="s">
        <v>789</v>
      </c>
      <c r="G258" s="40"/>
      <c r="H258" s="40" t="s">
        <v>366</v>
      </c>
      <c r="I258" s="76" t="s">
        <v>24</v>
      </c>
      <c r="J258" s="40" t="s">
        <v>1644</v>
      </c>
      <c r="K258" s="40" t="s">
        <v>2301</v>
      </c>
      <c r="L258" s="102"/>
      <c r="M258" s="466"/>
      <c r="N258" s="101"/>
    </row>
    <row r="259" spans="1:14" s="35" customFormat="1" ht="24">
      <c r="A259" s="478"/>
      <c r="B259" s="40" t="s">
        <v>2379</v>
      </c>
      <c r="C259" s="40" t="s">
        <v>2380</v>
      </c>
      <c r="D259" s="77" t="s">
        <v>2304</v>
      </c>
      <c r="E259" s="76" t="s">
        <v>2305</v>
      </c>
      <c r="F259" s="76" t="s">
        <v>789</v>
      </c>
      <c r="G259" s="40"/>
      <c r="H259" s="40" t="s">
        <v>366</v>
      </c>
      <c r="I259" s="76" t="s">
        <v>24</v>
      </c>
      <c r="J259" s="40" t="s">
        <v>1664</v>
      </c>
      <c r="K259" s="40" t="s">
        <v>2306</v>
      </c>
      <c r="L259" s="102"/>
      <c r="M259" s="466"/>
      <c r="N259" s="101"/>
    </row>
    <row r="260" spans="1:14" s="35" customFormat="1" ht="24">
      <c r="A260" s="478"/>
      <c r="B260" s="40" t="s">
        <v>2381</v>
      </c>
      <c r="C260" s="40" t="s">
        <v>2382</v>
      </c>
      <c r="D260" s="77" t="s">
        <v>2309</v>
      </c>
      <c r="E260" s="76" t="s">
        <v>2310</v>
      </c>
      <c r="F260" s="76" t="s">
        <v>789</v>
      </c>
      <c r="G260" s="40"/>
      <c r="H260" s="40" t="s">
        <v>366</v>
      </c>
      <c r="I260" s="76" t="s">
        <v>24</v>
      </c>
      <c r="J260" s="40" t="s">
        <v>2210</v>
      </c>
      <c r="K260" s="40" t="s">
        <v>2311</v>
      </c>
      <c r="L260" s="102"/>
      <c r="M260" s="466"/>
      <c r="N260" s="101"/>
    </row>
    <row r="261" spans="1:14" s="35" customFormat="1" ht="36">
      <c r="A261" s="478"/>
      <c r="B261" s="40" t="s">
        <v>2383</v>
      </c>
      <c r="C261" s="40" t="s">
        <v>2384</v>
      </c>
      <c r="D261" s="77" t="s">
        <v>2314</v>
      </c>
      <c r="E261" s="76" t="s">
        <v>2315</v>
      </c>
      <c r="F261" s="76" t="s">
        <v>789</v>
      </c>
      <c r="G261" s="40"/>
      <c r="H261" s="40" t="s">
        <v>366</v>
      </c>
      <c r="I261" s="76" t="s">
        <v>24</v>
      </c>
      <c r="J261" s="40" t="s">
        <v>2210</v>
      </c>
      <c r="K261" s="40" t="s">
        <v>2316</v>
      </c>
      <c r="L261" s="102"/>
      <c r="M261" s="466"/>
      <c r="N261" s="101"/>
    </row>
    <row r="262" spans="1:14" s="35" customFormat="1" ht="36">
      <c r="A262" s="478"/>
      <c r="B262" s="40" t="s">
        <v>2385</v>
      </c>
      <c r="C262" s="40" t="s">
        <v>2386</v>
      </c>
      <c r="D262" s="77" t="s">
        <v>2320</v>
      </c>
      <c r="E262" s="76" t="s">
        <v>2321</v>
      </c>
      <c r="F262" s="76" t="s">
        <v>789</v>
      </c>
      <c r="G262" s="40"/>
      <c r="H262" s="40" t="s">
        <v>366</v>
      </c>
      <c r="I262" s="76" t="s">
        <v>24</v>
      </c>
      <c r="J262" s="40" t="s">
        <v>2216</v>
      </c>
      <c r="K262" s="40" t="s">
        <v>2323</v>
      </c>
      <c r="L262" s="102"/>
      <c r="M262" s="466"/>
      <c r="N262" s="101"/>
    </row>
    <row r="263" spans="1:14" s="35" customFormat="1" ht="24">
      <c r="A263" s="478"/>
      <c r="B263" s="40" t="s">
        <v>2387</v>
      </c>
      <c r="C263" s="40" t="s">
        <v>2388</v>
      </c>
      <c r="D263" s="77" t="s">
        <v>2326</v>
      </c>
      <c r="E263" s="76" t="s">
        <v>2327</v>
      </c>
      <c r="F263" s="76" t="s">
        <v>789</v>
      </c>
      <c r="G263" s="40"/>
      <c r="H263" s="40" t="s">
        <v>366</v>
      </c>
      <c r="I263" s="76" t="s">
        <v>24</v>
      </c>
      <c r="J263" s="40" t="s">
        <v>2204</v>
      </c>
      <c r="K263" s="40" t="s">
        <v>2328</v>
      </c>
      <c r="L263" s="102"/>
      <c r="M263" s="466"/>
      <c r="N263" s="101"/>
    </row>
    <row r="264" spans="1:14" s="35" customFormat="1" ht="24">
      <c r="A264" s="478"/>
      <c r="B264" s="40" t="s">
        <v>2389</v>
      </c>
      <c r="C264" s="40" t="s">
        <v>2390</v>
      </c>
      <c r="D264" s="77" t="s">
        <v>1668</v>
      </c>
      <c r="E264" s="76" t="s">
        <v>1669</v>
      </c>
      <c r="F264" s="76" t="s">
        <v>789</v>
      </c>
      <c r="G264" s="40"/>
      <c r="H264" s="40" t="s">
        <v>366</v>
      </c>
      <c r="I264" s="76" t="s">
        <v>24</v>
      </c>
      <c r="J264" s="40" t="s">
        <v>1671</v>
      </c>
      <c r="K264" s="40" t="s">
        <v>2332</v>
      </c>
      <c r="L264" s="102"/>
      <c r="M264" s="466"/>
      <c r="N264" s="101"/>
    </row>
    <row r="265" spans="1:14" s="35" customFormat="1" ht="24">
      <c r="A265" s="478"/>
      <c r="B265" s="40" t="s">
        <v>2391</v>
      </c>
      <c r="C265" s="40" t="s">
        <v>2392</v>
      </c>
      <c r="D265" s="77" t="s">
        <v>1675</v>
      </c>
      <c r="E265" s="76" t="s">
        <v>1676</v>
      </c>
      <c r="F265" s="76" t="s">
        <v>789</v>
      </c>
      <c r="G265" s="40"/>
      <c r="H265" s="40" t="s">
        <v>366</v>
      </c>
      <c r="I265" s="76" t="s">
        <v>24</v>
      </c>
      <c r="J265" s="40" t="s">
        <v>1139</v>
      </c>
      <c r="K265" s="40" t="s">
        <v>2230</v>
      </c>
      <c r="L265" s="102"/>
      <c r="M265" s="466"/>
      <c r="N265" s="101"/>
    </row>
    <row r="266" spans="1:14" s="36" customFormat="1" ht="24">
      <c r="A266" s="478"/>
      <c r="B266" s="42" t="s">
        <v>2393</v>
      </c>
      <c r="C266" s="42" t="s">
        <v>2394</v>
      </c>
      <c r="D266" s="93" t="s">
        <v>1680</v>
      </c>
      <c r="E266" s="78" t="s">
        <v>1681</v>
      </c>
      <c r="F266" s="78" t="s">
        <v>789</v>
      </c>
      <c r="G266" s="42"/>
      <c r="H266" s="42" t="s">
        <v>366</v>
      </c>
      <c r="I266" s="110" t="s">
        <v>57</v>
      </c>
      <c r="J266" s="103" t="s">
        <v>1682</v>
      </c>
      <c r="K266" s="42" t="s">
        <v>1785</v>
      </c>
      <c r="L266" s="121"/>
      <c r="M266" s="466"/>
      <c r="N266" s="99" t="s">
        <v>1684</v>
      </c>
    </row>
    <row r="267" spans="1:14" s="35" customFormat="1" ht="24">
      <c r="A267" s="478"/>
      <c r="B267" s="40" t="s">
        <v>2395</v>
      </c>
      <c r="C267" s="40" t="s">
        <v>2396</v>
      </c>
      <c r="D267" s="77" t="s">
        <v>1687</v>
      </c>
      <c r="E267" s="96" t="s">
        <v>1688</v>
      </c>
      <c r="F267" s="76" t="s">
        <v>789</v>
      </c>
      <c r="G267" s="40"/>
      <c r="H267" s="40" t="s">
        <v>366</v>
      </c>
      <c r="I267" s="76" t="s">
        <v>24</v>
      </c>
      <c r="J267" s="104" t="s">
        <v>1689</v>
      </c>
      <c r="K267" s="105" t="s">
        <v>1690</v>
      </c>
      <c r="L267" s="102"/>
      <c r="M267" s="466"/>
      <c r="N267" s="101"/>
    </row>
    <row r="268" spans="1:14" s="35" customFormat="1" ht="60">
      <c r="A268" s="478"/>
      <c r="B268" s="40" t="s">
        <v>2397</v>
      </c>
      <c r="C268" s="40" t="s">
        <v>2398</v>
      </c>
      <c r="D268" s="77" t="s">
        <v>1693</v>
      </c>
      <c r="E268" s="76" t="s">
        <v>1694</v>
      </c>
      <c r="F268" s="76" t="s">
        <v>789</v>
      </c>
      <c r="G268" s="40"/>
      <c r="H268" s="40" t="s">
        <v>366</v>
      </c>
      <c r="I268" s="76" t="s">
        <v>24</v>
      </c>
      <c r="J268" s="40" t="s">
        <v>1695</v>
      </c>
      <c r="K268" s="40" t="s">
        <v>2266</v>
      </c>
      <c r="L268" s="102"/>
      <c r="M268" s="466"/>
      <c r="N268" s="101"/>
    </row>
    <row r="269" spans="1:14" s="35" customFormat="1" ht="48">
      <c r="A269" s="479"/>
      <c r="B269" s="40" t="s">
        <v>2399</v>
      </c>
      <c r="C269" s="40" t="s">
        <v>2400</v>
      </c>
      <c r="D269" s="77" t="s">
        <v>1705</v>
      </c>
      <c r="E269" s="76" t="s">
        <v>1706</v>
      </c>
      <c r="F269" s="76" t="s">
        <v>789</v>
      </c>
      <c r="G269" s="40"/>
      <c r="H269" s="40" t="s">
        <v>366</v>
      </c>
      <c r="I269" s="76" t="s">
        <v>24</v>
      </c>
      <c r="J269" s="106" t="s">
        <v>1707</v>
      </c>
      <c r="K269" s="40" t="s">
        <v>2242</v>
      </c>
      <c r="L269" s="102"/>
      <c r="M269" s="467"/>
      <c r="N269" s="101"/>
    </row>
    <row r="270" spans="1:14" s="85" customFormat="1" ht="48">
      <c r="A270" s="480" t="s">
        <v>2401</v>
      </c>
      <c r="B270" s="42" t="s">
        <v>2402</v>
      </c>
      <c r="C270" s="42" t="s">
        <v>2403</v>
      </c>
      <c r="D270" s="93" t="s">
        <v>2404</v>
      </c>
      <c r="E270" s="78" t="s">
        <v>2405</v>
      </c>
      <c r="F270" s="78" t="s">
        <v>357</v>
      </c>
      <c r="G270" s="42" t="s">
        <v>2406</v>
      </c>
      <c r="H270" s="42" t="s">
        <v>2407</v>
      </c>
      <c r="I270" s="78" t="s">
        <v>24</v>
      </c>
      <c r="J270" s="42" t="s">
        <v>387</v>
      </c>
      <c r="K270" s="42" t="s">
        <v>2408</v>
      </c>
      <c r="L270" s="39" t="s">
        <v>769</v>
      </c>
      <c r="M270" s="98"/>
      <c r="N270" s="113" t="s">
        <v>2409</v>
      </c>
    </row>
    <row r="271" spans="1:14" s="35" customFormat="1" ht="24">
      <c r="A271" s="481"/>
      <c r="B271" s="40" t="s">
        <v>2410</v>
      </c>
      <c r="C271" s="40" t="s">
        <v>2411</v>
      </c>
      <c r="D271" s="77" t="s">
        <v>2412</v>
      </c>
      <c r="E271" s="76" t="s">
        <v>2413</v>
      </c>
      <c r="F271" s="76" t="s">
        <v>357</v>
      </c>
      <c r="G271" s="40"/>
      <c r="H271" s="40" t="s">
        <v>2412</v>
      </c>
      <c r="I271" s="76" t="s">
        <v>24</v>
      </c>
      <c r="J271" s="40" t="s">
        <v>28</v>
      </c>
      <c r="K271" s="40" t="s">
        <v>2414</v>
      </c>
      <c r="L271" s="30" t="s">
        <v>407</v>
      </c>
      <c r="M271" s="53"/>
      <c r="N271" s="101"/>
    </row>
    <row r="272" spans="1:14" s="35" customFormat="1" ht="36">
      <c r="A272" s="481"/>
      <c r="B272" s="40" t="s">
        <v>2415</v>
      </c>
      <c r="C272" s="40" t="s">
        <v>2416</v>
      </c>
      <c r="D272" s="77" t="s">
        <v>2417</v>
      </c>
      <c r="E272" s="76" t="s">
        <v>2418</v>
      </c>
      <c r="F272" s="76" t="s">
        <v>357</v>
      </c>
      <c r="G272" s="40"/>
      <c r="H272" s="40" t="s">
        <v>2419</v>
      </c>
      <c r="I272" s="76" t="s">
        <v>24</v>
      </c>
      <c r="J272" s="40" t="s">
        <v>2420</v>
      </c>
      <c r="K272" s="40" t="s">
        <v>2421</v>
      </c>
      <c r="L272" s="30" t="s">
        <v>777</v>
      </c>
      <c r="M272" s="53"/>
      <c r="N272" s="101"/>
    </row>
    <row r="273" spans="1:14" s="35" customFormat="1" ht="36">
      <c r="A273" s="481"/>
      <c r="B273" s="40" t="s">
        <v>2422</v>
      </c>
      <c r="C273" s="40" t="s">
        <v>2423</v>
      </c>
      <c r="D273" s="77" t="s">
        <v>2424</v>
      </c>
      <c r="E273" s="76" t="s">
        <v>2425</v>
      </c>
      <c r="F273" s="76" t="s">
        <v>357</v>
      </c>
      <c r="G273" s="40"/>
      <c r="H273" s="40" t="s">
        <v>366</v>
      </c>
      <c r="I273" s="76" t="s">
        <v>24</v>
      </c>
      <c r="J273" s="40" t="s">
        <v>2420</v>
      </c>
      <c r="K273" s="40" t="s">
        <v>2426</v>
      </c>
      <c r="L273" s="30" t="s">
        <v>777</v>
      </c>
      <c r="M273" s="53"/>
      <c r="N273" s="101"/>
    </row>
    <row r="274" spans="1:14" s="35" customFormat="1" ht="36">
      <c r="A274" s="481"/>
      <c r="B274" s="124" t="s">
        <v>2427</v>
      </c>
      <c r="C274" s="124" t="s">
        <v>2428</v>
      </c>
      <c r="D274" s="125" t="s">
        <v>2429</v>
      </c>
      <c r="E274" s="76" t="s">
        <v>2430</v>
      </c>
      <c r="F274" s="76" t="s">
        <v>357</v>
      </c>
      <c r="G274" s="40"/>
      <c r="H274" s="40" t="s">
        <v>366</v>
      </c>
      <c r="I274" s="76" t="s">
        <v>24</v>
      </c>
      <c r="J274" s="40" t="s">
        <v>2431</v>
      </c>
      <c r="K274" s="40" t="s">
        <v>2430</v>
      </c>
      <c r="L274" s="30" t="s">
        <v>777</v>
      </c>
      <c r="M274" s="53"/>
      <c r="N274" s="138" t="s">
        <v>1177</v>
      </c>
    </row>
    <row r="275" spans="1:14" s="85" customFormat="1" ht="36">
      <c r="A275" s="481"/>
      <c r="B275" s="42" t="s">
        <v>2432</v>
      </c>
      <c r="C275" s="42" t="s">
        <v>2433</v>
      </c>
      <c r="D275" s="93" t="s">
        <v>2434</v>
      </c>
      <c r="E275" s="78" t="s">
        <v>2435</v>
      </c>
      <c r="F275" s="78" t="s">
        <v>357</v>
      </c>
      <c r="G275" s="42"/>
      <c r="H275" s="42" t="s">
        <v>366</v>
      </c>
      <c r="I275" s="78" t="s">
        <v>24</v>
      </c>
      <c r="J275" s="115" t="s">
        <v>2431</v>
      </c>
      <c r="K275" s="42" t="s">
        <v>2436</v>
      </c>
      <c r="L275" s="39" t="s">
        <v>777</v>
      </c>
      <c r="M275" s="98"/>
      <c r="N275" s="113" t="s">
        <v>2437</v>
      </c>
    </row>
    <row r="276" spans="1:14" s="35" customFormat="1" ht="36">
      <c r="A276" s="481"/>
      <c r="B276" s="40" t="s">
        <v>2438</v>
      </c>
      <c r="C276" s="40" t="s">
        <v>2439</v>
      </c>
      <c r="D276" s="77" t="s">
        <v>2440</v>
      </c>
      <c r="E276" s="76" t="s">
        <v>2441</v>
      </c>
      <c r="F276" s="76" t="s">
        <v>357</v>
      </c>
      <c r="G276" s="40"/>
      <c r="H276" s="40" t="s">
        <v>366</v>
      </c>
      <c r="I276" s="76" t="s">
        <v>24</v>
      </c>
      <c r="J276" s="40" t="s">
        <v>1449</v>
      </c>
      <c r="K276" s="40" t="s">
        <v>2441</v>
      </c>
      <c r="L276" s="30" t="s">
        <v>777</v>
      </c>
      <c r="M276" s="53"/>
      <c r="N276" s="101"/>
    </row>
    <row r="277" spans="1:14" s="35" customFormat="1" ht="36">
      <c r="A277" s="481"/>
      <c r="B277" s="40" t="s">
        <v>2442</v>
      </c>
      <c r="C277" s="40" t="s">
        <v>2443</v>
      </c>
      <c r="D277" s="77" t="s">
        <v>2444</v>
      </c>
      <c r="E277" s="76" t="s">
        <v>2445</v>
      </c>
      <c r="F277" s="76" t="s">
        <v>357</v>
      </c>
      <c r="G277" s="40"/>
      <c r="H277" s="40" t="s">
        <v>366</v>
      </c>
      <c r="I277" s="76" t="s">
        <v>24</v>
      </c>
      <c r="J277" s="40" t="s">
        <v>1449</v>
      </c>
      <c r="K277" s="40" t="s">
        <v>2445</v>
      </c>
      <c r="L277" s="30" t="s">
        <v>777</v>
      </c>
      <c r="M277" s="53"/>
      <c r="N277" s="101"/>
    </row>
    <row r="278" spans="1:14" s="35" customFormat="1" ht="48">
      <c r="A278" s="476" t="s">
        <v>2446</v>
      </c>
      <c r="B278" s="40" t="s">
        <v>2447</v>
      </c>
      <c r="C278" s="40" t="s">
        <v>2448</v>
      </c>
      <c r="D278" s="77" t="s">
        <v>2449</v>
      </c>
      <c r="E278" s="76" t="s">
        <v>2450</v>
      </c>
      <c r="F278" s="76" t="s">
        <v>357</v>
      </c>
      <c r="G278" s="40"/>
      <c r="H278" s="40" t="s">
        <v>2451</v>
      </c>
      <c r="I278" s="76" t="s">
        <v>24</v>
      </c>
      <c r="J278" s="106" t="s">
        <v>2452</v>
      </c>
      <c r="K278" s="40" t="s">
        <v>2453</v>
      </c>
      <c r="L278" s="30" t="s">
        <v>769</v>
      </c>
      <c r="M278" s="53"/>
      <c r="N278" s="139" t="s">
        <v>2454</v>
      </c>
    </row>
    <row r="279" spans="1:14" s="36" customFormat="1" ht="36">
      <c r="A279" s="482"/>
      <c r="B279" s="42" t="s">
        <v>2455</v>
      </c>
      <c r="C279" s="42" t="s">
        <v>2456</v>
      </c>
      <c r="D279" s="93" t="s">
        <v>2457</v>
      </c>
      <c r="E279" s="78" t="s">
        <v>2458</v>
      </c>
      <c r="F279" s="78" t="s">
        <v>357</v>
      </c>
      <c r="G279" s="42"/>
      <c r="H279" s="42" t="s">
        <v>366</v>
      </c>
      <c r="I279" s="78" t="s">
        <v>24</v>
      </c>
      <c r="J279" s="42" t="s">
        <v>496</v>
      </c>
      <c r="K279" s="42" t="s">
        <v>2459</v>
      </c>
      <c r="L279" s="39" t="s">
        <v>777</v>
      </c>
      <c r="M279" s="98"/>
      <c r="N279" s="113" t="s">
        <v>2409</v>
      </c>
    </row>
    <row r="280" spans="1:14" s="35" customFormat="1" ht="48">
      <c r="A280" s="482"/>
      <c r="B280" s="40" t="s">
        <v>2460</v>
      </c>
      <c r="C280" s="40" t="s">
        <v>2461</v>
      </c>
      <c r="D280" s="77" t="s">
        <v>2462</v>
      </c>
      <c r="E280" s="76" t="s">
        <v>2463</v>
      </c>
      <c r="F280" s="76" t="s">
        <v>357</v>
      </c>
      <c r="G280" s="40"/>
      <c r="H280" s="40" t="s">
        <v>2462</v>
      </c>
      <c r="I280" s="76" t="s">
        <v>24</v>
      </c>
      <c r="J280" s="40" t="s">
        <v>1139</v>
      </c>
      <c r="K280" s="40" t="s">
        <v>366</v>
      </c>
      <c r="L280" s="30" t="s">
        <v>769</v>
      </c>
      <c r="M280" s="53"/>
      <c r="N280" s="101"/>
    </row>
    <row r="281" spans="1:14" s="36" customFormat="1" ht="48">
      <c r="A281" s="482"/>
      <c r="B281" s="42" t="s">
        <v>2464</v>
      </c>
      <c r="C281" s="42" t="s">
        <v>2465</v>
      </c>
      <c r="D281" s="93" t="s">
        <v>2466</v>
      </c>
      <c r="E281" s="78" t="s">
        <v>2467</v>
      </c>
      <c r="F281" s="78" t="s">
        <v>357</v>
      </c>
      <c r="G281" s="42"/>
      <c r="H281" s="42" t="s">
        <v>2466</v>
      </c>
      <c r="I281" s="78" t="s">
        <v>24</v>
      </c>
      <c r="J281" s="42" t="s">
        <v>628</v>
      </c>
      <c r="K281" s="42" t="s">
        <v>2468</v>
      </c>
      <c r="L281" s="39" t="s">
        <v>769</v>
      </c>
      <c r="M281" s="98"/>
      <c r="N281" s="113" t="s">
        <v>2409</v>
      </c>
    </row>
    <row r="282" spans="1:14" s="85" customFormat="1" ht="48">
      <c r="A282" s="482"/>
      <c r="B282" s="42" t="s">
        <v>2469</v>
      </c>
      <c r="C282" s="42" t="s">
        <v>2470</v>
      </c>
      <c r="D282" s="93" t="s">
        <v>2471</v>
      </c>
      <c r="E282" s="78" t="s">
        <v>2472</v>
      </c>
      <c r="F282" s="78" t="s">
        <v>357</v>
      </c>
      <c r="G282" s="42"/>
      <c r="H282" s="42" t="s">
        <v>2473</v>
      </c>
      <c r="I282" s="78" t="s">
        <v>24</v>
      </c>
      <c r="J282" s="42" t="s">
        <v>530</v>
      </c>
      <c r="K282" s="42" t="s">
        <v>2474</v>
      </c>
      <c r="L282" s="39" t="s">
        <v>769</v>
      </c>
      <c r="M282" s="98"/>
      <c r="N282" s="99" t="s">
        <v>2475</v>
      </c>
    </row>
    <row r="283" spans="1:14" s="86" customFormat="1" ht="36">
      <c r="A283" s="482"/>
      <c r="B283" s="40" t="s">
        <v>2476</v>
      </c>
      <c r="C283" s="40" t="s">
        <v>2477</v>
      </c>
      <c r="D283" s="77" t="s">
        <v>2478</v>
      </c>
      <c r="E283" s="126" t="s">
        <v>2479</v>
      </c>
      <c r="F283" s="126" t="s">
        <v>357</v>
      </c>
      <c r="G283" s="127"/>
      <c r="H283" s="127" t="s">
        <v>2478</v>
      </c>
      <c r="I283" s="76" t="s">
        <v>24</v>
      </c>
      <c r="J283" s="40" t="s">
        <v>628</v>
      </c>
      <c r="K283" s="40" t="s">
        <v>2480</v>
      </c>
      <c r="L283" s="30" t="s">
        <v>777</v>
      </c>
      <c r="M283" s="53"/>
      <c r="N283" s="101" t="s">
        <v>2481</v>
      </c>
    </row>
    <row r="284" spans="1:14" s="86" customFormat="1" ht="48">
      <c r="A284" s="482"/>
      <c r="B284" s="40" t="s">
        <v>2482</v>
      </c>
      <c r="C284" s="40" t="s">
        <v>2483</v>
      </c>
      <c r="D284" s="77" t="s">
        <v>2484</v>
      </c>
      <c r="E284" s="128" t="s">
        <v>2485</v>
      </c>
      <c r="F284" s="126" t="s">
        <v>357</v>
      </c>
      <c r="G284" s="127"/>
      <c r="H284" s="127" t="s">
        <v>2484</v>
      </c>
      <c r="I284" s="76" t="s">
        <v>24</v>
      </c>
      <c r="J284" s="40" t="s">
        <v>2486</v>
      </c>
      <c r="K284" s="40" t="s">
        <v>366</v>
      </c>
      <c r="L284" s="30" t="s">
        <v>769</v>
      </c>
      <c r="M284" s="98"/>
      <c r="N284" s="113" t="s">
        <v>2487</v>
      </c>
    </row>
    <row r="285" spans="1:14" s="86" customFormat="1" ht="48">
      <c r="A285" s="482"/>
      <c r="B285" s="40" t="s">
        <v>2488</v>
      </c>
      <c r="C285" s="40" t="s">
        <v>2489</v>
      </c>
      <c r="D285" s="77" t="s">
        <v>2490</v>
      </c>
      <c r="E285" s="128" t="s">
        <v>2491</v>
      </c>
      <c r="F285" s="126" t="s">
        <v>357</v>
      </c>
      <c r="G285" s="127"/>
      <c r="H285" s="127" t="s">
        <v>2490</v>
      </c>
      <c r="I285" s="76" t="s">
        <v>24</v>
      </c>
      <c r="J285" s="40" t="s">
        <v>2486</v>
      </c>
      <c r="K285" s="40" t="s">
        <v>366</v>
      </c>
      <c r="L285" s="30" t="s">
        <v>769</v>
      </c>
      <c r="M285" s="98"/>
      <c r="N285" s="113" t="s">
        <v>2487</v>
      </c>
    </row>
    <row r="286" spans="1:14" s="35" customFormat="1" ht="48">
      <c r="A286" s="482"/>
      <c r="B286" s="40" t="s">
        <v>2492</v>
      </c>
      <c r="C286" s="40" t="s">
        <v>2493</v>
      </c>
      <c r="D286" s="77" t="s">
        <v>2494</v>
      </c>
      <c r="E286" s="76" t="s">
        <v>2495</v>
      </c>
      <c r="F286" s="76" t="s">
        <v>357</v>
      </c>
      <c r="G286" s="40"/>
      <c r="H286" s="40" t="s">
        <v>2494</v>
      </c>
      <c r="I286" s="76" t="s">
        <v>24</v>
      </c>
      <c r="J286" s="40" t="s">
        <v>1202</v>
      </c>
      <c r="K286" s="40" t="s">
        <v>2496</v>
      </c>
      <c r="L286" s="30" t="s">
        <v>769</v>
      </c>
      <c r="M286" s="53"/>
      <c r="N286" s="101"/>
    </row>
    <row r="287" spans="1:14" s="35" customFormat="1" ht="48">
      <c r="A287" s="482"/>
      <c r="B287" s="124" t="s">
        <v>2497</v>
      </c>
      <c r="C287" s="124" t="s">
        <v>2498</v>
      </c>
      <c r="D287" s="125" t="s">
        <v>2499</v>
      </c>
      <c r="E287" s="76" t="s">
        <v>2500</v>
      </c>
      <c r="F287" s="76" t="s">
        <v>357</v>
      </c>
      <c r="G287" s="40"/>
      <c r="H287" s="104" t="s">
        <v>2499</v>
      </c>
      <c r="I287" s="76" t="s">
        <v>24</v>
      </c>
      <c r="J287" s="40" t="s">
        <v>2501</v>
      </c>
      <c r="K287" s="40" t="s">
        <v>366</v>
      </c>
      <c r="L287" s="30" t="s">
        <v>769</v>
      </c>
      <c r="M287" s="53"/>
      <c r="N287" s="138" t="s">
        <v>2502</v>
      </c>
    </row>
    <row r="288" spans="1:14" s="35" customFormat="1" ht="36">
      <c r="A288" s="482"/>
      <c r="B288" s="40" t="s">
        <v>2503</v>
      </c>
      <c r="C288" s="40" t="s">
        <v>2504</v>
      </c>
      <c r="D288" s="77" t="s">
        <v>2505</v>
      </c>
      <c r="E288" s="126" t="s">
        <v>2506</v>
      </c>
      <c r="F288" s="126" t="s">
        <v>357</v>
      </c>
      <c r="G288" s="127"/>
      <c r="H288" s="127" t="s">
        <v>2505</v>
      </c>
      <c r="I288" s="76" t="s">
        <v>24</v>
      </c>
      <c r="J288" s="40" t="s">
        <v>2486</v>
      </c>
      <c r="K288" s="40" t="s">
        <v>2507</v>
      </c>
      <c r="L288" s="30" t="s">
        <v>777</v>
      </c>
      <c r="M288" s="53"/>
      <c r="N288" s="113" t="s">
        <v>2487</v>
      </c>
    </row>
    <row r="289" spans="1:14" s="86" customFormat="1" ht="48">
      <c r="A289" s="482"/>
      <c r="B289" s="40" t="s">
        <v>2508</v>
      </c>
      <c r="C289" s="40" t="s">
        <v>2509</v>
      </c>
      <c r="D289" s="77" t="s">
        <v>2510</v>
      </c>
      <c r="E289" s="128" t="s">
        <v>2511</v>
      </c>
      <c r="F289" s="126" t="s">
        <v>357</v>
      </c>
      <c r="G289" s="127"/>
      <c r="H289" s="127" t="s">
        <v>2510</v>
      </c>
      <c r="I289" s="76" t="s">
        <v>24</v>
      </c>
      <c r="J289" s="40" t="s">
        <v>2486</v>
      </c>
      <c r="K289" s="40" t="s">
        <v>366</v>
      </c>
      <c r="L289" s="30" t="s">
        <v>769</v>
      </c>
      <c r="M289" s="98"/>
      <c r="N289" s="113" t="s">
        <v>2487</v>
      </c>
    </row>
    <row r="290" spans="1:14" s="85" customFormat="1" ht="48">
      <c r="A290" s="482"/>
      <c r="B290" s="42" t="s">
        <v>2512</v>
      </c>
      <c r="C290" s="42" t="s">
        <v>2513</v>
      </c>
      <c r="D290" s="93" t="s">
        <v>2514</v>
      </c>
      <c r="E290" s="78" t="s">
        <v>2515</v>
      </c>
      <c r="F290" s="78" t="s">
        <v>357</v>
      </c>
      <c r="G290" s="42"/>
      <c r="H290" s="42" t="s">
        <v>366</v>
      </c>
      <c r="I290" s="78" t="s">
        <v>24</v>
      </c>
      <c r="J290" s="42" t="s">
        <v>2516</v>
      </c>
      <c r="K290" s="42" t="s">
        <v>2517</v>
      </c>
      <c r="L290" s="39" t="s">
        <v>769</v>
      </c>
      <c r="M290" s="98"/>
      <c r="N290" s="99" t="s">
        <v>2317</v>
      </c>
    </row>
    <row r="291" spans="1:14" s="36" customFormat="1" ht="48">
      <c r="A291" s="482"/>
      <c r="B291" s="42" t="s">
        <v>2518</v>
      </c>
      <c r="C291" s="42" t="s">
        <v>2519</v>
      </c>
      <c r="D291" s="93" t="s">
        <v>2520</v>
      </c>
      <c r="E291" s="78" t="s">
        <v>2521</v>
      </c>
      <c r="F291" s="78" t="s">
        <v>357</v>
      </c>
      <c r="G291" s="42"/>
      <c r="H291" s="42" t="s">
        <v>366</v>
      </c>
      <c r="I291" s="78" t="s">
        <v>24</v>
      </c>
      <c r="J291" s="42" t="s">
        <v>2516</v>
      </c>
      <c r="K291" s="42" t="s">
        <v>2522</v>
      </c>
      <c r="L291" s="39" t="s">
        <v>769</v>
      </c>
      <c r="M291" s="98"/>
      <c r="N291" s="113"/>
    </row>
    <row r="292" spans="1:14" s="35" customFormat="1" ht="24">
      <c r="A292" s="482"/>
      <c r="B292" s="40" t="s">
        <v>2523</v>
      </c>
      <c r="C292" s="40" t="s">
        <v>2524</v>
      </c>
      <c r="D292" s="77" t="s">
        <v>2525</v>
      </c>
      <c r="E292" s="129" t="s">
        <v>2526</v>
      </c>
      <c r="F292" s="76" t="s">
        <v>357</v>
      </c>
      <c r="G292" s="40"/>
      <c r="H292" s="40" t="s">
        <v>2525</v>
      </c>
      <c r="I292" s="76" t="s">
        <v>24</v>
      </c>
      <c r="J292" s="40" t="s">
        <v>2486</v>
      </c>
      <c r="K292" s="40"/>
      <c r="L292" s="457" t="s">
        <v>407</v>
      </c>
      <c r="M292" s="53"/>
      <c r="N292" s="101"/>
    </row>
    <row r="293" spans="1:14" s="35" customFormat="1" ht="24">
      <c r="A293" s="482"/>
      <c r="B293" s="40" t="s">
        <v>2527</v>
      </c>
      <c r="C293" s="40" t="s">
        <v>2528</v>
      </c>
      <c r="D293" s="77" t="s">
        <v>2529</v>
      </c>
      <c r="E293" s="129" t="s">
        <v>2530</v>
      </c>
      <c r="F293" s="76" t="s">
        <v>357</v>
      </c>
      <c r="G293" s="40"/>
      <c r="H293" s="40" t="s">
        <v>2529</v>
      </c>
      <c r="I293" s="76" t="s">
        <v>24</v>
      </c>
      <c r="J293" s="40" t="s">
        <v>2486</v>
      </c>
      <c r="K293" s="40"/>
      <c r="L293" s="455"/>
      <c r="M293" s="53"/>
      <c r="N293" s="101"/>
    </row>
    <row r="294" spans="1:14" s="85" customFormat="1" ht="60">
      <c r="A294" s="482"/>
      <c r="B294" s="130" t="s">
        <v>2531</v>
      </c>
      <c r="C294" s="42" t="s">
        <v>2532</v>
      </c>
      <c r="D294" s="93" t="s">
        <v>2533</v>
      </c>
      <c r="E294" s="78" t="s">
        <v>2534</v>
      </c>
      <c r="F294" s="78" t="s">
        <v>357</v>
      </c>
      <c r="G294" s="42"/>
      <c r="H294" s="42" t="s">
        <v>2533</v>
      </c>
      <c r="I294" s="78" t="s">
        <v>24</v>
      </c>
      <c r="J294" s="42" t="s">
        <v>2535</v>
      </c>
      <c r="K294" s="42"/>
      <c r="L294" s="455"/>
      <c r="M294" s="98"/>
      <c r="N294" s="93" t="s">
        <v>2536</v>
      </c>
    </row>
    <row r="295" spans="1:14" s="85" customFormat="1" ht="24">
      <c r="A295" s="482"/>
      <c r="B295" s="42" t="s">
        <v>2537</v>
      </c>
      <c r="C295" s="42" t="s">
        <v>2538</v>
      </c>
      <c r="D295" s="93" t="s">
        <v>2539</v>
      </c>
      <c r="E295" s="78" t="s">
        <v>2540</v>
      </c>
      <c r="F295" s="78" t="s">
        <v>357</v>
      </c>
      <c r="G295" s="42"/>
      <c r="H295" s="42" t="s">
        <v>2539</v>
      </c>
      <c r="I295" s="78" t="s">
        <v>24</v>
      </c>
      <c r="J295" s="42" t="s">
        <v>2535</v>
      </c>
      <c r="K295" s="42"/>
      <c r="L295" s="455"/>
      <c r="M295" s="98"/>
      <c r="N295" s="99" t="s">
        <v>2317</v>
      </c>
    </row>
    <row r="296" spans="1:14" s="85" customFormat="1" ht="24">
      <c r="A296" s="482"/>
      <c r="B296" s="42" t="s">
        <v>2541</v>
      </c>
      <c r="C296" s="42" t="s">
        <v>2542</v>
      </c>
      <c r="D296" s="93" t="s">
        <v>2543</v>
      </c>
      <c r="E296" s="78" t="s">
        <v>2544</v>
      </c>
      <c r="F296" s="78" t="s">
        <v>357</v>
      </c>
      <c r="G296" s="42"/>
      <c r="H296" s="42" t="s">
        <v>2543</v>
      </c>
      <c r="I296" s="78" t="s">
        <v>24</v>
      </c>
      <c r="J296" s="42" t="s">
        <v>2545</v>
      </c>
      <c r="K296" s="42"/>
      <c r="L296" s="455"/>
      <c r="M296" s="98"/>
      <c r="N296" s="99" t="s">
        <v>2317</v>
      </c>
    </row>
    <row r="297" spans="1:14" s="35" customFormat="1" ht="24">
      <c r="A297" s="482"/>
      <c r="B297" s="40" t="s">
        <v>2546</v>
      </c>
      <c r="C297" s="40" t="s">
        <v>2547</v>
      </c>
      <c r="D297" s="77" t="s">
        <v>2548</v>
      </c>
      <c r="E297" s="76" t="s">
        <v>2549</v>
      </c>
      <c r="F297" s="76" t="s">
        <v>357</v>
      </c>
      <c r="G297" s="40"/>
      <c r="H297" s="40" t="s">
        <v>2548</v>
      </c>
      <c r="I297" s="76" t="s">
        <v>24</v>
      </c>
      <c r="J297" s="40" t="s">
        <v>2550</v>
      </c>
      <c r="K297" s="40" t="s">
        <v>2549</v>
      </c>
      <c r="L297" s="455"/>
      <c r="M297" s="53"/>
      <c r="N297" s="101"/>
    </row>
    <row r="298" spans="1:14" s="35" customFormat="1" ht="36">
      <c r="A298" s="418" t="s">
        <v>2551</v>
      </c>
      <c r="B298" s="40" t="s">
        <v>2552</v>
      </c>
      <c r="C298" s="40" t="s">
        <v>2553</v>
      </c>
      <c r="D298" s="77" t="s">
        <v>1503</v>
      </c>
      <c r="E298" s="76" t="s">
        <v>2554</v>
      </c>
      <c r="F298" s="76" t="s">
        <v>357</v>
      </c>
      <c r="G298" s="40"/>
      <c r="H298" s="40" t="s">
        <v>366</v>
      </c>
      <c r="I298" s="76" t="s">
        <v>24</v>
      </c>
      <c r="J298" s="40" t="s">
        <v>584</v>
      </c>
      <c r="K298" s="40" t="s">
        <v>2555</v>
      </c>
      <c r="L298" s="30" t="s">
        <v>777</v>
      </c>
      <c r="M298" s="53"/>
      <c r="N298" s="101"/>
    </row>
    <row r="299" spans="1:14" s="87" customFormat="1" ht="36">
      <c r="A299" s="418"/>
      <c r="B299" s="131" t="s">
        <v>2556</v>
      </c>
      <c r="C299" s="131" t="s">
        <v>2557</v>
      </c>
      <c r="D299" s="132" t="s">
        <v>2558</v>
      </c>
      <c r="E299" s="133" t="s">
        <v>2559</v>
      </c>
      <c r="F299" s="133" t="s">
        <v>357</v>
      </c>
      <c r="G299" s="131"/>
      <c r="H299" s="131" t="s">
        <v>2560</v>
      </c>
      <c r="I299" s="133" t="s">
        <v>24</v>
      </c>
      <c r="J299" s="131" t="s">
        <v>496</v>
      </c>
      <c r="K299" s="131" t="s">
        <v>2561</v>
      </c>
      <c r="L299" s="140" t="s">
        <v>777</v>
      </c>
      <c r="M299" s="141"/>
      <c r="N299" s="99" t="s">
        <v>2317</v>
      </c>
    </row>
    <row r="300" spans="1:14" s="85" customFormat="1" ht="48">
      <c r="A300" s="418"/>
      <c r="B300" s="42" t="s">
        <v>2562</v>
      </c>
      <c r="C300" s="42" t="s">
        <v>2563</v>
      </c>
      <c r="D300" s="93" t="s">
        <v>2564</v>
      </c>
      <c r="E300" s="78" t="s">
        <v>2565</v>
      </c>
      <c r="F300" s="78" t="s">
        <v>357</v>
      </c>
      <c r="G300" s="42"/>
      <c r="H300" s="42" t="s">
        <v>2564</v>
      </c>
      <c r="I300" s="78" t="s">
        <v>24</v>
      </c>
      <c r="J300" s="42" t="s">
        <v>628</v>
      </c>
      <c r="K300" s="42" t="s">
        <v>2566</v>
      </c>
      <c r="L300" s="39" t="s">
        <v>769</v>
      </c>
      <c r="M300" s="98"/>
      <c r="N300" s="99" t="s">
        <v>2567</v>
      </c>
    </row>
    <row r="301" spans="1:14" s="85" customFormat="1" ht="36">
      <c r="A301" s="418"/>
      <c r="B301" s="42" t="s">
        <v>2568</v>
      </c>
      <c r="C301" s="42" t="s">
        <v>2569</v>
      </c>
      <c r="D301" s="93" t="s">
        <v>2471</v>
      </c>
      <c r="E301" s="78" t="s">
        <v>2570</v>
      </c>
      <c r="F301" s="78" t="s">
        <v>357</v>
      </c>
      <c r="G301" s="42"/>
      <c r="H301" s="42" t="s">
        <v>2473</v>
      </c>
      <c r="I301" s="78" t="s">
        <v>24</v>
      </c>
      <c r="J301" s="42" t="s">
        <v>530</v>
      </c>
      <c r="K301" s="42" t="s">
        <v>2571</v>
      </c>
      <c r="L301" s="39" t="s">
        <v>777</v>
      </c>
      <c r="M301" s="98"/>
      <c r="N301" s="99" t="s">
        <v>2317</v>
      </c>
    </row>
    <row r="302" spans="1:14" s="85" customFormat="1" ht="24">
      <c r="A302" s="418"/>
      <c r="B302" s="42" t="s">
        <v>2572</v>
      </c>
      <c r="C302" s="42" t="s">
        <v>2573</v>
      </c>
      <c r="D302" s="93" t="s">
        <v>2533</v>
      </c>
      <c r="E302" s="78" t="s">
        <v>2534</v>
      </c>
      <c r="F302" s="78" t="s">
        <v>357</v>
      </c>
      <c r="G302" s="42"/>
      <c r="H302" s="42" t="s">
        <v>2533</v>
      </c>
      <c r="I302" s="78" t="s">
        <v>24</v>
      </c>
      <c r="J302" s="42" t="s">
        <v>2535</v>
      </c>
      <c r="K302" s="42"/>
      <c r="L302" s="39"/>
      <c r="M302" s="98"/>
      <c r="N302" s="99" t="s">
        <v>2317</v>
      </c>
    </row>
    <row r="303" spans="1:14" s="35" customFormat="1" ht="48">
      <c r="A303" s="418"/>
      <c r="B303" s="40" t="s">
        <v>2574</v>
      </c>
      <c r="C303" s="40" t="s">
        <v>2575</v>
      </c>
      <c r="D303" s="77" t="s">
        <v>2494</v>
      </c>
      <c r="E303" s="76" t="s">
        <v>2576</v>
      </c>
      <c r="F303" s="76" t="s">
        <v>357</v>
      </c>
      <c r="G303" s="40"/>
      <c r="H303" s="40" t="s">
        <v>2577</v>
      </c>
      <c r="I303" s="76" t="s">
        <v>24</v>
      </c>
      <c r="J303" s="40" t="s">
        <v>1202</v>
      </c>
      <c r="K303" s="40" t="s">
        <v>2578</v>
      </c>
      <c r="L303" s="30" t="s">
        <v>769</v>
      </c>
      <c r="M303" s="53"/>
      <c r="N303" s="101"/>
    </row>
    <row r="304" spans="1:14" s="35" customFormat="1" ht="48">
      <c r="A304" s="418"/>
      <c r="B304" s="40" t="s">
        <v>2579</v>
      </c>
      <c r="C304" s="40" t="s">
        <v>2580</v>
      </c>
      <c r="D304" s="77" t="s">
        <v>2581</v>
      </c>
      <c r="E304" s="76" t="s">
        <v>2582</v>
      </c>
      <c r="F304" s="76" t="s">
        <v>357</v>
      </c>
      <c r="G304" s="40"/>
      <c r="H304" s="40" t="s">
        <v>2581</v>
      </c>
      <c r="I304" s="76" t="s">
        <v>24</v>
      </c>
      <c r="J304" s="40" t="s">
        <v>2486</v>
      </c>
      <c r="K304" s="40" t="s">
        <v>366</v>
      </c>
      <c r="L304" s="30" t="s">
        <v>769</v>
      </c>
      <c r="M304" s="53"/>
      <c r="N304" s="101"/>
    </row>
    <row r="305" spans="1:14" s="35" customFormat="1" ht="48">
      <c r="A305" s="418"/>
      <c r="B305" s="40" t="s">
        <v>2583</v>
      </c>
      <c r="C305" s="40" t="s">
        <v>2584</v>
      </c>
      <c r="D305" s="77" t="s">
        <v>2585</v>
      </c>
      <c r="E305" s="76" t="s">
        <v>2586</v>
      </c>
      <c r="F305" s="76" t="s">
        <v>357</v>
      </c>
      <c r="G305" s="40"/>
      <c r="H305" s="40" t="s">
        <v>2585</v>
      </c>
      <c r="I305" s="76" t="s">
        <v>24</v>
      </c>
      <c r="J305" s="40" t="s">
        <v>2486</v>
      </c>
      <c r="K305" s="40" t="s">
        <v>366</v>
      </c>
      <c r="L305" s="30" t="s">
        <v>769</v>
      </c>
      <c r="M305" s="53"/>
      <c r="N305" s="101"/>
    </row>
    <row r="306" spans="1:14" s="35" customFormat="1" ht="48">
      <c r="A306" s="418"/>
      <c r="B306" s="124" t="s">
        <v>2587</v>
      </c>
      <c r="C306" s="124" t="s">
        <v>2588</v>
      </c>
      <c r="D306" s="125" t="s">
        <v>2499</v>
      </c>
      <c r="E306" s="76" t="s">
        <v>2589</v>
      </c>
      <c r="F306" s="76" t="s">
        <v>357</v>
      </c>
      <c r="G306" s="40"/>
      <c r="H306" s="40" t="s">
        <v>2590</v>
      </c>
      <c r="I306" s="76" t="s">
        <v>24</v>
      </c>
      <c r="J306" s="40" t="s">
        <v>2501</v>
      </c>
      <c r="K306" s="40" t="s">
        <v>2591</v>
      </c>
      <c r="L306" s="30" t="s">
        <v>769</v>
      </c>
      <c r="M306" s="53"/>
      <c r="N306" s="138" t="s">
        <v>1177</v>
      </c>
    </row>
    <row r="307" spans="1:14" s="35" customFormat="1" ht="36">
      <c r="A307" s="418"/>
      <c r="B307" s="40" t="s">
        <v>2592</v>
      </c>
      <c r="C307" s="40" t="s">
        <v>2593</v>
      </c>
      <c r="D307" s="77" t="s">
        <v>2514</v>
      </c>
      <c r="E307" s="76" t="s">
        <v>2594</v>
      </c>
      <c r="F307" s="76" t="s">
        <v>357</v>
      </c>
      <c r="G307" s="40"/>
      <c r="H307" s="40" t="s">
        <v>366</v>
      </c>
      <c r="I307" s="76" t="s">
        <v>24</v>
      </c>
      <c r="J307" s="40" t="s">
        <v>2516</v>
      </c>
      <c r="K307" s="40" t="s">
        <v>2595</v>
      </c>
      <c r="L307" s="30" t="s">
        <v>777</v>
      </c>
      <c r="M307" s="53"/>
      <c r="N307" s="101"/>
    </row>
    <row r="308" spans="1:14" s="35" customFormat="1" ht="36">
      <c r="A308" s="418"/>
      <c r="B308" s="40" t="s">
        <v>2596</v>
      </c>
      <c r="C308" s="40" t="s">
        <v>2597</v>
      </c>
      <c r="D308" s="77" t="s">
        <v>2520</v>
      </c>
      <c r="E308" s="76" t="s">
        <v>2598</v>
      </c>
      <c r="F308" s="76" t="s">
        <v>357</v>
      </c>
      <c r="G308" s="40"/>
      <c r="H308" s="40" t="s">
        <v>366</v>
      </c>
      <c r="I308" s="76" t="s">
        <v>24</v>
      </c>
      <c r="J308" s="40" t="s">
        <v>2516</v>
      </c>
      <c r="K308" s="40" t="s">
        <v>366</v>
      </c>
      <c r="L308" s="76" t="s">
        <v>777</v>
      </c>
      <c r="M308" s="53"/>
      <c r="N308" s="101"/>
    </row>
    <row r="309" spans="1:14" s="85" customFormat="1" ht="24">
      <c r="A309" s="418"/>
      <c r="B309" s="130" t="s">
        <v>2599</v>
      </c>
      <c r="C309" s="130" t="s">
        <v>2600</v>
      </c>
      <c r="D309" s="93" t="s">
        <v>2601</v>
      </c>
      <c r="E309" s="134" t="s">
        <v>2602</v>
      </c>
      <c r="F309" s="78" t="s">
        <v>357</v>
      </c>
      <c r="G309" s="42"/>
      <c r="H309" s="42" t="s">
        <v>2601</v>
      </c>
      <c r="I309" s="78" t="s">
        <v>24</v>
      </c>
      <c r="J309" s="42" t="s">
        <v>2486</v>
      </c>
      <c r="K309" s="42" t="s">
        <v>366</v>
      </c>
      <c r="L309" s="458"/>
      <c r="M309" s="98"/>
      <c r="N309" s="443"/>
    </row>
    <row r="310" spans="1:14" s="85" customFormat="1" ht="24">
      <c r="A310" s="418"/>
      <c r="B310" s="130" t="s">
        <v>2603</v>
      </c>
      <c r="C310" s="130" t="s">
        <v>2604</v>
      </c>
      <c r="D310" s="93" t="s">
        <v>2605</v>
      </c>
      <c r="E310" s="134" t="s">
        <v>2606</v>
      </c>
      <c r="F310" s="78" t="s">
        <v>357</v>
      </c>
      <c r="G310" s="42"/>
      <c r="H310" s="42" t="s">
        <v>2605</v>
      </c>
      <c r="I310" s="78" t="s">
        <v>24</v>
      </c>
      <c r="J310" s="42" t="s">
        <v>2486</v>
      </c>
      <c r="K310" s="42" t="s">
        <v>366</v>
      </c>
      <c r="L310" s="459"/>
      <c r="M310" s="98"/>
      <c r="N310" s="444"/>
    </row>
    <row r="311" spans="1:14" s="36" customFormat="1" ht="48">
      <c r="A311" s="468" t="s">
        <v>2607</v>
      </c>
      <c r="B311" s="42" t="s">
        <v>2608</v>
      </c>
      <c r="C311" s="42" t="s">
        <v>2609</v>
      </c>
      <c r="D311" s="136" t="s">
        <v>2610</v>
      </c>
      <c r="E311" s="134" t="s">
        <v>2611</v>
      </c>
      <c r="F311" s="78" t="s">
        <v>357</v>
      </c>
      <c r="G311" s="136"/>
      <c r="H311" s="136" t="s">
        <v>2612</v>
      </c>
      <c r="I311" s="78" t="s">
        <v>24</v>
      </c>
      <c r="J311" s="42" t="s">
        <v>530</v>
      </c>
      <c r="K311" s="42" t="s">
        <v>366</v>
      </c>
      <c r="L311" s="42" t="s">
        <v>2613</v>
      </c>
      <c r="M311" s="98"/>
      <c r="N311" s="113"/>
    </row>
    <row r="312" spans="1:14" s="36" customFormat="1" ht="36">
      <c r="A312" s="469"/>
      <c r="B312" s="42" t="s">
        <v>2614</v>
      </c>
      <c r="C312" s="42" t="s">
        <v>2615</v>
      </c>
      <c r="D312" s="136" t="s">
        <v>2616</v>
      </c>
      <c r="E312" s="134" t="s">
        <v>2617</v>
      </c>
      <c r="F312" s="78" t="s">
        <v>357</v>
      </c>
      <c r="G312" s="136"/>
      <c r="H312" s="136"/>
      <c r="I312" s="78" t="s">
        <v>24</v>
      </c>
      <c r="J312" s="42" t="s">
        <v>1571</v>
      </c>
      <c r="K312" s="42" t="s">
        <v>366</v>
      </c>
      <c r="L312" s="42" t="s">
        <v>777</v>
      </c>
      <c r="M312" s="98"/>
      <c r="N312" s="113"/>
    </row>
    <row r="313" spans="1:14" s="36" customFormat="1" ht="36">
      <c r="A313" s="469"/>
      <c r="B313" s="42" t="s">
        <v>2618</v>
      </c>
      <c r="C313" s="42" t="s">
        <v>2619</v>
      </c>
      <c r="D313" s="137" t="s">
        <v>2494</v>
      </c>
      <c r="E313" s="134" t="s">
        <v>2620</v>
      </c>
      <c r="F313" s="78" t="s">
        <v>357</v>
      </c>
      <c r="G313" s="136"/>
      <c r="H313" s="136" t="s">
        <v>2621</v>
      </c>
      <c r="I313" s="78" t="s">
        <v>24</v>
      </c>
      <c r="J313" s="42" t="s">
        <v>1202</v>
      </c>
      <c r="K313" s="42" t="s">
        <v>366</v>
      </c>
      <c r="L313" s="42" t="s">
        <v>777</v>
      </c>
      <c r="M313" s="98"/>
      <c r="N313" s="113"/>
    </row>
    <row r="314" spans="1:14" s="36" customFormat="1" ht="36">
      <c r="A314" s="469"/>
      <c r="B314" s="42" t="s">
        <v>2622</v>
      </c>
      <c r="C314" s="42" t="s">
        <v>2623</v>
      </c>
      <c r="D314" s="137" t="s">
        <v>2581</v>
      </c>
      <c r="E314" s="134" t="s">
        <v>2624</v>
      </c>
      <c r="F314" s="78" t="s">
        <v>357</v>
      </c>
      <c r="G314" s="136"/>
      <c r="H314" s="136" t="s">
        <v>2625</v>
      </c>
      <c r="I314" s="78" t="s">
        <v>24</v>
      </c>
      <c r="J314" s="42" t="s">
        <v>2486</v>
      </c>
      <c r="K314" s="42" t="s">
        <v>366</v>
      </c>
      <c r="L314" s="42" t="s">
        <v>777</v>
      </c>
      <c r="M314" s="98"/>
      <c r="N314" s="113"/>
    </row>
    <row r="315" spans="1:14" s="36" customFormat="1" ht="36">
      <c r="A315" s="469"/>
      <c r="B315" s="42" t="s">
        <v>2626</v>
      </c>
      <c r="C315" s="42" t="s">
        <v>2627</v>
      </c>
      <c r="D315" s="137" t="s">
        <v>2585</v>
      </c>
      <c r="E315" s="134" t="s">
        <v>2628</v>
      </c>
      <c r="F315" s="78" t="s">
        <v>357</v>
      </c>
      <c r="G315" s="136"/>
      <c r="H315" s="136" t="s">
        <v>2629</v>
      </c>
      <c r="I315" s="78" t="s">
        <v>24</v>
      </c>
      <c r="J315" s="42" t="s">
        <v>2486</v>
      </c>
      <c r="K315" s="42" t="s">
        <v>366</v>
      </c>
      <c r="L315" s="42" t="s">
        <v>777</v>
      </c>
      <c r="M315" s="98"/>
      <c r="N315" s="113"/>
    </row>
    <row r="316" spans="1:14" s="36" customFormat="1" ht="36">
      <c r="A316" s="469"/>
      <c r="B316" s="42" t="s">
        <v>2630</v>
      </c>
      <c r="C316" s="42" t="s">
        <v>2631</v>
      </c>
      <c r="D316" s="137" t="s">
        <v>2451</v>
      </c>
      <c r="E316" s="134" t="s">
        <v>2632</v>
      </c>
      <c r="F316" s="78" t="s">
        <v>357</v>
      </c>
      <c r="G316" s="136"/>
      <c r="H316" s="136" t="s">
        <v>2633</v>
      </c>
      <c r="I316" s="78" t="s">
        <v>24</v>
      </c>
      <c r="J316" s="42" t="s">
        <v>2634</v>
      </c>
      <c r="K316" s="42" t="s">
        <v>366</v>
      </c>
      <c r="L316" s="42" t="s">
        <v>777</v>
      </c>
      <c r="M316" s="98"/>
      <c r="N316" s="113"/>
    </row>
    <row r="317" spans="1:14" s="36" customFormat="1" ht="36">
      <c r="A317" s="469"/>
      <c r="B317" s="42" t="s">
        <v>2635</v>
      </c>
      <c r="C317" s="42" t="s">
        <v>2636</v>
      </c>
      <c r="D317" s="137" t="s">
        <v>2637</v>
      </c>
      <c r="E317" s="134" t="s">
        <v>2638</v>
      </c>
      <c r="F317" s="78" t="s">
        <v>357</v>
      </c>
      <c r="G317" s="136"/>
      <c r="H317" s="136" t="s">
        <v>2639</v>
      </c>
      <c r="I317" s="78" t="s">
        <v>24</v>
      </c>
      <c r="J317" s="42" t="s">
        <v>2640</v>
      </c>
      <c r="K317" s="42" t="s">
        <v>366</v>
      </c>
      <c r="L317" s="42" t="s">
        <v>777</v>
      </c>
      <c r="M317" s="98"/>
      <c r="N317" s="113"/>
    </row>
    <row r="318" spans="1:14" s="36" customFormat="1" ht="48">
      <c r="A318" s="469"/>
      <c r="B318" s="42" t="s">
        <v>2641</v>
      </c>
      <c r="C318" s="42" t="s">
        <v>2642</v>
      </c>
      <c r="D318" s="136" t="s">
        <v>2643</v>
      </c>
      <c r="E318" s="134" t="s">
        <v>2644</v>
      </c>
      <c r="F318" s="78" t="s">
        <v>357</v>
      </c>
      <c r="G318" s="136"/>
      <c r="H318" s="136" t="s">
        <v>2645</v>
      </c>
      <c r="I318" s="78" t="s">
        <v>24</v>
      </c>
      <c r="J318" s="42" t="s">
        <v>530</v>
      </c>
      <c r="K318" s="42" t="s">
        <v>366</v>
      </c>
      <c r="L318" s="42" t="s">
        <v>2613</v>
      </c>
      <c r="M318" s="98"/>
      <c r="N318" s="113"/>
    </row>
    <row r="319" spans="1:14" s="36" customFormat="1" ht="36">
      <c r="A319" s="469"/>
      <c r="B319" s="42" t="s">
        <v>2646</v>
      </c>
      <c r="C319" s="42" t="s">
        <v>2647</v>
      </c>
      <c r="D319" s="136" t="s">
        <v>1608</v>
      </c>
      <c r="E319" s="134" t="s">
        <v>2648</v>
      </c>
      <c r="F319" s="78" t="s">
        <v>357</v>
      </c>
      <c r="G319" s="136"/>
      <c r="H319" s="136"/>
      <c r="I319" s="78" t="s">
        <v>24</v>
      </c>
      <c r="J319" s="42" t="s">
        <v>1611</v>
      </c>
      <c r="K319" s="42"/>
      <c r="L319" s="42" t="s">
        <v>777</v>
      </c>
      <c r="M319" s="98"/>
      <c r="N319" s="113"/>
    </row>
    <row r="320" spans="1:14" s="36" customFormat="1" ht="36">
      <c r="A320" s="469"/>
      <c r="B320" s="42" t="s">
        <v>2649</v>
      </c>
      <c r="C320" s="42" t="s">
        <v>2650</v>
      </c>
      <c r="D320" s="137" t="s">
        <v>2494</v>
      </c>
      <c r="E320" s="134" t="s">
        <v>2651</v>
      </c>
      <c r="F320" s="78" t="s">
        <v>357</v>
      </c>
      <c r="G320" s="136"/>
      <c r="H320" s="136" t="s">
        <v>2652</v>
      </c>
      <c r="I320" s="78" t="s">
        <v>24</v>
      </c>
      <c r="J320" s="42" t="s">
        <v>1202</v>
      </c>
      <c r="K320" s="42" t="s">
        <v>366</v>
      </c>
      <c r="L320" s="42" t="s">
        <v>777</v>
      </c>
      <c r="M320" s="98"/>
      <c r="N320" s="113"/>
    </row>
    <row r="321" spans="1:14" s="36" customFormat="1" ht="36">
      <c r="A321" s="469"/>
      <c r="B321" s="42" t="s">
        <v>2653</v>
      </c>
      <c r="C321" s="42" t="s">
        <v>2654</v>
      </c>
      <c r="D321" s="137" t="s">
        <v>2451</v>
      </c>
      <c r="E321" s="134" t="s">
        <v>2655</v>
      </c>
      <c r="F321" s="78" t="s">
        <v>357</v>
      </c>
      <c r="G321" s="136"/>
      <c r="H321" s="136" t="s">
        <v>2656</v>
      </c>
      <c r="I321" s="78" t="s">
        <v>24</v>
      </c>
      <c r="J321" s="42" t="s">
        <v>2657</v>
      </c>
      <c r="K321" s="42" t="s">
        <v>366</v>
      </c>
      <c r="L321" s="42" t="s">
        <v>777</v>
      </c>
      <c r="M321" s="98"/>
      <c r="N321" s="113"/>
    </row>
    <row r="322" spans="1:14" s="36" customFormat="1" ht="36">
      <c r="A322" s="469"/>
      <c r="B322" s="42" t="s">
        <v>2658</v>
      </c>
      <c r="C322" s="42" t="s">
        <v>2659</v>
      </c>
      <c r="D322" s="137" t="s">
        <v>2581</v>
      </c>
      <c r="E322" s="134" t="s">
        <v>2660</v>
      </c>
      <c r="F322" s="78" t="s">
        <v>357</v>
      </c>
      <c r="G322" s="136"/>
      <c r="H322" s="136" t="s">
        <v>2661</v>
      </c>
      <c r="I322" s="78" t="s">
        <v>24</v>
      </c>
      <c r="J322" s="42" t="s">
        <v>2486</v>
      </c>
      <c r="K322" s="42" t="s">
        <v>366</v>
      </c>
      <c r="L322" s="42" t="s">
        <v>777</v>
      </c>
      <c r="M322" s="98"/>
      <c r="N322" s="113"/>
    </row>
    <row r="323" spans="1:14" s="36" customFormat="1" ht="36">
      <c r="A323" s="469"/>
      <c r="B323" s="42" t="s">
        <v>2662</v>
      </c>
      <c r="C323" s="106" t="s">
        <v>2663</v>
      </c>
      <c r="D323" s="137" t="s">
        <v>2585</v>
      </c>
      <c r="E323" s="134" t="s">
        <v>2664</v>
      </c>
      <c r="F323" s="78" t="s">
        <v>357</v>
      </c>
      <c r="G323" s="136"/>
      <c r="H323" s="136" t="s">
        <v>2665</v>
      </c>
      <c r="I323" s="78" t="s">
        <v>24</v>
      </c>
      <c r="J323" s="42" t="s">
        <v>2486</v>
      </c>
      <c r="K323" s="42" t="s">
        <v>366</v>
      </c>
      <c r="L323" s="42" t="s">
        <v>777</v>
      </c>
      <c r="M323" s="98"/>
      <c r="N323" s="113"/>
    </row>
    <row r="324" spans="1:14" s="36" customFormat="1" ht="24">
      <c r="A324" s="429"/>
      <c r="B324" s="130" t="s">
        <v>2666</v>
      </c>
      <c r="C324" s="130" t="s">
        <v>2667</v>
      </c>
      <c r="D324" s="142" t="s">
        <v>2668</v>
      </c>
      <c r="E324" s="143" t="s">
        <v>2669</v>
      </c>
      <c r="F324" s="144" t="s">
        <v>357</v>
      </c>
      <c r="G324" s="142"/>
      <c r="H324" s="142" t="s">
        <v>2668</v>
      </c>
      <c r="I324" s="144" t="s">
        <v>24</v>
      </c>
      <c r="J324" s="130" t="s">
        <v>2670</v>
      </c>
      <c r="K324" s="130" t="s">
        <v>2671</v>
      </c>
      <c r="L324" s="145" t="s">
        <v>2672</v>
      </c>
      <c r="M324" s="146"/>
      <c r="N324" s="147" t="s">
        <v>2673</v>
      </c>
    </row>
    <row r="325" spans="1:14" ht="48">
      <c r="A325" s="468" t="s">
        <v>2674</v>
      </c>
      <c r="B325" s="42" t="s">
        <v>2675</v>
      </c>
      <c r="C325" s="42" t="s">
        <v>2676</v>
      </c>
      <c r="D325" s="42" t="s">
        <v>1680</v>
      </c>
      <c r="E325" s="78" t="s">
        <v>1681</v>
      </c>
      <c r="F325" s="78" t="s">
        <v>789</v>
      </c>
      <c r="G325" s="42"/>
      <c r="H325" s="42"/>
      <c r="I325" s="78" t="s">
        <v>24</v>
      </c>
      <c r="J325" s="42" t="s">
        <v>2677</v>
      </c>
      <c r="K325" s="42" t="s">
        <v>2678</v>
      </c>
      <c r="L325" s="460" t="s">
        <v>2679</v>
      </c>
      <c r="M325" s="42"/>
      <c r="N325" s="139" t="s">
        <v>2680</v>
      </c>
    </row>
    <row r="326" spans="1:14" ht="24">
      <c r="A326" s="470"/>
      <c r="B326" s="42" t="s">
        <v>2681</v>
      </c>
      <c r="C326" s="42" t="s">
        <v>2682</v>
      </c>
      <c r="D326" s="42" t="s">
        <v>1675</v>
      </c>
      <c r="E326" s="78" t="s">
        <v>2683</v>
      </c>
      <c r="F326" s="78" t="s">
        <v>789</v>
      </c>
      <c r="G326" s="42"/>
      <c r="H326" s="42"/>
      <c r="I326" s="78" t="s">
        <v>24</v>
      </c>
      <c r="J326" s="42" t="s">
        <v>2684</v>
      </c>
      <c r="K326" s="42"/>
      <c r="L326" s="461"/>
      <c r="M326" s="42"/>
    </row>
    <row r="327" spans="1:14" ht="48">
      <c r="A327" s="470"/>
      <c r="B327" s="42" t="s">
        <v>2685</v>
      </c>
      <c r="C327" s="42" t="s">
        <v>2686</v>
      </c>
      <c r="D327" s="42" t="s">
        <v>1693</v>
      </c>
      <c r="E327" s="78" t="s">
        <v>2687</v>
      </c>
      <c r="F327" s="78" t="s">
        <v>789</v>
      </c>
      <c r="G327" s="42"/>
      <c r="H327" s="42"/>
      <c r="I327" s="78" t="s">
        <v>24</v>
      </c>
      <c r="J327" s="42" t="s">
        <v>2688</v>
      </c>
      <c r="K327" s="42"/>
      <c r="L327" s="458"/>
      <c r="M327" s="42"/>
    </row>
    <row r="328" spans="1:14" ht="36">
      <c r="A328" s="471"/>
      <c r="B328" s="42" t="s">
        <v>2689</v>
      </c>
      <c r="C328" s="42" t="s">
        <v>2690</v>
      </c>
      <c r="D328" s="42" t="s">
        <v>1687</v>
      </c>
      <c r="E328" s="78" t="s">
        <v>2691</v>
      </c>
      <c r="F328" s="78" t="s">
        <v>789</v>
      </c>
      <c r="G328" s="42"/>
      <c r="H328" s="42"/>
      <c r="I328" s="78" t="s">
        <v>24</v>
      </c>
      <c r="J328" s="104" t="s">
        <v>1689</v>
      </c>
      <c r="K328" s="104" t="s">
        <v>2692</v>
      </c>
      <c r="L328" s="459"/>
      <c r="M328" s="42"/>
      <c r="N328" s="138" t="s">
        <v>2693</v>
      </c>
    </row>
  </sheetData>
  <autoFilter ref="A1:M328">
    <extLst/>
  </autoFilter>
  <mergeCells count="37">
    <mergeCell ref="A2:A6"/>
    <mergeCell ref="A7:A50"/>
    <mergeCell ref="A51:A116"/>
    <mergeCell ref="A117:A149"/>
    <mergeCell ref="A150:A171"/>
    <mergeCell ref="A172:A197"/>
    <mergeCell ref="A198:A230"/>
    <mergeCell ref="A231:A269"/>
    <mergeCell ref="A270:A277"/>
    <mergeCell ref="A278:A297"/>
    <mergeCell ref="A298:A310"/>
    <mergeCell ref="A311:A324"/>
    <mergeCell ref="A325:A328"/>
    <mergeCell ref="L2:L6"/>
    <mergeCell ref="L8:L39"/>
    <mergeCell ref="L41:L50"/>
    <mergeCell ref="L52:L105"/>
    <mergeCell ref="L107:L116"/>
    <mergeCell ref="L118:L138"/>
    <mergeCell ref="L140:L149"/>
    <mergeCell ref="L151:L160"/>
    <mergeCell ref="L162:L171"/>
    <mergeCell ref="L173:L184"/>
    <mergeCell ref="L186:L197"/>
    <mergeCell ref="L199:L219"/>
    <mergeCell ref="L232:L256"/>
    <mergeCell ref="N309:N310"/>
    <mergeCell ref="L292:L297"/>
    <mergeCell ref="L309:L310"/>
    <mergeCell ref="L325:L328"/>
    <mergeCell ref="M7:M50"/>
    <mergeCell ref="M51:M116"/>
    <mergeCell ref="M117:M149"/>
    <mergeCell ref="M150:M171"/>
    <mergeCell ref="M172:M197"/>
    <mergeCell ref="M198:M230"/>
    <mergeCell ref="M231:M269"/>
  </mergeCells>
  <phoneticPr fontId="21" type="noConversion"/>
  <pageMargins left="0.69930555555555596" right="0.69930555555555596"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dimension ref="A1:AD26"/>
  <sheetViews>
    <sheetView workbookViewId="0">
      <pane xSplit="2" ySplit="1" topLeftCell="C11" activePane="bottomRight" state="frozen"/>
      <selection pane="topRight"/>
      <selection pane="bottomLeft"/>
      <selection pane="bottomRight" activeCell="B7" sqref="A7:XFD7"/>
    </sheetView>
  </sheetViews>
  <sheetFormatPr defaultColWidth="9" defaultRowHeight="14"/>
  <cols>
    <col min="1" max="1" width="10.6328125" customWidth="1"/>
    <col min="2" max="2" width="63.1796875" customWidth="1"/>
    <col min="3" max="3" width="58.453125" customWidth="1"/>
    <col min="4" max="4" width="22.1796875" customWidth="1"/>
    <col min="5" max="5" width="23" customWidth="1"/>
    <col min="6" max="6" width="10.36328125" customWidth="1"/>
    <col min="7" max="7" width="13.08984375" customWidth="1"/>
    <col min="8" max="8" width="18.1796875" customWidth="1"/>
    <col min="9" max="9" width="15.36328125" customWidth="1"/>
    <col min="10" max="10" width="17.1796875" customWidth="1"/>
    <col min="11" max="11" width="54.6328125" customWidth="1"/>
    <col min="12" max="12" width="13" customWidth="1"/>
    <col min="13" max="13" width="39.36328125" customWidth="1"/>
    <col min="14" max="14" width="15.6328125" customWidth="1"/>
  </cols>
  <sheetData>
    <row r="1" spans="1:13" s="69" customFormat="1" ht="12">
      <c r="A1" s="74" t="s">
        <v>343</v>
      </c>
      <c r="B1" s="74" t="s">
        <v>344</v>
      </c>
      <c r="C1" s="74" t="s">
        <v>345</v>
      </c>
      <c r="D1" s="74" t="s">
        <v>346</v>
      </c>
      <c r="E1" s="74" t="s">
        <v>3</v>
      </c>
      <c r="F1" s="74" t="s">
        <v>348</v>
      </c>
      <c r="G1" s="74" t="s">
        <v>2694</v>
      </c>
      <c r="H1" s="74" t="s">
        <v>350</v>
      </c>
      <c r="I1" s="74" t="s">
        <v>8</v>
      </c>
      <c r="J1" s="74" t="s">
        <v>6</v>
      </c>
      <c r="K1" s="74" t="s">
        <v>351</v>
      </c>
      <c r="L1" s="74" t="s">
        <v>273</v>
      </c>
      <c r="M1" s="8" t="s">
        <v>352</v>
      </c>
    </row>
    <row r="2" spans="1:13" s="70" customFormat="1" ht="24">
      <c r="A2" s="406" t="s">
        <v>319</v>
      </c>
      <c r="B2" s="40" t="s">
        <v>2695</v>
      </c>
      <c r="C2" s="40" t="s">
        <v>2696</v>
      </c>
      <c r="D2" s="40" t="s">
        <v>2697</v>
      </c>
      <c r="E2" s="40" t="s">
        <v>2698</v>
      </c>
      <c r="F2" s="76" t="s">
        <v>357</v>
      </c>
      <c r="G2" s="40"/>
      <c r="H2" s="40" t="s">
        <v>366</v>
      </c>
      <c r="I2" s="76" t="s">
        <v>24</v>
      </c>
      <c r="J2" s="79" t="s">
        <v>359</v>
      </c>
      <c r="K2" s="40" t="s">
        <v>2699</v>
      </c>
      <c r="L2" s="418" t="s">
        <v>407</v>
      </c>
      <c r="M2" s="80"/>
    </row>
    <row r="3" spans="1:13" s="70" customFormat="1" ht="48">
      <c r="A3" s="406"/>
      <c r="B3" s="40" t="s">
        <v>2700</v>
      </c>
      <c r="C3" s="40" t="s">
        <v>2701</v>
      </c>
      <c r="D3" s="40" t="s">
        <v>2702</v>
      </c>
      <c r="E3" s="40" t="s">
        <v>2703</v>
      </c>
      <c r="F3" s="76" t="s">
        <v>357</v>
      </c>
      <c r="G3" s="40"/>
      <c r="H3" s="40" t="s">
        <v>366</v>
      </c>
      <c r="I3" s="76" t="s">
        <v>24</v>
      </c>
      <c r="J3" s="79" t="s">
        <v>359</v>
      </c>
      <c r="K3" s="40" t="s">
        <v>2704</v>
      </c>
      <c r="L3" s="418"/>
      <c r="M3" s="80"/>
    </row>
    <row r="4" spans="1:13" s="70" customFormat="1" ht="24">
      <c r="A4" s="406"/>
      <c r="B4" s="40" t="s">
        <v>2705</v>
      </c>
      <c r="C4" s="40" t="s">
        <v>2706</v>
      </c>
      <c r="D4" s="40" t="s">
        <v>2707</v>
      </c>
      <c r="E4" s="40" t="s">
        <v>2708</v>
      </c>
      <c r="F4" s="76" t="s">
        <v>357</v>
      </c>
      <c r="G4" s="40"/>
      <c r="H4" s="40" t="s">
        <v>2709</v>
      </c>
      <c r="I4" s="76" t="s">
        <v>24</v>
      </c>
      <c r="J4" s="79" t="s">
        <v>71</v>
      </c>
      <c r="K4" s="40" t="s">
        <v>2710</v>
      </c>
      <c r="L4" s="418"/>
      <c r="M4" s="80"/>
    </row>
    <row r="5" spans="1:13" s="70" customFormat="1" ht="24">
      <c r="A5" s="406"/>
      <c r="B5" s="40" t="s">
        <v>2711</v>
      </c>
      <c r="C5" s="40" t="s">
        <v>2712</v>
      </c>
      <c r="D5" s="40" t="s">
        <v>2713</v>
      </c>
      <c r="E5" s="40" t="s">
        <v>2714</v>
      </c>
      <c r="F5" s="76" t="s">
        <v>357</v>
      </c>
      <c r="G5" s="40"/>
      <c r="H5" s="40" t="s">
        <v>2715</v>
      </c>
      <c r="I5" s="76" t="s">
        <v>24</v>
      </c>
      <c r="J5" s="79" t="s">
        <v>28</v>
      </c>
      <c r="K5" s="40" t="s">
        <v>2716</v>
      </c>
      <c r="L5" s="418"/>
      <c r="M5" s="80"/>
    </row>
    <row r="6" spans="1:13" s="70" customFormat="1" ht="24">
      <c r="A6" s="406"/>
      <c r="B6" s="40" t="s">
        <v>2717</v>
      </c>
      <c r="C6" s="40" t="s">
        <v>2718</v>
      </c>
      <c r="D6" s="40" t="s">
        <v>2719</v>
      </c>
      <c r="E6" s="40" t="s">
        <v>2720</v>
      </c>
      <c r="F6" s="76" t="s">
        <v>357</v>
      </c>
      <c r="G6" s="40"/>
      <c r="H6" s="40" t="s">
        <v>366</v>
      </c>
      <c r="I6" s="76" t="s">
        <v>24</v>
      </c>
      <c r="J6" s="79" t="s">
        <v>387</v>
      </c>
      <c r="K6" s="40" t="s">
        <v>2720</v>
      </c>
      <c r="L6" s="418"/>
      <c r="M6" s="80"/>
    </row>
    <row r="7" spans="1:13" s="70" customFormat="1" ht="24">
      <c r="A7" s="406"/>
      <c r="B7" s="40" t="s">
        <v>2721</v>
      </c>
      <c r="C7" s="40" t="s">
        <v>2722</v>
      </c>
      <c r="D7" s="40" t="s">
        <v>2723</v>
      </c>
      <c r="E7" s="40" t="s">
        <v>2724</v>
      </c>
      <c r="F7" s="76" t="s">
        <v>357</v>
      </c>
      <c r="G7" s="40"/>
      <c r="H7" s="40" t="s">
        <v>2725</v>
      </c>
      <c r="I7" s="76" t="s">
        <v>24</v>
      </c>
      <c r="J7" s="79" t="s">
        <v>387</v>
      </c>
      <c r="K7" s="40" t="s">
        <v>2724</v>
      </c>
      <c r="L7" s="418"/>
      <c r="M7" s="80"/>
    </row>
    <row r="8" spans="1:13" s="70" customFormat="1" ht="24">
      <c r="A8" s="406"/>
      <c r="B8" s="40" t="s">
        <v>2726</v>
      </c>
      <c r="C8" s="40" t="s">
        <v>2727</v>
      </c>
      <c r="D8" s="40" t="s">
        <v>2728</v>
      </c>
      <c r="E8" s="40" t="s">
        <v>2729</v>
      </c>
      <c r="F8" s="76" t="s">
        <v>357</v>
      </c>
      <c r="G8" s="40"/>
      <c r="H8" s="40" t="s">
        <v>2730</v>
      </c>
      <c r="I8" s="76" t="s">
        <v>24</v>
      </c>
      <c r="J8" s="79" t="s">
        <v>71</v>
      </c>
      <c r="K8" s="40" t="s">
        <v>2731</v>
      </c>
      <c r="L8" s="418"/>
      <c r="M8" s="80"/>
    </row>
    <row r="9" spans="1:13" s="70" customFormat="1" ht="24">
      <c r="A9" s="406"/>
      <c r="B9" s="40" t="s">
        <v>2732</v>
      </c>
      <c r="C9" s="40" t="s">
        <v>2733</v>
      </c>
      <c r="D9" s="40" t="s">
        <v>2734</v>
      </c>
      <c r="E9" s="40" t="s">
        <v>2735</v>
      </c>
      <c r="F9" s="76" t="s">
        <v>357</v>
      </c>
      <c r="G9" s="40"/>
      <c r="H9" s="40" t="s">
        <v>2736</v>
      </c>
      <c r="I9" s="76" t="s">
        <v>24</v>
      </c>
      <c r="J9" s="79" t="s">
        <v>71</v>
      </c>
      <c r="K9" s="40" t="s">
        <v>2737</v>
      </c>
      <c r="L9" s="418"/>
      <c r="M9" s="80"/>
    </row>
    <row r="10" spans="1:13" s="70" customFormat="1" ht="24">
      <c r="A10" s="406"/>
      <c r="B10" s="40" t="s">
        <v>2738</v>
      </c>
      <c r="C10" s="40" t="s">
        <v>2739</v>
      </c>
      <c r="D10" s="40" t="s">
        <v>2740</v>
      </c>
      <c r="E10" s="40" t="s">
        <v>2741</v>
      </c>
      <c r="F10" s="76" t="s">
        <v>357</v>
      </c>
      <c r="G10" s="40"/>
      <c r="H10" s="40" t="s">
        <v>2742</v>
      </c>
      <c r="I10" s="76" t="s">
        <v>24</v>
      </c>
      <c r="J10" s="79" t="s">
        <v>71</v>
      </c>
      <c r="K10" s="40" t="s">
        <v>2743</v>
      </c>
      <c r="L10" s="418"/>
      <c r="M10" s="80"/>
    </row>
    <row r="11" spans="1:13" s="70" customFormat="1" ht="24">
      <c r="A11" s="406"/>
      <c r="B11" s="40" t="s">
        <v>2744</v>
      </c>
      <c r="C11" s="40" t="s">
        <v>2745</v>
      </c>
      <c r="D11" s="40" t="s">
        <v>2746</v>
      </c>
      <c r="E11" s="40" t="s">
        <v>2747</v>
      </c>
      <c r="F11" s="76" t="s">
        <v>789</v>
      </c>
      <c r="G11" s="40"/>
      <c r="H11" s="40" t="s">
        <v>2748</v>
      </c>
      <c r="I11" s="76" t="s">
        <v>24</v>
      </c>
      <c r="J11" s="79" t="s">
        <v>71</v>
      </c>
      <c r="K11" s="40" t="s">
        <v>2749</v>
      </c>
      <c r="L11" s="418"/>
      <c r="M11" s="80"/>
    </row>
    <row r="12" spans="1:13" s="70" customFormat="1" ht="24">
      <c r="A12" s="406"/>
      <c r="B12" s="40" t="s">
        <v>2750</v>
      </c>
      <c r="C12" s="40" t="s">
        <v>2751</v>
      </c>
      <c r="D12" s="77" t="s">
        <v>2752</v>
      </c>
      <c r="E12" s="40" t="s">
        <v>2753</v>
      </c>
      <c r="F12" s="76" t="s">
        <v>357</v>
      </c>
      <c r="G12" s="77"/>
      <c r="H12" s="40"/>
      <c r="I12" s="76" t="s">
        <v>24</v>
      </c>
      <c r="J12" s="79" t="s">
        <v>71</v>
      </c>
      <c r="K12" s="40" t="s">
        <v>2754</v>
      </c>
      <c r="L12" s="418"/>
      <c r="M12" s="80" t="s">
        <v>2755</v>
      </c>
    </row>
    <row r="13" spans="1:13" s="70" customFormat="1" ht="24">
      <c r="A13" s="406"/>
      <c r="B13" s="40" t="s">
        <v>2756</v>
      </c>
      <c r="C13" s="40" t="s">
        <v>2757</v>
      </c>
      <c r="D13" s="40" t="s">
        <v>2758</v>
      </c>
      <c r="E13" s="40" t="s">
        <v>2759</v>
      </c>
      <c r="F13" s="76" t="s">
        <v>357</v>
      </c>
      <c r="G13" s="40"/>
      <c r="H13" s="40" t="s">
        <v>366</v>
      </c>
      <c r="I13" s="76" t="s">
        <v>24</v>
      </c>
      <c r="J13" s="79" t="s">
        <v>28</v>
      </c>
      <c r="K13" s="40" t="s">
        <v>2759</v>
      </c>
      <c r="L13" s="418"/>
      <c r="M13" s="80"/>
    </row>
    <row r="14" spans="1:13" s="70" customFormat="1" ht="24">
      <c r="A14" s="406"/>
      <c r="B14" s="40" t="s">
        <v>2760</v>
      </c>
      <c r="C14" s="40" t="s">
        <v>2761</v>
      </c>
      <c r="D14" s="40" t="s">
        <v>2762</v>
      </c>
      <c r="E14" s="40" t="s">
        <v>2763</v>
      </c>
      <c r="F14" s="76" t="s">
        <v>789</v>
      </c>
      <c r="G14" s="40"/>
      <c r="H14" s="40" t="s">
        <v>366</v>
      </c>
      <c r="I14" s="76" t="s">
        <v>24</v>
      </c>
      <c r="J14" s="79" t="s">
        <v>28</v>
      </c>
      <c r="K14" s="40" t="s">
        <v>2763</v>
      </c>
      <c r="L14" s="418"/>
      <c r="M14" s="80"/>
    </row>
    <row r="15" spans="1:13" s="71" customFormat="1" ht="24">
      <c r="A15" s="406"/>
      <c r="B15" s="42" t="s">
        <v>2764</v>
      </c>
      <c r="C15" s="42" t="s">
        <v>2765</v>
      </c>
      <c r="D15" s="42" t="s">
        <v>2766</v>
      </c>
      <c r="E15" s="42" t="s">
        <v>2767</v>
      </c>
      <c r="F15" s="78" t="s">
        <v>357</v>
      </c>
      <c r="G15" s="42"/>
      <c r="H15" s="42" t="s">
        <v>366</v>
      </c>
      <c r="I15" s="78" t="s">
        <v>24</v>
      </c>
      <c r="J15" s="81" t="s">
        <v>28</v>
      </c>
      <c r="K15" s="42" t="s">
        <v>2767</v>
      </c>
      <c r="L15" s="418"/>
      <c r="M15" s="82"/>
    </row>
    <row r="16" spans="1:13" s="70" customFormat="1" ht="24">
      <c r="A16" s="406"/>
      <c r="B16" s="40" t="s">
        <v>2768</v>
      </c>
      <c r="C16" s="40" t="s">
        <v>2769</v>
      </c>
      <c r="D16" s="40" t="s">
        <v>2770</v>
      </c>
      <c r="E16" s="40" t="s">
        <v>2771</v>
      </c>
      <c r="F16" s="76" t="s">
        <v>357</v>
      </c>
      <c r="G16" s="40"/>
      <c r="H16" s="40" t="s">
        <v>366</v>
      </c>
      <c r="I16" s="76" t="s">
        <v>24</v>
      </c>
      <c r="J16" s="79" t="s">
        <v>71</v>
      </c>
      <c r="K16" s="40" t="s">
        <v>2772</v>
      </c>
      <c r="L16" s="418"/>
      <c r="M16" s="80"/>
    </row>
    <row r="17" spans="1:30" s="70" customFormat="1" ht="24">
      <c r="A17" s="406"/>
      <c r="B17" s="40" t="s">
        <v>2773</v>
      </c>
      <c r="C17" s="40" t="s">
        <v>2774</v>
      </c>
      <c r="D17" s="40" t="s">
        <v>2775</v>
      </c>
      <c r="E17" s="40" t="s">
        <v>2776</v>
      </c>
      <c r="F17" s="76" t="s">
        <v>1648</v>
      </c>
      <c r="G17" s="40"/>
      <c r="H17" s="40" t="s">
        <v>366</v>
      </c>
      <c r="I17" s="76" t="s">
        <v>24</v>
      </c>
      <c r="J17" s="79" t="s">
        <v>71</v>
      </c>
      <c r="K17" s="40" t="s">
        <v>2777</v>
      </c>
      <c r="L17" s="418"/>
      <c r="M17" s="80"/>
    </row>
    <row r="18" spans="1:30" s="72" customFormat="1" ht="24">
      <c r="A18" s="406"/>
      <c r="B18" s="40" t="s">
        <v>2778</v>
      </c>
      <c r="C18" s="40" t="s">
        <v>2779</v>
      </c>
      <c r="D18" s="40" t="s">
        <v>2780</v>
      </c>
      <c r="E18" s="40" t="s">
        <v>2781</v>
      </c>
      <c r="F18" s="76" t="s">
        <v>1774</v>
      </c>
      <c r="G18" s="40"/>
      <c r="H18" s="40" t="s">
        <v>366</v>
      </c>
      <c r="I18" s="76" t="s">
        <v>24</v>
      </c>
      <c r="J18" s="79" t="s">
        <v>387</v>
      </c>
      <c r="K18" s="40" t="s">
        <v>2782</v>
      </c>
      <c r="L18" s="418"/>
      <c r="M18" s="80"/>
    </row>
    <row r="19" spans="1:30" s="72" customFormat="1" ht="24">
      <c r="A19" s="406"/>
      <c r="B19" s="40" t="s">
        <v>2783</v>
      </c>
      <c r="C19" s="40" t="s">
        <v>2784</v>
      </c>
      <c r="D19" s="40" t="s">
        <v>2785</v>
      </c>
      <c r="E19" s="40" t="s">
        <v>2786</v>
      </c>
      <c r="F19" s="76" t="s">
        <v>357</v>
      </c>
      <c r="G19" s="40"/>
      <c r="H19" s="40" t="s">
        <v>366</v>
      </c>
      <c r="I19" s="76" t="s">
        <v>24</v>
      </c>
      <c r="J19" s="79" t="s">
        <v>387</v>
      </c>
      <c r="K19" s="40" t="s">
        <v>2787</v>
      </c>
      <c r="L19" s="418"/>
      <c r="M19" s="80" t="s">
        <v>2755</v>
      </c>
    </row>
    <row r="20" spans="1:30" s="73" customFormat="1" ht="24">
      <c r="A20" s="406"/>
      <c r="B20" s="40" t="s">
        <v>2788</v>
      </c>
      <c r="C20" s="40" t="s">
        <v>2789</v>
      </c>
      <c r="D20" s="40" t="s">
        <v>2790</v>
      </c>
      <c r="E20" s="40" t="s">
        <v>2791</v>
      </c>
      <c r="F20" s="76" t="s">
        <v>357</v>
      </c>
      <c r="G20" s="40"/>
      <c r="H20" s="40" t="s">
        <v>366</v>
      </c>
      <c r="I20" s="76" t="s">
        <v>24</v>
      </c>
      <c r="J20" s="79" t="s">
        <v>71</v>
      </c>
      <c r="K20" s="40" t="s">
        <v>2792</v>
      </c>
      <c r="L20" s="418"/>
      <c r="M20" s="80" t="s">
        <v>2755</v>
      </c>
      <c r="N20" s="72"/>
      <c r="O20" s="72"/>
      <c r="P20" s="72"/>
      <c r="Q20" s="72"/>
      <c r="R20" s="72"/>
      <c r="S20" s="72"/>
      <c r="T20" s="72"/>
      <c r="U20" s="72"/>
      <c r="V20" s="72"/>
      <c r="W20" s="72"/>
      <c r="X20" s="72"/>
      <c r="Y20" s="72"/>
      <c r="Z20" s="72"/>
      <c r="AA20" s="72"/>
      <c r="AB20" s="72"/>
      <c r="AC20" s="72"/>
      <c r="AD20" s="72"/>
    </row>
    <row r="21" spans="1:30" s="73" customFormat="1" ht="24">
      <c r="A21" s="406"/>
      <c r="B21" s="40" t="s">
        <v>2793</v>
      </c>
      <c r="C21" s="40" t="s">
        <v>2794</v>
      </c>
      <c r="D21" s="40" t="s">
        <v>2795</v>
      </c>
      <c r="E21" s="40" t="s">
        <v>2796</v>
      </c>
      <c r="F21" s="76" t="s">
        <v>357</v>
      </c>
      <c r="G21" s="40"/>
      <c r="H21" s="40" t="s">
        <v>366</v>
      </c>
      <c r="I21" s="76" t="s">
        <v>24</v>
      </c>
      <c r="J21" s="32" t="s">
        <v>496</v>
      </c>
      <c r="K21" s="40" t="s">
        <v>2796</v>
      </c>
      <c r="L21" s="418"/>
      <c r="M21" s="80" t="s">
        <v>2755</v>
      </c>
      <c r="N21" s="72"/>
      <c r="O21" s="72"/>
      <c r="P21" s="72"/>
      <c r="Q21" s="72"/>
      <c r="R21" s="72"/>
      <c r="S21" s="72"/>
      <c r="T21" s="72"/>
      <c r="U21" s="72"/>
      <c r="V21" s="72"/>
      <c r="W21" s="72"/>
      <c r="X21" s="72"/>
      <c r="Y21" s="72"/>
      <c r="Z21" s="72"/>
      <c r="AA21" s="72"/>
      <c r="AB21" s="72"/>
      <c r="AC21" s="72"/>
      <c r="AD21" s="72"/>
    </row>
    <row r="22" spans="1:30" s="70" customFormat="1" ht="24">
      <c r="A22" s="406"/>
      <c r="B22" s="40" t="s">
        <v>2797</v>
      </c>
      <c r="C22" s="40" t="s">
        <v>2798</v>
      </c>
      <c r="D22" s="40" t="s">
        <v>2799</v>
      </c>
      <c r="E22" s="40" t="s">
        <v>2800</v>
      </c>
      <c r="F22" s="76" t="s">
        <v>789</v>
      </c>
      <c r="G22" s="40"/>
      <c r="H22" s="40" t="s">
        <v>366</v>
      </c>
      <c r="I22" s="76" t="s">
        <v>24</v>
      </c>
      <c r="J22" s="79" t="s">
        <v>71</v>
      </c>
      <c r="K22" s="40" t="s">
        <v>2801</v>
      </c>
      <c r="L22" s="418"/>
      <c r="M22" s="80" t="s">
        <v>2755</v>
      </c>
    </row>
    <row r="23" spans="1:30" s="70" customFormat="1" ht="24">
      <c r="A23" s="406"/>
      <c r="B23" s="40" t="s">
        <v>2802</v>
      </c>
      <c r="C23" s="40" t="s">
        <v>2803</v>
      </c>
      <c r="D23" s="40" t="s">
        <v>2804</v>
      </c>
      <c r="E23" s="40" t="s">
        <v>2805</v>
      </c>
      <c r="F23" s="76" t="s">
        <v>789</v>
      </c>
      <c r="G23" s="40"/>
      <c r="H23" s="40" t="s">
        <v>366</v>
      </c>
      <c r="I23" s="76" t="s">
        <v>24</v>
      </c>
      <c r="J23" s="32" t="s">
        <v>496</v>
      </c>
      <c r="K23" s="40" t="s">
        <v>2805</v>
      </c>
      <c r="L23" s="418"/>
      <c r="M23" s="80" t="s">
        <v>2755</v>
      </c>
    </row>
    <row r="24" spans="1:30" s="70" customFormat="1" ht="24">
      <c r="A24" s="406"/>
      <c r="B24" s="40" t="s">
        <v>2806</v>
      </c>
      <c r="C24" s="40" t="s">
        <v>2807</v>
      </c>
      <c r="D24" s="40" t="s">
        <v>2808</v>
      </c>
      <c r="E24" s="40" t="s">
        <v>2809</v>
      </c>
      <c r="F24" s="76" t="s">
        <v>1648</v>
      </c>
      <c r="G24" s="40"/>
      <c r="H24" s="40" t="s">
        <v>366</v>
      </c>
      <c r="I24" s="76" t="s">
        <v>24</v>
      </c>
      <c r="J24" s="76" t="s">
        <v>71</v>
      </c>
      <c r="K24" s="40" t="s">
        <v>2809</v>
      </c>
      <c r="L24" s="418"/>
      <c r="M24" s="80"/>
    </row>
    <row r="25" spans="1:30" s="70" customFormat="1" ht="24">
      <c r="A25" s="406"/>
      <c r="B25" s="40" t="s">
        <v>2810</v>
      </c>
      <c r="C25" s="40" t="s">
        <v>2811</v>
      </c>
      <c r="D25" s="40" t="s">
        <v>2812</v>
      </c>
      <c r="E25" s="40" t="s">
        <v>2813</v>
      </c>
      <c r="F25" s="76" t="s">
        <v>1648</v>
      </c>
      <c r="G25" s="40"/>
      <c r="H25" s="40" t="s">
        <v>366</v>
      </c>
      <c r="I25" s="76" t="s">
        <v>24</v>
      </c>
      <c r="J25" s="76" t="s">
        <v>71</v>
      </c>
      <c r="K25" s="40" t="s">
        <v>2813</v>
      </c>
      <c r="L25" s="418"/>
      <c r="M25" s="80"/>
    </row>
    <row r="26" spans="1:30" s="55" customFormat="1" ht="60">
      <c r="A26" s="406"/>
      <c r="B26" s="29" t="s">
        <v>2814</v>
      </c>
      <c r="C26" s="29" t="s">
        <v>2815</v>
      </c>
      <c r="D26" s="29" t="s">
        <v>2816</v>
      </c>
      <c r="E26" s="29" t="s">
        <v>2817</v>
      </c>
      <c r="F26" s="30" t="s">
        <v>357</v>
      </c>
      <c r="G26" s="30" t="s">
        <v>366</v>
      </c>
      <c r="H26" s="30" t="s">
        <v>366</v>
      </c>
      <c r="I26" s="30" t="s">
        <v>57</v>
      </c>
      <c r="J26" s="30" t="s">
        <v>387</v>
      </c>
      <c r="K26" s="29" t="s">
        <v>2818</v>
      </c>
      <c r="L26" s="30" t="s">
        <v>470</v>
      </c>
      <c r="M26" s="53"/>
      <c r="N26" s="70"/>
    </row>
  </sheetData>
  <mergeCells count="2">
    <mergeCell ref="A2:A26"/>
    <mergeCell ref="L2:L25"/>
  </mergeCells>
  <phoneticPr fontId="21"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dimension ref="A1:M19"/>
  <sheetViews>
    <sheetView workbookViewId="0">
      <pane xSplit="2" ySplit="1" topLeftCell="D3" activePane="bottomRight" state="frozen"/>
      <selection pane="topRight"/>
      <selection pane="bottomLeft"/>
      <selection pane="bottomRight" activeCell="B14" sqref="B3:B14"/>
    </sheetView>
  </sheetViews>
  <sheetFormatPr defaultColWidth="9" defaultRowHeight="14"/>
  <cols>
    <col min="1" max="1" width="9.08984375" customWidth="1"/>
    <col min="2" max="2" width="74.08984375" style="6" customWidth="1"/>
    <col min="3" max="3" width="5.453125" style="6" customWidth="1"/>
    <col min="4" max="4" width="13" style="28" customWidth="1"/>
    <col min="5" max="5" width="20.453125" style="28" customWidth="1"/>
    <col min="6" max="6" width="6.36328125" style="28" customWidth="1"/>
    <col min="7" max="7" width="9.08984375" style="28" customWidth="1"/>
    <col min="8" max="8" width="23" style="28" customWidth="1"/>
    <col min="9" max="9" width="11.36328125" style="6" customWidth="1"/>
    <col min="10" max="10" width="9" style="6" customWidth="1"/>
    <col min="11" max="11" width="27.1796875" style="28" customWidth="1"/>
    <col min="12" max="12" width="33.90625" style="28" customWidth="1"/>
    <col min="13" max="13" width="28" customWidth="1"/>
  </cols>
  <sheetData>
    <row r="1" spans="1:13" s="54" customFormat="1" ht="60">
      <c r="A1" s="57" t="s">
        <v>343</v>
      </c>
      <c r="B1" s="58" t="s">
        <v>344</v>
      </c>
      <c r="C1" s="58" t="s">
        <v>345</v>
      </c>
      <c r="D1" s="57" t="s">
        <v>346</v>
      </c>
      <c r="E1" s="57" t="s">
        <v>347</v>
      </c>
      <c r="F1" s="57" t="s">
        <v>348</v>
      </c>
      <c r="G1" s="57" t="s">
        <v>349</v>
      </c>
      <c r="H1" s="57" t="s">
        <v>350</v>
      </c>
      <c r="I1" s="58" t="s">
        <v>8</v>
      </c>
      <c r="J1" s="64" t="s">
        <v>6</v>
      </c>
      <c r="K1" s="57" t="s">
        <v>351</v>
      </c>
      <c r="L1" s="57" t="s">
        <v>273</v>
      </c>
      <c r="M1" s="8" t="s">
        <v>352</v>
      </c>
    </row>
    <row r="2" spans="1:13" s="55" customFormat="1" ht="108">
      <c r="A2" s="483" t="s">
        <v>322</v>
      </c>
      <c r="B2" s="59" t="s">
        <v>2819</v>
      </c>
      <c r="C2" s="59" t="s">
        <v>2820</v>
      </c>
      <c r="D2" s="29" t="s">
        <v>355</v>
      </c>
      <c r="E2" s="29" t="s">
        <v>356</v>
      </c>
      <c r="F2" s="30" t="s">
        <v>357</v>
      </c>
      <c r="G2" s="30" t="s">
        <v>2821</v>
      </c>
      <c r="H2" s="29" t="s">
        <v>355</v>
      </c>
      <c r="I2" s="30" t="s">
        <v>24</v>
      </c>
      <c r="J2" s="30" t="s">
        <v>359</v>
      </c>
      <c r="K2" s="29" t="s">
        <v>2822</v>
      </c>
      <c r="L2" s="29" t="s">
        <v>361</v>
      </c>
      <c r="M2" s="29"/>
    </row>
    <row r="3" spans="1:13" s="55" customFormat="1" ht="96">
      <c r="A3" s="434"/>
      <c r="B3" s="59" t="s">
        <v>2823</v>
      </c>
      <c r="C3" s="59" t="s">
        <v>2824</v>
      </c>
      <c r="D3" s="60" t="s">
        <v>1048</v>
      </c>
      <c r="E3" s="60" t="s">
        <v>2825</v>
      </c>
      <c r="F3" s="60" t="s">
        <v>357</v>
      </c>
      <c r="G3" s="60" t="s">
        <v>2826</v>
      </c>
      <c r="H3" s="60" t="s">
        <v>366</v>
      </c>
      <c r="I3" s="59" t="s">
        <v>24</v>
      </c>
      <c r="J3" s="65" t="s">
        <v>71</v>
      </c>
      <c r="K3" s="60" t="s">
        <v>2827</v>
      </c>
      <c r="L3" s="60" t="s">
        <v>498</v>
      </c>
      <c r="M3" s="53"/>
    </row>
    <row r="4" spans="1:13" s="55" customFormat="1" ht="14" customHeight="1">
      <c r="A4" s="434"/>
      <c r="B4" s="59" t="s">
        <v>2828</v>
      </c>
      <c r="C4" s="59" t="s">
        <v>2829</v>
      </c>
      <c r="D4" s="60" t="s">
        <v>455</v>
      </c>
      <c r="E4" s="60" t="s">
        <v>2830</v>
      </c>
      <c r="F4" s="60" t="s">
        <v>357</v>
      </c>
      <c r="G4" s="60"/>
      <c r="H4" s="60" t="s">
        <v>366</v>
      </c>
      <c r="I4" s="59" t="s">
        <v>57</v>
      </c>
      <c r="J4" s="65" t="s">
        <v>359</v>
      </c>
      <c r="K4" s="60" t="s">
        <v>2831</v>
      </c>
      <c r="L4" s="60" t="s">
        <v>498</v>
      </c>
      <c r="M4" s="53"/>
    </row>
    <row r="5" spans="1:13" s="55" customFormat="1" ht="13.5" customHeight="1">
      <c r="A5" s="434"/>
      <c r="B5" s="59" t="s">
        <v>2832</v>
      </c>
      <c r="C5" s="59" t="s">
        <v>2833</v>
      </c>
      <c r="D5" s="60" t="s">
        <v>2834</v>
      </c>
      <c r="E5" s="60" t="s">
        <v>2835</v>
      </c>
      <c r="F5" s="60" t="s">
        <v>357</v>
      </c>
      <c r="G5" s="60"/>
      <c r="H5" s="60" t="s">
        <v>2836</v>
      </c>
      <c r="I5" s="59" t="s">
        <v>57</v>
      </c>
      <c r="J5" s="65" t="s">
        <v>2837</v>
      </c>
      <c r="K5" s="60" t="s">
        <v>366</v>
      </c>
      <c r="L5" s="60" t="s">
        <v>2838</v>
      </c>
      <c r="M5" s="53"/>
    </row>
    <row r="6" spans="1:13" s="55" customFormat="1" ht="14" customHeight="1">
      <c r="A6" s="434"/>
      <c r="B6" s="59" t="s">
        <v>2839</v>
      </c>
      <c r="C6" s="59" t="s">
        <v>2840</v>
      </c>
      <c r="D6" s="60" t="s">
        <v>2841</v>
      </c>
      <c r="E6" s="60" t="s">
        <v>2842</v>
      </c>
      <c r="F6" s="60" t="s">
        <v>357</v>
      </c>
      <c r="G6" s="60"/>
      <c r="H6" s="60" t="s">
        <v>2843</v>
      </c>
      <c r="I6" s="59" t="s">
        <v>24</v>
      </c>
      <c r="J6" s="65" t="s">
        <v>359</v>
      </c>
      <c r="K6" s="60" t="s">
        <v>2844</v>
      </c>
      <c r="L6" s="60" t="s">
        <v>375</v>
      </c>
      <c r="M6" s="53"/>
    </row>
    <row r="7" spans="1:13" s="55" customFormat="1" ht="14" customHeight="1">
      <c r="A7" s="434"/>
      <c r="B7" s="59" t="s">
        <v>2845</v>
      </c>
      <c r="C7" s="59" t="s">
        <v>2846</v>
      </c>
      <c r="D7" s="60" t="s">
        <v>2847</v>
      </c>
      <c r="E7" s="60" t="s">
        <v>2848</v>
      </c>
      <c r="F7" s="60" t="s">
        <v>357</v>
      </c>
      <c r="G7" s="60"/>
      <c r="H7" s="60" t="s">
        <v>2847</v>
      </c>
      <c r="I7" s="59" t="s">
        <v>57</v>
      </c>
      <c r="J7" s="65" t="s">
        <v>359</v>
      </c>
      <c r="K7" s="60" t="s">
        <v>366</v>
      </c>
      <c r="L7" s="66"/>
      <c r="M7" s="53"/>
    </row>
    <row r="8" spans="1:13" s="55" customFormat="1" ht="41.5" customHeight="1">
      <c r="A8" s="434"/>
      <c r="B8" s="59" t="s">
        <v>2849</v>
      </c>
      <c r="C8" s="59" t="s">
        <v>2850</v>
      </c>
      <c r="D8" s="60" t="s">
        <v>2851</v>
      </c>
      <c r="E8" s="60" t="s">
        <v>2852</v>
      </c>
      <c r="F8" s="60" t="s">
        <v>357</v>
      </c>
      <c r="G8" s="60"/>
      <c r="H8" s="60" t="s">
        <v>366</v>
      </c>
      <c r="I8" s="59" t="s">
        <v>24</v>
      </c>
      <c r="J8" s="65" t="s">
        <v>359</v>
      </c>
      <c r="K8" s="60" t="s">
        <v>2853</v>
      </c>
      <c r="L8" s="60" t="s">
        <v>375</v>
      </c>
      <c r="M8" s="53"/>
    </row>
    <row r="9" spans="1:13" s="55" customFormat="1" ht="52" customHeight="1">
      <c r="A9" s="434"/>
      <c r="B9" s="59" t="s">
        <v>2854</v>
      </c>
      <c r="C9" s="59" t="s">
        <v>2855</v>
      </c>
      <c r="D9" s="60" t="s">
        <v>2856</v>
      </c>
      <c r="E9" s="60" t="s">
        <v>2857</v>
      </c>
      <c r="F9" s="60" t="s">
        <v>1648</v>
      </c>
      <c r="G9" s="60" t="s">
        <v>2821</v>
      </c>
      <c r="H9" s="60" t="s">
        <v>2856</v>
      </c>
      <c r="I9" s="59" t="s">
        <v>57</v>
      </c>
      <c r="J9" s="65" t="s">
        <v>359</v>
      </c>
      <c r="K9" s="60" t="s">
        <v>2858</v>
      </c>
      <c r="L9" s="60" t="s">
        <v>361</v>
      </c>
      <c r="M9" s="53"/>
    </row>
    <row r="10" spans="1:13" s="55" customFormat="1" ht="120">
      <c r="A10" s="434"/>
      <c r="B10" s="59" t="s">
        <v>2859</v>
      </c>
      <c r="C10" s="59" t="s">
        <v>2860</v>
      </c>
      <c r="D10" s="60" t="s">
        <v>2861</v>
      </c>
      <c r="E10" s="60" t="s">
        <v>2862</v>
      </c>
      <c r="F10" s="60" t="s">
        <v>357</v>
      </c>
      <c r="G10" s="60"/>
      <c r="H10" s="60" t="s">
        <v>2863</v>
      </c>
      <c r="I10" s="67" t="s">
        <v>24</v>
      </c>
      <c r="J10" s="65" t="s">
        <v>2864</v>
      </c>
      <c r="K10" s="60" t="s">
        <v>366</v>
      </c>
      <c r="L10" s="60" t="s">
        <v>375</v>
      </c>
      <c r="M10" s="53"/>
    </row>
    <row r="11" spans="1:13" s="55" customFormat="1" ht="24" customHeight="1">
      <c r="A11" s="434"/>
      <c r="B11" s="59" t="s">
        <v>2865</v>
      </c>
      <c r="C11" s="59" t="s">
        <v>2866</v>
      </c>
      <c r="D11" s="60" t="s">
        <v>2867</v>
      </c>
      <c r="E11" s="60" t="s">
        <v>2868</v>
      </c>
      <c r="F11" s="60" t="s">
        <v>357</v>
      </c>
      <c r="G11" s="60"/>
      <c r="H11" s="60" t="s">
        <v>366</v>
      </c>
      <c r="I11" s="67" t="s">
        <v>24</v>
      </c>
      <c r="J11" s="65" t="s">
        <v>2864</v>
      </c>
      <c r="K11" s="60" t="s">
        <v>366</v>
      </c>
      <c r="L11" s="60" t="s">
        <v>375</v>
      </c>
      <c r="M11" s="53"/>
    </row>
    <row r="12" spans="1:13" s="55" customFormat="1" ht="24" customHeight="1">
      <c r="A12" s="434"/>
      <c r="B12" s="59" t="s">
        <v>2869</v>
      </c>
      <c r="C12" s="59" t="s">
        <v>2870</v>
      </c>
      <c r="D12" s="60" t="s">
        <v>885</v>
      </c>
      <c r="E12" s="60" t="s">
        <v>2871</v>
      </c>
      <c r="F12" s="60" t="s">
        <v>357</v>
      </c>
      <c r="G12" s="60"/>
      <c r="H12" s="60" t="s">
        <v>2872</v>
      </c>
      <c r="I12" s="67" t="s">
        <v>24</v>
      </c>
      <c r="J12" s="65" t="s">
        <v>359</v>
      </c>
      <c r="K12" s="60" t="s">
        <v>366</v>
      </c>
      <c r="L12" s="60" t="s">
        <v>375</v>
      </c>
      <c r="M12" s="53"/>
    </row>
    <row r="13" spans="1:13" s="55" customFormat="1" ht="24" customHeight="1">
      <c r="A13" s="434"/>
      <c r="B13" s="59" t="s">
        <v>2873</v>
      </c>
      <c r="C13" s="59" t="s">
        <v>2874</v>
      </c>
      <c r="D13" s="60" t="s">
        <v>2875</v>
      </c>
      <c r="E13" s="60" t="s">
        <v>2876</v>
      </c>
      <c r="F13" s="60" t="s">
        <v>357</v>
      </c>
      <c r="G13" s="60"/>
      <c r="H13" s="60" t="s">
        <v>366</v>
      </c>
      <c r="I13" s="67" t="s">
        <v>24</v>
      </c>
      <c r="J13" s="65" t="s">
        <v>359</v>
      </c>
      <c r="K13" s="60" t="s">
        <v>2877</v>
      </c>
      <c r="L13" s="60" t="s">
        <v>375</v>
      </c>
      <c r="M13" s="53"/>
    </row>
    <row r="14" spans="1:13" s="56" customFormat="1" ht="14" customHeight="1">
      <c r="A14" s="435"/>
      <c r="B14" s="59" t="s">
        <v>2878</v>
      </c>
      <c r="C14" s="59" t="s">
        <v>2879</v>
      </c>
      <c r="D14" s="60" t="s">
        <v>2880</v>
      </c>
      <c r="E14" s="60" t="s">
        <v>2881</v>
      </c>
      <c r="F14" s="60" t="s">
        <v>357</v>
      </c>
      <c r="G14" s="60"/>
      <c r="H14" s="60" t="s">
        <v>2880</v>
      </c>
      <c r="I14" s="59" t="s">
        <v>57</v>
      </c>
      <c r="J14" s="59" t="s">
        <v>359</v>
      </c>
      <c r="K14" s="60" t="s">
        <v>2882</v>
      </c>
      <c r="L14" s="30" t="s">
        <v>407</v>
      </c>
      <c r="M14" s="68"/>
    </row>
    <row r="15" spans="1:13">
      <c r="A15" s="61"/>
      <c r="B15" s="62"/>
      <c r="C15" s="62"/>
      <c r="D15" s="63"/>
      <c r="E15" s="63"/>
      <c r="F15" s="63"/>
      <c r="G15" s="63"/>
      <c r="H15" s="63"/>
      <c r="I15" s="62"/>
      <c r="J15" s="62"/>
      <c r="K15" s="63"/>
      <c r="L15" s="63"/>
    </row>
    <row r="16" spans="1:13">
      <c r="A16" s="61"/>
      <c r="B16" s="62"/>
      <c r="C16" s="62"/>
      <c r="D16" s="63"/>
      <c r="E16" s="63"/>
      <c r="F16" s="63"/>
      <c r="G16" s="63"/>
      <c r="H16" s="63"/>
      <c r="I16" s="62"/>
      <c r="J16" s="62"/>
      <c r="K16" s="63"/>
      <c r="L16" s="63"/>
    </row>
    <row r="17" spans="1:12">
      <c r="A17" s="61"/>
      <c r="B17" s="62"/>
      <c r="C17" s="62"/>
      <c r="D17" s="63"/>
      <c r="E17" s="63"/>
      <c r="F17" s="63"/>
      <c r="G17" s="63"/>
      <c r="H17" s="63"/>
      <c r="I17" s="62"/>
      <c r="J17" s="62"/>
      <c r="K17" s="63"/>
      <c r="L17" s="63"/>
    </row>
    <row r="18" spans="1:12">
      <c r="A18" s="61"/>
      <c r="B18" s="62"/>
      <c r="C18" s="62"/>
      <c r="D18" s="63"/>
      <c r="E18" s="63"/>
      <c r="F18" s="63"/>
      <c r="G18" s="63"/>
      <c r="H18" s="63"/>
      <c r="I18" s="62"/>
      <c r="J18" s="62"/>
      <c r="K18" s="63"/>
      <c r="L18" s="63"/>
    </row>
    <row r="19" spans="1:12">
      <c r="L19" s="63"/>
    </row>
  </sheetData>
  <mergeCells count="1">
    <mergeCell ref="A2:A14"/>
  </mergeCells>
  <phoneticPr fontId="21" type="noConversion"/>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dimension ref="A1:AZ10"/>
  <sheetViews>
    <sheetView workbookViewId="0">
      <pane xSplit="2" ySplit="1" topLeftCell="F2" activePane="bottomRight" state="frozen"/>
      <selection pane="topRight"/>
      <selection pane="bottomLeft"/>
      <selection pane="bottomRight" activeCell="N4" sqref="N4"/>
    </sheetView>
  </sheetViews>
  <sheetFormatPr defaultColWidth="9" defaultRowHeight="14"/>
  <cols>
    <col min="1" max="1" width="12.6328125" customWidth="1"/>
    <col min="2" max="2" width="54.6328125" customWidth="1"/>
    <col min="3" max="3" width="42.08984375" customWidth="1"/>
    <col min="4" max="4" width="31.36328125" customWidth="1"/>
    <col min="5" max="5" width="15.453125" customWidth="1"/>
    <col min="6" max="6" width="6.36328125" customWidth="1"/>
    <col min="7" max="7" width="9.08984375" customWidth="1"/>
    <col min="8" max="8" width="17.1796875" customWidth="1"/>
    <col min="9" max="9" width="11.36328125" customWidth="1"/>
    <col min="10" max="10" width="6.81640625" customWidth="1"/>
    <col min="11" max="11" width="21.36328125" customWidth="1"/>
    <col min="12" max="12" width="14.81640625" customWidth="1"/>
    <col min="13" max="13" width="39.1796875" customWidth="1"/>
  </cols>
  <sheetData>
    <row r="1" spans="1:52" s="48" customFormat="1" ht="13">
      <c r="A1" s="21" t="s">
        <v>343</v>
      </c>
      <c r="B1" s="21" t="s">
        <v>344</v>
      </c>
      <c r="C1" s="21" t="s">
        <v>345</v>
      </c>
      <c r="D1" s="21" t="s">
        <v>346</v>
      </c>
      <c r="E1" s="21" t="s">
        <v>347</v>
      </c>
      <c r="F1" s="21" t="s">
        <v>348</v>
      </c>
      <c r="G1" s="21" t="s">
        <v>349</v>
      </c>
      <c r="H1" s="21" t="s">
        <v>350</v>
      </c>
      <c r="I1" s="21" t="s">
        <v>8</v>
      </c>
      <c r="J1" s="51" t="s">
        <v>6</v>
      </c>
      <c r="K1" s="21" t="s">
        <v>351</v>
      </c>
      <c r="L1" s="21" t="s">
        <v>273</v>
      </c>
      <c r="M1" s="8" t="s">
        <v>352</v>
      </c>
    </row>
    <row r="2" spans="1:52" s="49" customFormat="1" ht="14.5">
      <c r="A2" s="432" t="s">
        <v>325</v>
      </c>
      <c r="B2" s="29" t="s">
        <v>2883</v>
      </c>
      <c r="C2" s="29" t="s">
        <v>2884</v>
      </c>
      <c r="D2" s="29" t="s">
        <v>1048</v>
      </c>
      <c r="E2" s="30" t="s">
        <v>2885</v>
      </c>
      <c r="F2" s="30" t="s">
        <v>357</v>
      </c>
      <c r="G2" s="29" t="s">
        <v>2886</v>
      </c>
      <c r="H2" s="29" t="s">
        <v>366</v>
      </c>
      <c r="I2" s="30" t="s">
        <v>24</v>
      </c>
      <c r="J2" s="32" t="s">
        <v>71</v>
      </c>
      <c r="K2" s="32"/>
      <c r="L2" s="30" t="s">
        <v>2887</v>
      </c>
      <c r="M2" s="33"/>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2" s="49" customFormat="1" ht="14.5">
      <c r="A3" s="432"/>
      <c r="B3" s="29" t="s">
        <v>2888</v>
      </c>
      <c r="C3" s="29" t="s">
        <v>2889</v>
      </c>
      <c r="D3" s="29" t="s">
        <v>2890</v>
      </c>
      <c r="E3" s="30" t="s">
        <v>2891</v>
      </c>
      <c r="F3" s="30" t="s">
        <v>357</v>
      </c>
      <c r="G3" s="29"/>
      <c r="H3" s="30" t="s">
        <v>2892</v>
      </c>
      <c r="I3" s="30" t="s">
        <v>24</v>
      </c>
      <c r="J3" s="32" t="s">
        <v>359</v>
      </c>
      <c r="K3" s="30" t="s">
        <v>2893</v>
      </c>
      <c r="L3" s="30" t="s">
        <v>407</v>
      </c>
      <c r="M3" s="33"/>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2" s="50" customFormat="1" ht="36">
      <c r="A4" s="432"/>
      <c r="B4" s="38" t="s">
        <v>2894</v>
      </c>
      <c r="C4" s="38" t="s">
        <v>2895</v>
      </c>
      <c r="D4" s="38" t="s">
        <v>455</v>
      </c>
      <c r="E4" s="39" t="s">
        <v>456</v>
      </c>
      <c r="F4" s="39" t="s">
        <v>357</v>
      </c>
      <c r="G4" s="38"/>
      <c r="H4" s="38" t="s">
        <v>366</v>
      </c>
      <c r="I4" s="39" t="s">
        <v>57</v>
      </c>
      <c r="J4" s="46" t="s">
        <v>359</v>
      </c>
      <c r="K4" s="39" t="s">
        <v>2896</v>
      </c>
      <c r="L4" s="39" t="s">
        <v>2887</v>
      </c>
      <c r="M4" s="41" t="s">
        <v>2897</v>
      </c>
      <c r="N4" s="52" t="s">
        <v>2898</v>
      </c>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row>
    <row r="5" spans="1:52" s="49" customFormat="1" ht="14.5">
      <c r="A5" s="432"/>
      <c r="B5" s="29" t="s">
        <v>2899</v>
      </c>
      <c r="C5" s="29" t="s">
        <v>2900</v>
      </c>
      <c r="D5" s="29" t="s">
        <v>2901</v>
      </c>
      <c r="E5" s="30" t="s">
        <v>2902</v>
      </c>
      <c r="F5" s="30" t="s">
        <v>357</v>
      </c>
      <c r="G5" s="29"/>
      <c r="H5" s="29" t="s">
        <v>366</v>
      </c>
      <c r="I5" s="30" t="s">
        <v>57</v>
      </c>
      <c r="J5" s="32" t="s">
        <v>71</v>
      </c>
      <c r="K5" s="32"/>
      <c r="L5" s="30" t="s">
        <v>2887</v>
      </c>
      <c r="M5" s="33"/>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row>
    <row r="6" spans="1:52" s="49" customFormat="1" ht="14.5">
      <c r="A6" s="432"/>
      <c r="B6" s="29" t="s">
        <v>2903</v>
      </c>
      <c r="C6" s="29" t="s">
        <v>2904</v>
      </c>
      <c r="D6" s="29" t="s">
        <v>2905</v>
      </c>
      <c r="E6" s="30" t="s">
        <v>2906</v>
      </c>
      <c r="F6" s="30" t="s">
        <v>357</v>
      </c>
      <c r="G6" s="29"/>
      <c r="H6" s="29" t="s">
        <v>366</v>
      </c>
      <c r="I6" s="30" t="s">
        <v>57</v>
      </c>
      <c r="J6" s="32" t="s">
        <v>359</v>
      </c>
      <c r="K6" s="32"/>
      <c r="L6" s="30" t="s">
        <v>2887</v>
      </c>
      <c r="M6" s="33"/>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row>
    <row r="7" spans="1:52" s="16" customFormat="1" ht="13">
      <c r="A7" s="432"/>
      <c r="B7" s="29" t="s">
        <v>2907</v>
      </c>
      <c r="C7" s="29" t="s">
        <v>2908</v>
      </c>
      <c r="D7" s="29" t="s">
        <v>2909</v>
      </c>
      <c r="E7" s="30" t="s">
        <v>2910</v>
      </c>
      <c r="F7" s="30" t="s">
        <v>357</v>
      </c>
      <c r="G7" s="29"/>
      <c r="H7" s="29" t="s">
        <v>366</v>
      </c>
      <c r="I7" s="30" t="s">
        <v>57</v>
      </c>
      <c r="J7" s="32" t="s">
        <v>359</v>
      </c>
      <c r="K7" s="32"/>
      <c r="L7" s="30" t="s">
        <v>2887</v>
      </c>
      <c r="M7" s="33"/>
    </row>
    <row r="8" spans="1:52" s="16" customFormat="1" ht="13">
      <c r="A8" s="432"/>
      <c r="B8" s="29" t="s">
        <v>2911</v>
      </c>
      <c r="C8" s="29" t="s">
        <v>2912</v>
      </c>
      <c r="D8" s="29" t="s">
        <v>2913</v>
      </c>
      <c r="E8" s="30" t="s">
        <v>2914</v>
      </c>
      <c r="F8" s="30" t="s">
        <v>357</v>
      </c>
      <c r="G8" s="29"/>
      <c r="H8" s="29" t="s">
        <v>366</v>
      </c>
      <c r="I8" s="30" t="s">
        <v>57</v>
      </c>
      <c r="J8" s="32" t="s">
        <v>359</v>
      </c>
      <c r="K8" s="32"/>
      <c r="L8" s="30" t="s">
        <v>2887</v>
      </c>
      <c r="M8" s="33"/>
    </row>
    <row r="9" spans="1:52" s="35" customFormat="1">
      <c r="A9" s="432"/>
      <c r="B9" s="29" t="s">
        <v>2915</v>
      </c>
      <c r="C9" s="29" t="s">
        <v>2916</v>
      </c>
      <c r="D9" s="29" t="s">
        <v>2917</v>
      </c>
      <c r="E9" s="30" t="s">
        <v>2918</v>
      </c>
      <c r="F9" s="30" t="s">
        <v>357</v>
      </c>
      <c r="G9" s="29"/>
      <c r="H9" s="29" t="s">
        <v>366</v>
      </c>
      <c r="I9" s="30" t="s">
        <v>57</v>
      </c>
      <c r="J9" s="32" t="s">
        <v>359</v>
      </c>
      <c r="K9" s="32"/>
      <c r="L9" s="30" t="s">
        <v>2887</v>
      </c>
      <c r="M9" s="53"/>
    </row>
    <row r="10" spans="1:52" s="35" customFormat="1">
      <c r="A10" s="432"/>
      <c r="B10" s="29" t="s">
        <v>2919</v>
      </c>
      <c r="C10" s="29" t="s">
        <v>2920</v>
      </c>
      <c r="D10" s="29" t="s">
        <v>2921</v>
      </c>
      <c r="E10" s="30" t="s">
        <v>2922</v>
      </c>
      <c r="F10" s="30" t="s">
        <v>357</v>
      </c>
      <c r="G10" s="29"/>
      <c r="H10" s="29" t="s">
        <v>366</v>
      </c>
      <c r="I10" s="30" t="s">
        <v>57</v>
      </c>
      <c r="J10" s="32" t="s">
        <v>359</v>
      </c>
      <c r="K10" s="32"/>
      <c r="L10" s="30" t="s">
        <v>2887</v>
      </c>
      <c r="M10" s="53"/>
    </row>
  </sheetData>
  <mergeCells count="1">
    <mergeCell ref="A2:A10"/>
  </mergeCells>
  <phoneticPr fontId="21" type="noConversion"/>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dimension ref="A1:AI11"/>
  <sheetViews>
    <sheetView workbookViewId="0">
      <pane xSplit="2" ySplit="1" topLeftCell="E2" activePane="bottomRight" state="frozen"/>
      <selection pane="topRight"/>
      <selection pane="bottomLeft"/>
      <selection pane="bottomRight" activeCell="F5" sqref="F5:F7"/>
    </sheetView>
  </sheetViews>
  <sheetFormatPr defaultColWidth="9" defaultRowHeight="14"/>
  <cols>
    <col min="1" max="1" width="16.81640625" customWidth="1"/>
    <col min="2" max="2" width="33.90625" customWidth="1"/>
    <col min="3" max="3" width="22.81640625" customWidth="1"/>
    <col min="4" max="4" width="13.90625" customWidth="1"/>
    <col min="5" max="5" width="9.81640625" customWidth="1"/>
    <col min="6" max="6" width="6.36328125" customWidth="1"/>
    <col min="7" max="7" width="9.08984375" customWidth="1"/>
    <col min="8" max="8" width="14.1796875" style="28" customWidth="1"/>
    <col min="9" max="9" width="11.36328125" customWidth="1"/>
    <col min="10" max="10" width="9" customWidth="1"/>
    <col min="11" max="11" width="13.90625" customWidth="1"/>
    <col min="12" max="12" width="19.81640625" customWidth="1"/>
    <col min="13" max="13" width="37.6328125" customWidth="1"/>
  </cols>
  <sheetData>
    <row r="1" spans="1:35" s="1" customFormat="1" ht="13">
      <c r="A1" s="7" t="s">
        <v>343</v>
      </c>
      <c r="B1" s="8" t="s">
        <v>344</v>
      </c>
      <c r="C1" s="8" t="s">
        <v>345</v>
      </c>
      <c r="D1" s="8" t="s">
        <v>346</v>
      </c>
      <c r="E1" s="8" t="s">
        <v>347</v>
      </c>
      <c r="F1" s="8" t="s">
        <v>348</v>
      </c>
      <c r="G1" s="8" t="s">
        <v>349</v>
      </c>
      <c r="H1" s="8" t="s">
        <v>350</v>
      </c>
      <c r="I1" s="8" t="s">
        <v>8</v>
      </c>
      <c r="J1" s="8" t="s">
        <v>6</v>
      </c>
      <c r="K1" s="8" t="s">
        <v>351</v>
      </c>
      <c r="L1" s="21" t="s">
        <v>273</v>
      </c>
      <c r="M1" s="8" t="s">
        <v>352</v>
      </c>
      <c r="N1" s="16"/>
      <c r="O1" s="16"/>
      <c r="P1" s="16"/>
      <c r="Q1" s="16"/>
      <c r="R1" s="16"/>
      <c r="S1" s="16"/>
      <c r="T1" s="16"/>
      <c r="U1" s="16"/>
      <c r="V1" s="16"/>
      <c r="W1" s="16"/>
      <c r="X1" s="16"/>
      <c r="Y1" s="16"/>
      <c r="Z1" s="16"/>
      <c r="AA1" s="16"/>
      <c r="AB1" s="16"/>
      <c r="AC1" s="16"/>
      <c r="AD1" s="16"/>
      <c r="AE1" s="16"/>
      <c r="AF1" s="16"/>
      <c r="AG1" s="16"/>
      <c r="AH1" s="16"/>
      <c r="AI1" s="16"/>
    </row>
    <row r="2" spans="1:35" s="16" customFormat="1" ht="13">
      <c r="A2" s="432" t="s">
        <v>328</v>
      </c>
      <c r="B2" s="29" t="s">
        <v>2923</v>
      </c>
      <c r="C2" s="29" t="s">
        <v>2924</v>
      </c>
      <c r="D2" s="29" t="s">
        <v>1048</v>
      </c>
      <c r="E2" s="30" t="s">
        <v>2925</v>
      </c>
      <c r="F2" s="30" t="s">
        <v>357</v>
      </c>
      <c r="G2" s="457" t="s">
        <v>366</v>
      </c>
      <c r="H2" s="457" t="s">
        <v>366</v>
      </c>
      <c r="I2" s="30" t="s">
        <v>24</v>
      </c>
      <c r="J2" s="32" t="s">
        <v>71</v>
      </c>
      <c r="K2" s="32" t="s">
        <v>366</v>
      </c>
      <c r="L2" s="30" t="s">
        <v>498</v>
      </c>
      <c r="M2" s="33"/>
    </row>
    <row r="3" spans="1:35" s="16" customFormat="1" ht="13">
      <c r="A3" s="432"/>
      <c r="B3" s="29" t="s">
        <v>2926</v>
      </c>
      <c r="C3" s="29" t="s">
        <v>2927</v>
      </c>
      <c r="D3" s="29" t="s">
        <v>2928</v>
      </c>
      <c r="E3" s="30" t="s">
        <v>2929</v>
      </c>
      <c r="F3" s="30" t="s">
        <v>357</v>
      </c>
      <c r="G3" s="457"/>
      <c r="H3" s="457"/>
      <c r="I3" s="30" t="s">
        <v>24</v>
      </c>
      <c r="J3" s="32" t="s">
        <v>387</v>
      </c>
      <c r="K3" s="32" t="s">
        <v>366</v>
      </c>
      <c r="L3" s="30" t="s">
        <v>498</v>
      </c>
      <c r="M3" s="33"/>
    </row>
    <row r="4" spans="1:35" s="16" customFormat="1" ht="13">
      <c r="A4" s="432"/>
      <c r="B4" s="29" t="s">
        <v>2930</v>
      </c>
      <c r="C4" s="29" t="s">
        <v>2931</v>
      </c>
      <c r="D4" s="29" t="s">
        <v>2932</v>
      </c>
      <c r="E4" s="30" t="s">
        <v>2933</v>
      </c>
      <c r="F4" s="30" t="s">
        <v>357</v>
      </c>
      <c r="G4" s="457"/>
      <c r="H4" s="457"/>
      <c r="I4" s="30" t="s">
        <v>24</v>
      </c>
      <c r="J4" s="32" t="s">
        <v>387</v>
      </c>
      <c r="K4" s="32" t="s">
        <v>366</v>
      </c>
      <c r="L4" s="30" t="s">
        <v>498</v>
      </c>
      <c r="M4" s="33"/>
    </row>
    <row r="5" spans="1:35" s="16" customFormat="1" ht="13">
      <c r="A5" s="432"/>
      <c r="B5" s="29" t="s">
        <v>2934</v>
      </c>
      <c r="C5" s="29" t="s">
        <v>2935</v>
      </c>
      <c r="D5" s="29" t="s">
        <v>2936</v>
      </c>
      <c r="E5" s="30" t="s">
        <v>2937</v>
      </c>
      <c r="F5" s="30" t="s">
        <v>789</v>
      </c>
      <c r="G5" s="457"/>
      <c r="H5" s="457"/>
      <c r="I5" s="30" t="s">
        <v>24</v>
      </c>
      <c r="J5" s="32" t="s">
        <v>387</v>
      </c>
      <c r="K5" s="32" t="s">
        <v>366</v>
      </c>
      <c r="L5" s="30" t="s">
        <v>498</v>
      </c>
      <c r="M5" s="33"/>
    </row>
    <row r="6" spans="1:35" s="16" customFormat="1" ht="13">
      <c r="A6" s="432"/>
      <c r="B6" s="29" t="s">
        <v>2938</v>
      </c>
      <c r="C6" s="29" t="s">
        <v>2939</v>
      </c>
      <c r="D6" s="29" t="s">
        <v>2940</v>
      </c>
      <c r="E6" s="30" t="s">
        <v>2941</v>
      </c>
      <c r="F6" s="30" t="s">
        <v>789</v>
      </c>
      <c r="G6" s="457"/>
      <c r="H6" s="457"/>
      <c r="I6" s="30" t="s">
        <v>24</v>
      </c>
      <c r="J6" s="32" t="s">
        <v>387</v>
      </c>
      <c r="K6" s="32" t="s">
        <v>366</v>
      </c>
      <c r="L6" s="30" t="s">
        <v>498</v>
      </c>
      <c r="M6" s="33"/>
    </row>
    <row r="7" spans="1:35" s="16" customFormat="1" ht="13">
      <c r="A7" s="432"/>
      <c r="B7" s="29" t="s">
        <v>2942</v>
      </c>
      <c r="C7" s="29" t="s">
        <v>2943</v>
      </c>
      <c r="D7" s="29" t="s">
        <v>2944</v>
      </c>
      <c r="E7" s="30" t="s">
        <v>2945</v>
      </c>
      <c r="F7" s="30" t="s">
        <v>789</v>
      </c>
      <c r="G7" s="457"/>
      <c r="H7" s="457"/>
      <c r="I7" s="30" t="s">
        <v>24</v>
      </c>
      <c r="J7" s="32" t="s">
        <v>387</v>
      </c>
      <c r="K7" s="32" t="s">
        <v>366</v>
      </c>
      <c r="L7" s="30" t="s">
        <v>498</v>
      </c>
      <c r="M7" s="33"/>
    </row>
    <row r="8" spans="1:35" s="45" customFormat="1" ht="24">
      <c r="A8" s="432"/>
      <c r="B8" s="38" t="s">
        <v>2946</v>
      </c>
      <c r="C8" s="38" t="s">
        <v>2947</v>
      </c>
      <c r="D8" s="38" t="s">
        <v>2948</v>
      </c>
      <c r="E8" s="39" t="s">
        <v>2949</v>
      </c>
      <c r="F8" s="39" t="s">
        <v>357</v>
      </c>
      <c r="G8" s="457"/>
      <c r="H8" s="457"/>
      <c r="I8" s="39" t="s">
        <v>57</v>
      </c>
      <c r="J8" s="46" t="s">
        <v>440</v>
      </c>
      <c r="K8" s="46" t="s">
        <v>366</v>
      </c>
      <c r="L8" s="39" t="s">
        <v>498</v>
      </c>
      <c r="M8" s="41" t="s">
        <v>2950</v>
      </c>
      <c r="N8" s="47"/>
    </row>
    <row r="9" spans="1:35" s="16" customFormat="1" ht="13">
      <c r="A9" s="432"/>
      <c r="B9" s="29" t="s">
        <v>2951</v>
      </c>
      <c r="C9" s="29" t="s">
        <v>2952</v>
      </c>
      <c r="D9" s="29" t="s">
        <v>2953</v>
      </c>
      <c r="E9" s="30" t="s">
        <v>2954</v>
      </c>
      <c r="F9" s="30" t="s">
        <v>357</v>
      </c>
      <c r="G9" s="457"/>
      <c r="H9" s="457"/>
      <c r="I9" s="30" t="s">
        <v>24</v>
      </c>
      <c r="J9" s="32" t="s">
        <v>387</v>
      </c>
      <c r="K9" s="32" t="s">
        <v>366</v>
      </c>
      <c r="L9" s="30" t="s">
        <v>498</v>
      </c>
      <c r="M9" s="33"/>
    </row>
    <row r="10" spans="1:35" s="43" customFormat="1">
      <c r="H10" s="44"/>
    </row>
    <row r="11" spans="1:35" s="43" customFormat="1">
      <c r="H11" s="44"/>
    </row>
  </sheetData>
  <mergeCells count="3">
    <mergeCell ref="A2:A9"/>
    <mergeCell ref="G2:G9"/>
    <mergeCell ref="H2:H9"/>
  </mergeCells>
  <phoneticPr fontId="21" type="noConversion"/>
  <pageMargins left="0.69930555555555596" right="0.69930555555555596" top="0.75" bottom="0.75" header="0.3" footer="0.3"/>
  <pageSetup paperSize="9" orientation="portrait" horizontalDpi="1200" verticalDpi="1200"/>
</worksheet>
</file>

<file path=xl/worksheets/sheet19.xml><?xml version="1.0" encoding="utf-8"?>
<worksheet xmlns="http://schemas.openxmlformats.org/spreadsheetml/2006/main" xmlns:r="http://schemas.openxmlformats.org/officeDocument/2006/relationships">
  <dimension ref="A1:AM7"/>
  <sheetViews>
    <sheetView workbookViewId="0">
      <pane xSplit="2" ySplit="1" topLeftCell="D2" activePane="bottomRight" state="frozen"/>
      <selection pane="topRight"/>
      <selection pane="bottomLeft"/>
      <selection pane="bottomRight" activeCell="F2" sqref="F2:F4"/>
    </sheetView>
  </sheetViews>
  <sheetFormatPr defaultColWidth="13.6328125" defaultRowHeight="14"/>
  <cols>
    <col min="1" max="1" width="13.453125" customWidth="1"/>
    <col min="2" max="2" width="40.453125" customWidth="1"/>
    <col min="3" max="3" width="28" customWidth="1"/>
    <col min="4" max="4" width="15.453125" style="28" customWidth="1"/>
    <col min="5" max="6" width="6.36328125" customWidth="1"/>
    <col min="7" max="7" width="9.08984375" style="28" customWidth="1"/>
    <col min="8" max="8" width="14.1796875" customWidth="1"/>
    <col min="9" max="9" width="11.36328125" customWidth="1"/>
    <col min="10" max="10" width="21.36328125" customWidth="1"/>
    <col min="11" max="11" width="4.81640625" style="28" customWidth="1"/>
    <col min="12" max="12" width="24.81640625" customWidth="1"/>
    <col min="13" max="13" width="34.08984375" customWidth="1"/>
  </cols>
  <sheetData>
    <row r="1" spans="1:39" s="1" customFormat="1" ht="13">
      <c r="A1" s="7" t="s">
        <v>343</v>
      </c>
      <c r="B1" s="8" t="s">
        <v>344</v>
      </c>
      <c r="C1" s="8" t="s">
        <v>345</v>
      </c>
      <c r="D1" s="8" t="s">
        <v>346</v>
      </c>
      <c r="E1" s="8" t="s">
        <v>347</v>
      </c>
      <c r="F1" s="8" t="s">
        <v>348</v>
      </c>
      <c r="G1" s="8" t="s">
        <v>349</v>
      </c>
      <c r="H1" s="8" t="s">
        <v>350</v>
      </c>
      <c r="I1" s="8" t="s">
        <v>8</v>
      </c>
      <c r="J1" s="8" t="s">
        <v>6</v>
      </c>
      <c r="K1" s="8" t="s">
        <v>351</v>
      </c>
      <c r="L1" s="21" t="s">
        <v>273</v>
      </c>
      <c r="M1" s="8" t="s">
        <v>352</v>
      </c>
      <c r="N1" s="16"/>
      <c r="O1" s="16"/>
      <c r="P1" s="16"/>
      <c r="Q1" s="16"/>
      <c r="R1" s="16"/>
      <c r="S1" s="16"/>
      <c r="T1" s="16"/>
      <c r="U1" s="16"/>
      <c r="V1" s="16"/>
      <c r="W1" s="16"/>
      <c r="X1" s="16"/>
      <c r="Y1" s="16"/>
      <c r="Z1" s="16"/>
      <c r="AA1" s="16"/>
      <c r="AB1" s="16"/>
      <c r="AC1" s="16"/>
      <c r="AD1" s="16"/>
      <c r="AE1" s="16"/>
      <c r="AF1" s="16"/>
      <c r="AG1" s="16"/>
      <c r="AH1" s="16"/>
      <c r="AI1" s="16"/>
      <c r="AJ1" s="16"/>
      <c r="AK1" s="16"/>
      <c r="AL1" s="16"/>
      <c r="AM1" s="16"/>
    </row>
    <row r="2" spans="1:39" s="16" customFormat="1" ht="13">
      <c r="A2" s="432" t="s">
        <v>2955</v>
      </c>
      <c r="B2" s="29" t="s">
        <v>2956</v>
      </c>
      <c r="C2" s="29" t="s">
        <v>2957</v>
      </c>
      <c r="D2" s="30" t="s">
        <v>2958</v>
      </c>
      <c r="E2" s="30" t="s">
        <v>2959</v>
      </c>
      <c r="F2" s="30" t="s">
        <v>1774</v>
      </c>
      <c r="G2" s="30"/>
      <c r="H2" s="484" t="s">
        <v>366</v>
      </c>
      <c r="I2" s="30" t="s">
        <v>57</v>
      </c>
      <c r="J2" s="30" t="s">
        <v>2960</v>
      </c>
      <c r="K2" s="30" t="s">
        <v>366</v>
      </c>
      <c r="L2" s="30" t="s">
        <v>2961</v>
      </c>
      <c r="M2" s="33"/>
    </row>
    <row r="3" spans="1:39" s="16" customFormat="1" ht="13">
      <c r="A3" s="432"/>
      <c r="B3" s="29" t="s">
        <v>2962</v>
      </c>
      <c r="C3" s="29" t="s">
        <v>2963</v>
      </c>
      <c r="D3" s="30" t="s">
        <v>2964</v>
      </c>
      <c r="E3" s="30" t="s">
        <v>2965</v>
      </c>
      <c r="F3" s="30" t="s">
        <v>1774</v>
      </c>
      <c r="G3" s="30" t="s">
        <v>366</v>
      </c>
      <c r="H3" s="485"/>
      <c r="I3" s="30" t="s">
        <v>57</v>
      </c>
      <c r="J3" s="30" t="s">
        <v>2966</v>
      </c>
      <c r="K3" s="30" t="s">
        <v>366</v>
      </c>
      <c r="L3" s="30" t="s">
        <v>2961</v>
      </c>
      <c r="M3" s="33"/>
    </row>
    <row r="4" spans="1:39" s="16" customFormat="1" ht="13">
      <c r="A4" s="432"/>
      <c r="B4" s="29" t="s">
        <v>2967</v>
      </c>
      <c r="C4" s="29" t="s">
        <v>2968</v>
      </c>
      <c r="D4" s="30" t="s">
        <v>2969</v>
      </c>
      <c r="E4" s="30" t="s">
        <v>2970</v>
      </c>
      <c r="F4" s="30" t="s">
        <v>1774</v>
      </c>
      <c r="G4" s="30"/>
      <c r="H4" s="485"/>
      <c r="I4" s="30" t="s">
        <v>57</v>
      </c>
      <c r="J4" s="30" t="s">
        <v>28</v>
      </c>
      <c r="K4" s="30" t="s">
        <v>366</v>
      </c>
      <c r="L4" s="30" t="s">
        <v>2961</v>
      </c>
      <c r="M4" s="33"/>
    </row>
    <row r="5" spans="1:39" s="43" customFormat="1">
      <c r="D5" s="44"/>
      <c r="G5" s="44"/>
      <c r="K5" s="44"/>
    </row>
    <row r="6" spans="1:39" s="43" customFormat="1">
      <c r="D6" s="44"/>
      <c r="G6" s="44"/>
      <c r="K6" s="44"/>
    </row>
    <row r="7" spans="1:39" s="43" customFormat="1">
      <c r="D7" s="44"/>
      <c r="G7" s="44"/>
      <c r="K7" s="44"/>
    </row>
  </sheetData>
  <mergeCells count="2">
    <mergeCell ref="A2:A4"/>
    <mergeCell ref="H2:H4"/>
  </mergeCells>
  <phoneticPr fontId="21" type="noConversion"/>
  <pageMargins left="0.69930555555555596" right="0.69930555555555596" top="0.75" bottom="0.75" header="0.3" footer="0.3"/>
  <pageSetup paperSize="9" orientation="portrait" horizontalDpi="1200" verticalDpi="1200"/>
</worksheet>
</file>

<file path=xl/worksheets/sheet20.xml><?xml version="1.0" encoding="utf-8"?>
<worksheet xmlns="http://schemas.openxmlformats.org/spreadsheetml/2006/main" xmlns:r="http://schemas.openxmlformats.org/officeDocument/2006/relationships">
  <dimension ref="A1:AL15"/>
  <sheetViews>
    <sheetView workbookViewId="0">
      <pane xSplit="2" ySplit="1" topLeftCell="C2" activePane="bottomRight" state="frozen"/>
      <selection pane="topRight"/>
      <selection pane="bottomLeft"/>
      <selection pane="bottomRight" activeCell="B17" sqref="B17"/>
    </sheetView>
  </sheetViews>
  <sheetFormatPr defaultColWidth="9" defaultRowHeight="14"/>
  <cols>
    <col min="1" max="1" width="9.81640625" customWidth="1"/>
    <col min="2" max="2" width="48" style="6" customWidth="1"/>
    <col min="3" max="3" width="37.08984375" style="6" customWidth="1"/>
    <col min="4" max="4" width="13" style="28" customWidth="1"/>
    <col min="5" max="5" width="10.453125" style="28" customWidth="1"/>
    <col min="6" max="6" width="6.36328125" style="28" customWidth="1"/>
    <col min="7" max="7" width="13" style="28" customWidth="1"/>
    <col min="8" max="8" width="14.1796875" style="28" customWidth="1"/>
    <col min="9" max="9" width="11.36328125" customWidth="1"/>
    <col min="10" max="10" width="9.81640625" customWidth="1"/>
    <col min="11" max="11" width="123" style="6" customWidth="1"/>
    <col min="12" max="12" width="10.453125" customWidth="1"/>
    <col min="13" max="13" width="64.1796875" customWidth="1"/>
  </cols>
  <sheetData>
    <row r="1" spans="1:38" s="1" customFormat="1" ht="13">
      <c r="A1" s="7" t="s">
        <v>343</v>
      </c>
      <c r="B1" s="8" t="s">
        <v>344</v>
      </c>
      <c r="C1" s="8" t="s">
        <v>345</v>
      </c>
      <c r="D1" s="8" t="s">
        <v>346</v>
      </c>
      <c r="E1" s="8" t="s">
        <v>347</v>
      </c>
      <c r="F1" s="8" t="s">
        <v>348</v>
      </c>
      <c r="G1" s="8" t="s">
        <v>2971</v>
      </c>
      <c r="H1" s="8" t="s">
        <v>350</v>
      </c>
      <c r="I1" s="8" t="s">
        <v>8</v>
      </c>
      <c r="J1" s="8" t="s">
        <v>6</v>
      </c>
      <c r="K1" s="9" t="s">
        <v>351</v>
      </c>
      <c r="L1" s="21" t="s">
        <v>273</v>
      </c>
      <c r="M1" s="8" t="s">
        <v>352</v>
      </c>
      <c r="N1" s="16"/>
      <c r="O1" s="16"/>
      <c r="P1" s="16"/>
      <c r="Q1" s="16"/>
      <c r="R1" s="16"/>
      <c r="S1" s="16"/>
      <c r="T1" s="16"/>
      <c r="U1" s="16"/>
      <c r="V1" s="16"/>
      <c r="W1" s="16"/>
      <c r="X1" s="16"/>
      <c r="Y1" s="16"/>
      <c r="Z1" s="16"/>
      <c r="AA1" s="16"/>
      <c r="AB1" s="16"/>
      <c r="AC1" s="16"/>
      <c r="AD1" s="16"/>
      <c r="AE1" s="16"/>
      <c r="AF1" s="16"/>
      <c r="AG1" s="16"/>
      <c r="AH1" s="16"/>
      <c r="AI1" s="16"/>
      <c r="AJ1" s="16"/>
      <c r="AK1" s="16"/>
      <c r="AL1" s="16"/>
    </row>
    <row r="2" spans="1:38" s="35" customFormat="1">
      <c r="A2" s="394" t="s">
        <v>334</v>
      </c>
      <c r="B2" s="29" t="s">
        <v>2972</v>
      </c>
      <c r="C2" s="29" t="s">
        <v>2973</v>
      </c>
      <c r="D2" s="30" t="s">
        <v>2974</v>
      </c>
      <c r="E2" s="30" t="s">
        <v>2975</v>
      </c>
      <c r="F2" s="30" t="s">
        <v>1648</v>
      </c>
      <c r="G2" s="457" t="s">
        <v>366</v>
      </c>
      <c r="H2" s="457" t="s">
        <v>366</v>
      </c>
      <c r="I2" s="30" t="s">
        <v>24</v>
      </c>
      <c r="J2" s="30" t="s">
        <v>71</v>
      </c>
      <c r="K2" s="40" t="s">
        <v>2976</v>
      </c>
      <c r="L2" s="414" t="s">
        <v>2977</v>
      </c>
      <c r="M2" s="33"/>
    </row>
    <row r="3" spans="1:38" s="36" customFormat="1">
      <c r="A3" s="395"/>
      <c r="B3" s="38" t="s">
        <v>2978</v>
      </c>
      <c r="C3" s="38" t="s">
        <v>2979</v>
      </c>
      <c r="D3" s="39" t="s">
        <v>2980</v>
      </c>
      <c r="E3" s="39" t="s">
        <v>2981</v>
      </c>
      <c r="F3" s="39" t="s">
        <v>1648</v>
      </c>
      <c r="G3" s="457"/>
      <c r="H3" s="457"/>
      <c r="I3" s="39" t="s">
        <v>24</v>
      </c>
      <c r="J3" s="39" t="s">
        <v>496</v>
      </c>
      <c r="K3" s="38" t="s">
        <v>2982</v>
      </c>
      <c r="L3" s="415"/>
      <c r="M3" s="41" t="s">
        <v>2983</v>
      </c>
    </row>
    <row r="4" spans="1:38" s="35" customFormat="1">
      <c r="A4" s="395"/>
      <c r="B4" s="29" t="s">
        <v>2984</v>
      </c>
      <c r="C4" s="29" t="s">
        <v>2985</v>
      </c>
      <c r="D4" s="30" t="s">
        <v>2986</v>
      </c>
      <c r="E4" s="30" t="s">
        <v>2987</v>
      </c>
      <c r="F4" s="30" t="s">
        <v>1648</v>
      </c>
      <c r="G4" s="457"/>
      <c r="H4" s="457"/>
      <c r="I4" s="30" t="s">
        <v>24</v>
      </c>
      <c r="J4" s="30" t="s">
        <v>496</v>
      </c>
      <c r="K4" s="29" t="s">
        <v>2988</v>
      </c>
      <c r="L4" s="415"/>
      <c r="M4" s="33"/>
    </row>
    <row r="5" spans="1:38" s="35" customFormat="1">
      <c r="A5" s="395"/>
      <c r="B5" s="29" t="s">
        <v>2989</v>
      </c>
      <c r="C5" s="29" t="s">
        <v>2990</v>
      </c>
      <c r="D5" s="30" t="s">
        <v>2991</v>
      </c>
      <c r="E5" s="30" t="s">
        <v>2992</v>
      </c>
      <c r="F5" s="30" t="s">
        <v>1648</v>
      </c>
      <c r="G5" s="457"/>
      <c r="H5" s="457"/>
      <c r="I5" s="30" t="s">
        <v>24</v>
      </c>
      <c r="J5" s="30" t="s">
        <v>496</v>
      </c>
      <c r="K5" s="29" t="s">
        <v>2993</v>
      </c>
      <c r="L5" s="415"/>
      <c r="M5" s="33"/>
    </row>
    <row r="6" spans="1:38" s="35" customFormat="1">
      <c r="A6" s="395"/>
      <c r="B6" s="29" t="s">
        <v>2994</v>
      </c>
      <c r="C6" s="29" t="s">
        <v>2995</v>
      </c>
      <c r="D6" s="30" t="s">
        <v>2996</v>
      </c>
      <c r="E6" s="30" t="s">
        <v>2997</v>
      </c>
      <c r="F6" s="30" t="s">
        <v>1648</v>
      </c>
      <c r="G6" s="457"/>
      <c r="H6" s="457"/>
      <c r="I6" s="30" t="s">
        <v>24</v>
      </c>
      <c r="J6" s="30" t="s">
        <v>359</v>
      </c>
      <c r="K6" s="40" t="s">
        <v>2998</v>
      </c>
      <c r="L6" s="415"/>
      <c r="M6" s="33"/>
    </row>
    <row r="7" spans="1:38" s="36" customFormat="1">
      <c r="A7" s="395"/>
      <c r="B7" s="38" t="s">
        <v>2999</v>
      </c>
      <c r="C7" s="38" t="s">
        <v>3000</v>
      </c>
      <c r="D7" s="39" t="s">
        <v>3001</v>
      </c>
      <c r="E7" s="39" t="s">
        <v>3002</v>
      </c>
      <c r="F7" s="39" t="s">
        <v>1648</v>
      </c>
      <c r="G7" s="457"/>
      <c r="H7" s="457"/>
      <c r="I7" s="39" t="s">
        <v>24</v>
      </c>
      <c r="J7" s="39" t="s">
        <v>359</v>
      </c>
      <c r="K7" s="42" t="s">
        <v>3003</v>
      </c>
      <c r="L7" s="415"/>
      <c r="M7" s="41" t="s">
        <v>3004</v>
      </c>
    </row>
    <row r="8" spans="1:38" s="35" customFormat="1">
      <c r="A8" s="395"/>
      <c r="B8" s="29" t="s">
        <v>3005</v>
      </c>
      <c r="C8" s="29" t="s">
        <v>3006</v>
      </c>
      <c r="D8" s="30" t="s">
        <v>3007</v>
      </c>
      <c r="E8" s="30" t="s">
        <v>3008</v>
      </c>
      <c r="F8" s="30" t="s">
        <v>1648</v>
      </c>
      <c r="G8" s="457"/>
      <c r="H8" s="457"/>
      <c r="I8" s="30" t="s">
        <v>24</v>
      </c>
      <c r="J8" s="30" t="s">
        <v>28</v>
      </c>
      <c r="K8" s="40" t="s">
        <v>3009</v>
      </c>
      <c r="L8" s="415"/>
      <c r="M8" s="33"/>
    </row>
    <row r="9" spans="1:38" s="35" customFormat="1">
      <c r="A9" s="395"/>
      <c r="B9" s="29" t="s">
        <v>3010</v>
      </c>
      <c r="C9" s="29" t="s">
        <v>3011</v>
      </c>
      <c r="D9" s="30" t="s">
        <v>3012</v>
      </c>
      <c r="E9" s="30" t="s">
        <v>3013</v>
      </c>
      <c r="F9" s="30" t="s">
        <v>1648</v>
      </c>
      <c r="G9" s="457"/>
      <c r="H9" s="457"/>
      <c r="I9" s="30" t="s">
        <v>24</v>
      </c>
      <c r="J9" s="30" t="s">
        <v>28</v>
      </c>
      <c r="K9" s="40" t="s">
        <v>3014</v>
      </c>
      <c r="L9" s="415"/>
      <c r="M9" s="33"/>
    </row>
    <row r="10" spans="1:38" s="35" customFormat="1" ht="24">
      <c r="A10" s="395"/>
      <c r="B10" s="29" t="s">
        <v>3015</v>
      </c>
      <c r="C10" s="29" t="s">
        <v>3016</v>
      </c>
      <c r="D10" s="30" t="s">
        <v>3017</v>
      </c>
      <c r="E10" s="30" t="s">
        <v>3018</v>
      </c>
      <c r="F10" s="30" t="s">
        <v>1648</v>
      </c>
      <c r="G10" s="457"/>
      <c r="H10" s="457"/>
      <c r="I10" s="30" t="s">
        <v>24</v>
      </c>
      <c r="J10" s="30" t="s">
        <v>440</v>
      </c>
      <c r="K10" s="40" t="s">
        <v>3019</v>
      </c>
      <c r="L10" s="415"/>
      <c r="M10" s="33"/>
    </row>
    <row r="11" spans="1:38" s="35" customFormat="1" ht="24">
      <c r="A11" s="395"/>
      <c r="B11" s="29" t="s">
        <v>3020</v>
      </c>
      <c r="C11" s="29" t="s">
        <v>3021</v>
      </c>
      <c r="D11" s="30" t="s">
        <v>3022</v>
      </c>
      <c r="E11" s="30" t="s">
        <v>3018</v>
      </c>
      <c r="F11" s="30" t="s">
        <v>1648</v>
      </c>
      <c r="G11" s="457"/>
      <c r="H11" s="457"/>
      <c r="I11" s="30" t="s">
        <v>24</v>
      </c>
      <c r="J11" s="30" t="s">
        <v>440</v>
      </c>
      <c r="K11" s="40" t="s">
        <v>3023</v>
      </c>
      <c r="L11" s="415"/>
      <c r="M11" s="33"/>
    </row>
    <row r="12" spans="1:38" s="35" customFormat="1" ht="24">
      <c r="A12" s="395"/>
      <c r="B12" s="29" t="s">
        <v>3024</v>
      </c>
      <c r="C12" s="29" t="s">
        <v>3025</v>
      </c>
      <c r="D12" s="30" t="s">
        <v>3026</v>
      </c>
      <c r="E12" s="30" t="s">
        <v>3027</v>
      </c>
      <c r="F12" s="30" t="s">
        <v>1648</v>
      </c>
      <c r="G12" s="457"/>
      <c r="H12" s="457"/>
      <c r="I12" s="30" t="s">
        <v>24</v>
      </c>
      <c r="J12" s="30" t="s">
        <v>359</v>
      </c>
      <c r="K12" s="40" t="s">
        <v>3028</v>
      </c>
      <c r="L12" s="415"/>
      <c r="M12" s="33"/>
    </row>
    <row r="13" spans="1:38" s="35" customFormat="1">
      <c r="A13" s="395"/>
      <c r="B13" s="29" t="s">
        <v>3029</v>
      </c>
      <c r="C13" s="29" t="s">
        <v>3030</v>
      </c>
      <c r="D13" s="30" t="s">
        <v>3031</v>
      </c>
      <c r="E13" s="30" t="s">
        <v>3032</v>
      </c>
      <c r="F13" s="30" t="s">
        <v>1648</v>
      </c>
      <c r="G13" s="457"/>
      <c r="H13" s="457"/>
      <c r="I13" s="30" t="s">
        <v>24</v>
      </c>
      <c r="J13" s="30" t="s">
        <v>359</v>
      </c>
      <c r="K13" s="40" t="s">
        <v>3033</v>
      </c>
      <c r="L13" s="415"/>
      <c r="M13" s="33"/>
    </row>
    <row r="14" spans="1:38" s="158" customFormat="1" ht="24">
      <c r="A14" s="395"/>
      <c r="B14" s="361" t="s">
        <v>3302</v>
      </c>
      <c r="C14" s="361" t="s">
        <v>3303</v>
      </c>
      <c r="D14" s="362" t="s">
        <v>3304</v>
      </c>
      <c r="E14" s="363" t="s">
        <v>3034</v>
      </c>
      <c r="F14" s="363" t="s">
        <v>1648</v>
      </c>
      <c r="G14" s="457"/>
      <c r="H14" s="457"/>
      <c r="I14" s="363" t="s">
        <v>24</v>
      </c>
      <c r="J14" s="363" t="s">
        <v>359</v>
      </c>
      <c r="K14" s="364" t="s">
        <v>3305</v>
      </c>
      <c r="L14" s="415"/>
      <c r="M14" s="41"/>
    </row>
    <row r="15" spans="1:38" s="368" customFormat="1" ht="48">
      <c r="A15" s="395"/>
      <c r="B15" s="365" t="s">
        <v>3035</v>
      </c>
      <c r="C15" s="365" t="s">
        <v>3036</v>
      </c>
      <c r="D15" s="365" t="s">
        <v>3037</v>
      </c>
      <c r="E15" s="363" t="s">
        <v>3038</v>
      </c>
      <c r="F15" s="363" t="s">
        <v>1648</v>
      </c>
      <c r="G15" s="457"/>
      <c r="H15" s="457"/>
      <c r="I15" s="363" t="s">
        <v>24</v>
      </c>
      <c r="J15" s="365" t="s">
        <v>359</v>
      </c>
      <c r="K15" s="366" t="s">
        <v>3039</v>
      </c>
      <c r="L15" s="416"/>
      <c r="M15" s="367" t="s">
        <v>3040</v>
      </c>
    </row>
  </sheetData>
  <mergeCells count="4">
    <mergeCell ref="A2:A15"/>
    <mergeCell ref="G2:G15"/>
    <mergeCell ref="H2:H15"/>
    <mergeCell ref="L2:L15"/>
  </mergeCells>
  <phoneticPr fontId="21" type="noConversion"/>
  <pageMargins left="0.69930555555555596" right="0.69930555555555596"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dimension ref="A1:AM12"/>
  <sheetViews>
    <sheetView workbookViewId="0">
      <pane xSplit="2" ySplit="1" topLeftCell="C10" activePane="bottomRight" state="frozen"/>
      <selection pane="topRight"/>
      <selection pane="bottomLeft"/>
      <selection pane="bottomRight" activeCell="C15" sqref="C15"/>
    </sheetView>
  </sheetViews>
  <sheetFormatPr defaultColWidth="9" defaultRowHeight="14"/>
  <cols>
    <col min="1" max="1" width="11.36328125" customWidth="1"/>
    <col min="2" max="2" width="64.453125" customWidth="1"/>
    <col min="3" max="3" width="44.6328125" customWidth="1"/>
    <col min="4" max="4" width="18.90625" style="28" customWidth="1"/>
    <col min="5" max="5" width="17.1796875" customWidth="1"/>
    <col min="6" max="6" width="6.36328125" style="28" customWidth="1"/>
    <col min="7" max="7" width="9.08984375" style="28" customWidth="1"/>
    <col min="8" max="8" width="13.36328125" style="28" customWidth="1"/>
    <col min="9" max="9" width="11.36328125" customWidth="1"/>
    <col min="10" max="10" width="17.1796875" customWidth="1"/>
    <col min="11" max="11" width="19.81640625" style="28" customWidth="1"/>
    <col min="12" max="12" width="24.81640625" customWidth="1"/>
    <col min="13" max="13" width="44.90625" customWidth="1"/>
  </cols>
  <sheetData>
    <row r="1" spans="1:39" s="1" customFormat="1" ht="13">
      <c r="A1" s="7" t="s">
        <v>343</v>
      </c>
      <c r="B1" s="8" t="s">
        <v>344</v>
      </c>
      <c r="C1" s="8" t="s">
        <v>345</v>
      </c>
      <c r="D1" s="8" t="s">
        <v>346</v>
      </c>
      <c r="E1" s="8" t="s">
        <v>347</v>
      </c>
      <c r="F1" s="8" t="s">
        <v>348</v>
      </c>
      <c r="G1" s="8" t="s">
        <v>349</v>
      </c>
      <c r="H1" s="21" t="s">
        <v>3041</v>
      </c>
      <c r="I1" s="8" t="s">
        <v>8</v>
      </c>
      <c r="J1" s="8" t="s">
        <v>6</v>
      </c>
      <c r="K1" s="8" t="s">
        <v>351</v>
      </c>
      <c r="L1" s="21" t="s">
        <v>273</v>
      </c>
      <c r="M1" s="8" t="s">
        <v>352</v>
      </c>
      <c r="N1" s="16"/>
      <c r="O1" s="16"/>
      <c r="P1" s="16"/>
      <c r="Q1" s="16"/>
      <c r="R1" s="16"/>
      <c r="S1" s="16"/>
      <c r="T1" s="16"/>
      <c r="U1" s="16"/>
      <c r="V1" s="16"/>
      <c r="W1" s="16"/>
      <c r="X1" s="16"/>
      <c r="Y1" s="16"/>
      <c r="Z1" s="16"/>
      <c r="AA1" s="16"/>
      <c r="AB1" s="16"/>
      <c r="AC1" s="16"/>
      <c r="AD1" s="16"/>
      <c r="AE1" s="16"/>
      <c r="AF1" s="16"/>
      <c r="AG1" s="16"/>
      <c r="AH1" s="16"/>
      <c r="AI1" s="16"/>
      <c r="AJ1" s="16"/>
      <c r="AK1" s="16"/>
      <c r="AL1" s="16"/>
      <c r="AM1" s="16"/>
    </row>
    <row r="2" spans="1:39" s="16" customFormat="1" ht="13">
      <c r="A2" s="432" t="s">
        <v>337</v>
      </c>
      <c r="B2" s="29" t="s">
        <v>3042</v>
      </c>
      <c r="C2" s="29" t="s">
        <v>3043</v>
      </c>
      <c r="D2" s="30" t="s">
        <v>3044</v>
      </c>
      <c r="E2" s="30" t="s">
        <v>3045</v>
      </c>
      <c r="F2" s="30" t="s">
        <v>357</v>
      </c>
      <c r="G2" s="30"/>
      <c r="H2" s="457" t="s">
        <v>366</v>
      </c>
      <c r="I2" s="30" t="s">
        <v>24</v>
      </c>
      <c r="J2" s="32" t="s">
        <v>71</v>
      </c>
      <c r="K2" s="30" t="s">
        <v>557</v>
      </c>
      <c r="L2" s="30" t="s">
        <v>2961</v>
      </c>
      <c r="M2" s="33"/>
    </row>
    <row r="3" spans="1:39" s="16" customFormat="1" ht="13">
      <c r="A3" s="432"/>
      <c r="B3" s="29" t="s">
        <v>3046</v>
      </c>
      <c r="C3" s="29" t="s">
        <v>3047</v>
      </c>
      <c r="D3" s="30" t="s">
        <v>3048</v>
      </c>
      <c r="E3" s="30" t="s">
        <v>3049</v>
      </c>
      <c r="F3" s="30" t="s">
        <v>357</v>
      </c>
      <c r="G3" s="30"/>
      <c r="H3" s="457"/>
      <c r="I3" s="30" t="s">
        <v>24</v>
      </c>
      <c r="J3" s="34" t="s">
        <v>387</v>
      </c>
      <c r="K3" s="30" t="s">
        <v>3050</v>
      </c>
      <c r="L3" s="30" t="s">
        <v>2961</v>
      </c>
      <c r="M3" s="33"/>
    </row>
    <row r="4" spans="1:39" s="16" customFormat="1" ht="13">
      <c r="A4" s="432"/>
      <c r="B4" s="29" t="s">
        <v>3051</v>
      </c>
      <c r="C4" s="29" t="s">
        <v>3052</v>
      </c>
      <c r="D4" s="30" t="s">
        <v>494</v>
      </c>
      <c r="E4" s="30" t="s">
        <v>3053</v>
      </c>
      <c r="F4" s="30" t="s">
        <v>357</v>
      </c>
      <c r="G4" s="30"/>
      <c r="H4" s="457"/>
      <c r="I4" s="30" t="s">
        <v>24</v>
      </c>
      <c r="J4" s="32" t="s">
        <v>496</v>
      </c>
      <c r="K4" s="30" t="s">
        <v>366</v>
      </c>
      <c r="L4" s="30" t="s">
        <v>2961</v>
      </c>
      <c r="M4" s="33"/>
    </row>
    <row r="5" spans="1:39" s="16" customFormat="1" ht="13">
      <c r="A5" s="432"/>
      <c r="B5" s="29" t="s">
        <v>3054</v>
      </c>
      <c r="C5" s="29" t="s">
        <v>3055</v>
      </c>
      <c r="D5" s="30" t="s">
        <v>3056</v>
      </c>
      <c r="E5" s="30" t="s">
        <v>3057</v>
      </c>
      <c r="F5" s="30" t="s">
        <v>357</v>
      </c>
      <c r="G5" s="30"/>
      <c r="H5" s="457"/>
      <c r="I5" s="30" t="s">
        <v>24</v>
      </c>
      <c r="J5" s="32" t="s">
        <v>496</v>
      </c>
      <c r="K5" s="30" t="s">
        <v>366</v>
      </c>
      <c r="L5" s="30" t="s">
        <v>2961</v>
      </c>
      <c r="M5" s="33"/>
    </row>
    <row r="6" spans="1:39" s="16" customFormat="1" ht="13">
      <c r="A6" s="432"/>
      <c r="B6" s="29" t="s">
        <v>3058</v>
      </c>
      <c r="C6" s="29" t="s">
        <v>3059</v>
      </c>
      <c r="D6" s="30" t="s">
        <v>3060</v>
      </c>
      <c r="E6" s="30" t="s">
        <v>3061</v>
      </c>
      <c r="F6" s="30" t="s">
        <v>357</v>
      </c>
      <c r="G6" s="30"/>
      <c r="H6" s="457"/>
      <c r="I6" s="30" t="s">
        <v>24</v>
      </c>
      <c r="J6" s="32" t="s">
        <v>496</v>
      </c>
      <c r="K6" s="30" t="s">
        <v>366</v>
      </c>
      <c r="L6" s="30" t="s">
        <v>2961</v>
      </c>
      <c r="M6" s="33"/>
    </row>
    <row r="7" spans="1:39" s="16" customFormat="1" ht="13">
      <c r="A7" s="432"/>
      <c r="B7" s="29" t="s">
        <v>3062</v>
      </c>
      <c r="C7" s="29" t="s">
        <v>3063</v>
      </c>
      <c r="D7" s="30" t="s">
        <v>3064</v>
      </c>
      <c r="E7" s="30" t="s">
        <v>3065</v>
      </c>
      <c r="F7" s="30" t="s">
        <v>357</v>
      </c>
      <c r="G7" s="30"/>
      <c r="H7" s="457"/>
      <c r="I7" s="30" t="s">
        <v>24</v>
      </c>
      <c r="J7" s="32" t="s">
        <v>2684</v>
      </c>
      <c r="K7" s="30" t="s">
        <v>3066</v>
      </c>
      <c r="L7" s="30" t="s">
        <v>2961</v>
      </c>
      <c r="M7" s="33"/>
    </row>
    <row r="8" spans="1:39" s="16" customFormat="1" ht="13">
      <c r="A8" s="432"/>
      <c r="B8" s="29" t="s">
        <v>3067</v>
      </c>
      <c r="C8" s="29" t="s">
        <v>3068</v>
      </c>
      <c r="D8" s="30" t="s">
        <v>201</v>
      </c>
      <c r="E8" s="30" t="s">
        <v>3069</v>
      </c>
      <c r="F8" s="30" t="s">
        <v>357</v>
      </c>
      <c r="G8" s="30"/>
      <c r="H8" s="457"/>
      <c r="I8" s="30" t="s">
        <v>24</v>
      </c>
      <c r="J8" s="32" t="s">
        <v>440</v>
      </c>
      <c r="K8" s="30" t="s">
        <v>3070</v>
      </c>
      <c r="L8" s="30" t="s">
        <v>2961</v>
      </c>
      <c r="M8" s="33"/>
    </row>
    <row r="9" spans="1:39" s="27" customFormat="1" ht="84">
      <c r="A9" s="487" t="s">
        <v>3071</v>
      </c>
      <c r="B9" s="25" t="s">
        <v>3072</v>
      </c>
      <c r="C9" s="25" t="s">
        <v>3073</v>
      </c>
      <c r="D9" s="372" t="s">
        <v>3074</v>
      </c>
      <c r="E9" s="372" t="s">
        <v>3075</v>
      </c>
      <c r="F9" s="372" t="s">
        <v>357</v>
      </c>
      <c r="G9" s="372" t="s">
        <v>366</v>
      </c>
      <c r="H9" s="490" t="s">
        <v>366</v>
      </c>
      <c r="I9" s="372" t="s">
        <v>24</v>
      </c>
      <c r="J9" s="374" t="s">
        <v>71</v>
      </c>
      <c r="K9" s="372" t="s">
        <v>3076</v>
      </c>
      <c r="L9" s="375"/>
    </row>
    <row r="10" spans="1:39" s="27" customFormat="1" ht="108">
      <c r="A10" s="488"/>
      <c r="B10" s="25" t="s">
        <v>3077</v>
      </c>
      <c r="C10" s="25" t="s">
        <v>3078</v>
      </c>
      <c r="D10" s="372" t="s">
        <v>3079</v>
      </c>
      <c r="E10" s="372" t="s">
        <v>3080</v>
      </c>
      <c r="F10" s="372" t="s">
        <v>357</v>
      </c>
      <c r="G10" s="372" t="s">
        <v>366</v>
      </c>
      <c r="H10" s="491"/>
      <c r="I10" s="372" t="s">
        <v>24</v>
      </c>
      <c r="J10" s="374" t="s">
        <v>440</v>
      </c>
      <c r="K10" s="372" t="s">
        <v>3081</v>
      </c>
      <c r="L10" s="375"/>
    </row>
    <row r="11" spans="1:39" s="27" customFormat="1" ht="96">
      <c r="A11" s="489"/>
      <c r="B11" s="25" t="s">
        <v>3082</v>
      </c>
      <c r="C11" s="25" t="s">
        <v>3083</v>
      </c>
      <c r="D11" s="372" t="s">
        <v>3084</v>
      </c>
      <c r="E11" s="372" t="s">
        <v>3085</v>
      </c>
      <c r="F11" s="372" t="s">
        <v>357</v>
      </c>
      <c r="G11" s="372" t="s">
        <v>366</v>
      </c>
      <c r="H11" s="492"/>
      <c r="I11" s="372" t="s">
        <v>24</v>
      </c>
      <c r="J11" s="374" t="s">
        <v>440</v>
      </c>
      <c r="K11" s="372" t="s">
        <v>3086</v>
      </c>
      <c r="L11" s="375"/>
    </row>
    <row r="12" spans="1:39" ht="57.75" customHeight="1">
      <c r="A12" s="31" t="s">
        <v>3087</v>
      </c>
      <c r="B12" s="486" t="s">
        <v>3088</v>
      </c>
      <c r="C12" s="486"/>
      <c r="D12" s="486"/>
      <c r="E12" s="486"/>
      <c r="F12" s="486"/>
    </row>
  </sheetData>
  <mergeCells count="5">
    <mergeCell ref="B12:F12"/>
    <mergeCell ref="A2:A8"/>
    <mergeCell ref="A9:A11"/>
    <mergeCell ref="H2:H8"/>
    <mergeCell ref="H9:H11"/>
  </mergeCells>
  <phoneticPr fontId="21" type="noConversion"/>
  <pageMargins left="0.69930555555555596" right="0.69930555555555596"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dimension ref="A1:M33"/>
  <sheetViews>
    <sheetView topLeftCell="A7" zoomScale="80" zoomScaleNormal="80" workbookViewId="0">
      <selection activeCell="D13" sqref="D13"/>
    </sheetView>
  </sheetViews>
  <sheetFormatPr defaultColWidth="9" defaultRowHeight="14"/>
  <cols>
    <col min="1" max="1" width="19.453125" customWidth="1"/>
    <col min="2" max="2" width="62" customWidth="1"/>
    <col min="3" max="3" width="51.08984375" customWidth="1"/>
    <col min="4" max="4" width="19.6328125" customWidth="1"/>
    <col min="5" max="5" width="23.08984375" customWidth="1"/>
    <col min="6" max="7" width="9" customWidth="1"/>
    <col min="8" max="8" width="15.08984375" customWidth="1"/>
    <col min="9" max="9" width="12.6328125" customWidth="1"/>
    <col min="10" max="10" width="27.81640625" customWidth="1"/>
    <col min="11" max="11" width="62.453125" customWidth="1"/>
  </cols>
  <sheetData>
    <row r="1" spans="1:13">
      <c r="A1" s="7" t="s">
        <v>343</v>
      </c>
      <c r="B1" s="18" t="s">
        <v>344</v>
      </c>
      <c r="C1" s="8" t="s">
        <v>345</v>
      </c>
      <c r="D1" s="9" t="s">
        <v>346</v>
      </c>
      <c r="E1" s="8" t="s">
        <v>347</v>
      </c>
      <c r="F1" s="9" t="s">
        <v>348</v>
      </c>
      <c r="G1" s="8" t="s">
        <v>2971</v>
      </c>
      <c r="H1" s="8" t="s">
        <v>350</v>
      </c>
      <c r="I1" s="8" t="s">
        <v>8</v>
      </c>
      <c r="J1" s="8" t="s">
        <v>6</v>
      </c>
      <c r="K1" s="9" t="s">
        <v>351</v>
      </c>
      <c r="L1" s="21" t="s">
        <v>273</v>
      </c>
      <c r="M1" s="22" t="s">
        <v>352</v>
      </c>
    </row>
    <row r="2" spans="1:13" s="5" customFormat="1" ht="55.5" customHeight="1">
      <c r="A2" s="497" t="s">
        <v>3089</v>
      </c>
      <c r="B2" s="11" t="s">
        <v>3090</v>
      </c>
      <c r="C2" s="11" t="s">
        <v>3091</v>
      </c>
      <c r="D2" s="11" t="s">
        <v>3092</v>
      </c>
      <c r="E2" s="19" t="s">
        <v>3093</v>
      </c>
      <c r="F2" s="19" t="s">
        <v>357</v>
      </c>
      <c r="G2" s="19" t="s">
        <v>366</v>
      </c>
      <c r="H2" s="19" t="s">
        <v>366</v>
      </c>
      <c r="I2" s="19" t="s">
        <v>24</v>
      </c>
      <c r="J2" s="19" t="s">
        <v>71</v>
      </c>
      <c r="K2" s="19" t="s">
        <v>3094</v>
      </c>
      <c r="L2" s="19"/>
    </row>
    <row r="3" spans="1:13" s="5" customFormat="1" ht="57" customHeight="1">
      <c r="A3" s="497"/>
      <c r="B3" s="11" t="s">
        <v>3095</v>
      </c>
      <c r="C3" s="11" t="s">
        <v>3096</v>
      </c>
      <c r="D3" s="11" t="s">
        <v>3097</v>
      </c>
      <c r="E3" s="19" t="s">
        <v>3098</v>
      </c>
      <c r="F3" s="19" t="s">
        <v>1648</v>
      </c>
      <c r="G3" s="19" t="s">
        <v>366</v>
      </c>
      <c r="H3" s="19" t="s">
        <v>366</v>
      </c>
      <c r="I3" s="19" t="s">
        <v>24</v>
      </c>
      <c r="J3" s="19" t="s">
        <v>71</v>
      </c>
      <c r="K3" s="19" t="s">
        <v>3099</v>
      </c>
      <c r="L3" s="19"/>
    </row>
    <row r="4" spans="1:13" s="5" customFormat="1" ht="127.5" customHeight="1">
      <c r="A4" s="498" t="s">
        <v>3100</v>
      </c>
      <c r="B4" s="19" t="s">
        <v>3101</v>
      </c>
      <c r="C4" s="19" t="s">
        <v>3102</v>
      </c>
      <c r="D4" s="19" t="s">
        <v>3103</v>
      </c>
      <c r="E4" s="19" t="s">
        <v>3104</v>
      </c>
      <c r="F4" s="19" t="s">
        <v>357</v>
      </c>
      <c r="G4" s="19" t="s">
        <v>366</v>
      </c>
      <c r="H4" s="19" t="s">
        <v>366</v>
      </c>
      <c r="I4" s="19" t="s">
        <v>57</v>
      </c>
      <c r="J4" s="19" t="s">
        <v>387</v>
      </c>
      <c r="K4" s="19" t="s">
        <v>3105</v>
      </c>
      <c r="L4" s="19"/>
    </row>
    <row r="5" spans="1:13" s="5" customFormat="1" ht="31.5" customHeight="1">
      <c r="A5" s="499"/>
      <c r="B5" s="19" t="s">
        <v>3106</v>
      </c>
      <c r="C5" s="19" t="s">
        <v>3107</v>
      </c>
      <c r="D5" s="19" t="s">
        <v>384</v>
      </c>
      <c r="E5" s="19" t="s">
        <v>385</v>
      </c>
      <c r="F5" s="19" t="s">
        <v>357</v>
      </c>
      <c r="G5" s="19" t="s">
        <v>366</v>
      </c>
      <c r="H5" s="19" t="s">
        <v>366</v>
      </c>
      <c r="I5" s="19" t="s">
        <v>57</v>
      </c>
      <c r="J5" s="19" t="s">
        <v>387</v>
      </c>
      <c r="K5" s="19"/>
      <c r="L5" s="19"/>
    </row>
    <row r="6" spans="1:13" s="5" customFormat="1" ht="30" customHeight="1">
      <c r="A6" s="499"/>
      <c r="B6" s="19" t="s">
        <v>3108</v>
      </c>
      <c r="C6" s="19" t="s">
        <v>3109</v>
      </c>
      <c r="D6" s="19" t="s">
        <v>390</v>
      </c>
      <c r="E6" s="19" t="s">
        <v>391</v>
      </c>
      <c r="F6" s="19" t="s">
        <v>357</v>
      </c>
      <c r="G6" s="19" t="s">
        <v>366</v>
      </c>
      <c r="H6" s="19" t="s">
        <v>366</v>
      </c>
      <c r="I6" s="19" t="s">
        <v>57</v>
      </c>
      <c r="J6" s="19" t="s">
        <v>387</v>
      </c>
      <c r="K6" s="19" t="s">
        <v>366</v>
      </c>
      <c r="L6" s="19"/>
    </row>
    <row r="7" spans="1:13" s="5" customFormat="1" ht="27" customHeight="1">
      <c r="A7" s="499"/>
      <c r="B7" s="19" t="s">
        <v>3110</v>
      </c>
      <c r="C7" s="19" t="s">
        <v>3111</v>
      </c>
      <c r="D7" s="19" t="s">
        <v>395</v>
      </c>
      <c r="E7" s="19" t="s">
        <v>396</v>
      </c>
      <c r="F7" s="19" t="s">
        <v>357</v>
      </c>
      <c r="G7" s="19" t="s">
        <v>366</v>
      </c>
      <c r="H7" s="19" t="s">
        <v>366</v>
      </c>
      <c r="I7" s="19" t="s">
        <v>57</v>
      </c>
      <c r="J7" s="19" t="s">
        <v>387</v>
      </c>
      <c r="K7" s="19"/>
      <c r="L7" s="19"/>
    </row>
    <row r="8" spans="1:13" s="5" customFormat="1" ht="34.5" customHeight="1">
      <c r="A8" s="499"/>
      <c r="B8" s="19" t="s">
        <v>3112</v>
      </c>
      <c r="C8" s="19" t="s">
        <v>3113</v>
      </c>
      <c r="D8" s="19" t="s">
        <v>400</v>
      </c>
      <c r="E8" s="19" t="s">
        <v>401</v>
      </c>
      <c r="F8" s="19" t="s">
        <v>357</v>
      </c>
      <c r="G8" s="19" t="s">
        <v>366</v>
      </c>
      <c r="H8" s="19" t="s">
        <v>366</v>
      </c>
      <c r="I8" s="19" t="s">
        <v>57</v>
      </c>
      <c r="J8" s="19" t="s">
        <v>387</v>
      </c>
      <c r="K8" s="19"/>
      <c r="L8" s="19"/>
    </row>
    <row r="9" spans="1:13" s="5" customFormat="1" ht="52.5" customHeight="1">
      <c r="A9" s="499"/>
      <c r="B9" s="19" t="s">
        <v>3114</v>
      </c>
      <c r="C9" s="19" t="s">
        <v>3115</v>
      </c>
      <c r="D9" s="19" t="s">
        <v>455</v>
      </c>
      <c r="E9" s="19" t="s">
        <v>456</v>
      </c>
      <c r="F9" s="19" t="s">
        <v>357</v>
      </c>
      <c r="G9" s="19" t="s">
        <v>366</v>
      </c>
      <c r="H9" s="19" t="s">
        <v>366</v>
      </c>
      <c r="I9" s="23" t="s">
        <v>57</v>
      </c>
      <c r="J9" s="19" t="s">
        <v>1218</v>
      </c>
      <c r="K9" s="19" t="s">
        <v>3116</v>
      </c>
      <c r="L9" s="19"/>
    </row>
    <row r="10" spans="1:13" s="5" customFormat="1" ht="27" customHeight="1">
      <c r="A10" s="499"/>
      <c r="B10" s="19" t="s">
        <v>3117</v>
      </c>
      <c r="C10" s="19" t="s">
        <v>3118</v>
      </c>
      <c r="D10" s="19" t="s">
        <v>3119</v>
      </c>
      <c r="E10" s="19" t="s">
        <v>3120</v>
      </c>
      <c r="F10" s="19" t="s">
        <v>357</v>
      </c>
      <c r="G10" s="19" t="s">
        <v>366</v>
      </c>
      <c r="H10" s="19" t="s">
        <v>366</v>
      </c>
      <c r="I10" s="19" t="s">
        <v>24</v>
      </c>
      <c r="J10" s="19" t="s">
        <v>71</v>
      </c>
      <c r="K10" s="19" t="s">
        <v>3121</v>
      </c>
      <c r="L10" s="19"/>
    </row>
    <row r="11" spans="1:13" s="5" customFormat="1" ht="38.25" customHeight="1">
      <c r="A11" s="499"/>
      <c r="B11" s="19" t="s">
        <v>3122</v>
      </c>
      <c r="C11" s="19" t="s">
        <v>3123</v>
      </c>
      <c r="D11" s="19" t="s">
        <v>3124</v>
      </c>
      <c r="E11" s="19" t="s">
        <v>3125</v>
      </c>
      <c r="F11" s="19" t="s">
        <v>1648</v>
      </c>
      <c r="G11" s="19" t="s">
        <v>366</v>
      </c>
      <c r="H11" s="19" t="s">
        <v>366</v>
      </c>
      <c r="I11" s="19" t="s">
        <v>57</v>
      </c>
      <c r="J11" s="19" t="s">
        <v>387</v>
      </c>
      <c r="K11" s="19" t="s">
        <v>3126</v>
      </c>
      <c r="L11" s="19"/>
    </row>
    <row r="12" spans="1:13" s="5" customFormat="1" ht="30" customHeight="1">
      <c r="A12" s="499"/>
      <c r="B12" s="19" t="s">
        <v>3127</v>
      </c>
      <c r="C12" s="19" t="s">
        <v>3128</v>
      </c>
      <c r="D12" s="19" t="s">
        <v>3129</v>
      </c>
      <c r="E12" s="19" t="s">
        <v>3130</v>
      </c>
      <c r="F12" s="19" t="s">
        <v>1648</v>
      </c>
      <c r="G12" s="19" t="s">
        <v>366</v>
      </c>
      <c r="H12" s="19" t="s">
        <v>366</v>
      </c>
      <c r="I12" s="19" t="s">
        <v>57</v>
      </c>
      <c r="J12" s="19" t="s">
        <v>387</v>
      </c>
      <c r="K12" s="19" t="s">
        <v>3131</v>
      </c>
      <c r="L12" s="19"/>
    </row>
    <row r="13" spans="1:13" s="5" customFormat="1" ht="30" customHeight="1">
      <c r="A13" s="499"/>
      <c r="B13" s="370" t="s">
        <v>3132</v>
      </c>
      <c r="C13" s="370" t="s">
        <v>3133</v>
      </c>
      <c r="D13" s="370" t="s">
        <v>443</v>
      </c>
      <c r="E13" s="371" t="s">
        <v>444</v>
      </c>
      <c r="F13" s="372" t="s">
        <v>357</v>
      </c>
      <c r="G13" s="372" t="s">
        <v>366</v>
      </c>
      <c r="H13" s="372" t="s">
        <v>366</v>
      </c>
      <c r="I13" s="371" t="s">
        <v>57</v>
      </c>
      <c r="J13" s="371" t="s">
        <v>445</v>
      </c>
      <c r="K13" s="371" t="s">
        <v>446</v>
      </c>
      <c r="L13" s="19"/>
    </row>
    <row r="14" spans="1:13" s="5" customFormat="1" ht="30" customHeight="1">
      <c r="A14" s="499"/>
      <c r="B14" s="370" t="s">
        <v>3134</v>
      </c>
      <c r="C14" s="370" t="s">
        <v>3135</v>
      </c>
      <c r="D14" s="370" t="s">
        <v>455</v>
      </c>
      <c r="E14" s="371" t="s">
        <v>456</v>
      </c>
      <c r="F14" s="372" t="s">
        <v>357</v>
      </c>
      <c r="G14" s="372" t="s">
        <v>366</v>
      </c>
      <c r="H14" s="372" t="s">
        <v>366</v>
      </c>
      <c r="I14" s="371" t="s">
        <v>57</v>
      </c>
      <c r="J14" s="371" t="s">
        <v>457</v>
      </c>
      <c r="K14" s="371" t="s">
        <v>458</v>
      </c>
      <c r="L14" s="19"/>
    </row>
    <row r="15" spans="1:13" s="5" customFormat="1" ht="30" customHeight="1">
      <c r="A15" s="500"/>
      <c r="B15" s="370" t="s">
        <v>3136</v>
      </c>
      <c r="C15" s="370" t="s">
        <v>3137</v>
      </c>
      <c r="D15" s="370" t="s">
        <v>449</v>
      </c>
      <c r="E15" s="371" t="s">
        <v>450</v>
      </c>
      <c r="F15" s="372" t="s">
        <v>357</v>
      </c>
      <c r="G15" s="372" t="s">
        <v>366</v>
      </c>
      <c r="H15" s="372" t="s">
        <v>366</v>
      </c>
      <c r="I15" s="371" t="s">
        <v>57</v>
      </c>
      <c r="J15" s="371" t="s">
        <v>451</v>
      </c>
      <c r="K15" s="371" t="s">
        <v>452</v>
      </c>
      <c r="L15" s="19"/>
    </row>
    <row r="16" spans="1:13" s="5" customFormat="1" ht="30" customHeight="1">
      <c r="A16" s="498" t="s">
        <v>3138</v>
      </c>
      <c r="B16" s="19" t="s">
        <v>3139</v>
      </c>
      <c r="C16" s="19" t="s">
        <v>3140</v>
      </c>
      <c r="D16" s="19" t="s">
        <v>384</v>
      </c>
      <c r="E16" s="19" t="s">
        <v>385</v>
      </c>
      <c r="F16" s="19" t="s">
        <v>357</v>
      </c>
      <c r="G16" s="19" t="s">
        <v>366</v>
      </c>
      <c r="H16" s="19" t="s">
        <v>366</v>
      </c>
      <c r="I16" s="19" t="s">
        <v>57</v>
      </c>
      <c r="J16" s="19" t="s">
        <v>387</v>
      </c>
      <c r="K16" s="19"/>
      <c r="L16" s="19"/>
    </row>
    <row r="17" spans="1:13" s="5" customFormat="1" ht="30" customHeight="1">
      <c r="A17" s="499"/>
      <c r="B17" s="19" t="s">
        <v>3141</v>
      </c>
      <c r="C17" s="19" t="s">
        <v>3142</v>
      </c>
      <c r="D17" s="19" t="s">
        <v>390</v>
      </c>
      <c r="E17" s="19" t="s">
        <v>391</v>
      </c>
      <c r="F17" s="19" t="s">
        <v>357</v>
      </c>
      <c r="G17" s="19" t="s">
        <v>366</v>
      </c>
      <c r="H17" s="19" t="s">
        <v>366</v>
      </c>
      <c r="I17" s="19" t="s">
        <v>57</v>
      </c>
      <c r="J17" s="19" t="s">
        <v>387</v>
      </c>
      <c r="K17" s="19" t="s">
        <v>366</v>
      </c>
      <c r="L17" s="19"/>
    </row>
    <row r="18" spans="1:13" s="5" customFormat="1" ht="31.5" customHeight="1">
      <c r="A18" s="499"/>
      <c r="B18" s="19" t="s">
        <v>3143</v>
      </c>
      <c r="C18" s="19" t="s">
        <v>3144</v>
      </c>
      <c r="D18" s="19" t="s">
        <v>395</v>
      </c>
      <c r="E18" s="19" t="s">
        <v>396</v>
      </c>
      <c r="F18" s="19" t="s">
        <v>357</v>
      </c>
      <c r="G18" s="19" t="s">
        <v>366</v>
      </c>
      <c r="H18" s="19" t="s">
        <v>366</v>
      </c>
      <c r="I18" s="19" t="s">
        <v>57</v>
      </c>
      <c r="J18" s="19" t="s">
        <v>387</v>
      </c>
      <c r="K18" s="19"/>
      <c r="L18" s="19"/>
    </row>
    <row r="19" spans="1:13" s="5" customFormat="1" ht="33.75" customHeight="1">
      <c r="A19" s="499"/>
      <c r="B19" s="19" t="s">
        <v>3145</v>
      </c>
      <c r="C19" s="19" t="s">
        <v>3146</v>
      </c>
      <c r="D19" s="19" t="s">
        <v>400</v>
      </c>
      <c r="E19" s="19" t="s">
        <v>401</v>
      </c>
      <c r="F19" s="19" t="s">
        <v>357</v>
      </c>
      <c r="G19" s="19" t="s">
        <v>366</v>
      </c>
      <c r="H19" s="19" t="s">
        <v>366</v>
      </c>
      <c r="I19" s="19" t="s">
        <v>57</v>
      </c>
      <c r="J19" s="19" t="s">
        <v>387</v>
      </c>
      <c r="K19" s="19"/>
      <c r="L19" s="19"/>
    </row>
    <row r="20" spans="1:13" s="5" customFormat="1" ht="50.25" customHeight="1">
      <c r="A20" s="499"/>
      <c r="B20" s="19" t="s">
        <v>3147</v>
      </c>
      <c r="C20" s="19" t="s">
        <v>3148</v>
      </c>
      <c r="D20" s="19" t="s">
        <v>455</v>
      </c>
      <c r="E20" s="19" t="s">
        <v>456</v>
      </c>
      <c r="F20" s="19" t="s">
        <v>357</v>
      </c>
      <c r="G20" s="19" t="s">
        <v>366</v>
      </c>
      <c r="H20" s="19" t="s">
        <v>366</v>
      </c>
      <c r="I20" s="23" t="s">
        <v>57</v>
      </c>
      <c r="J20" s="19" t="s">
        <v>1218</v>
      </c>
      <c r="K20" s="19" t="s">
        <v>3116</v>
      </c>
      <c r="L20" s="19"/>
    </row>
    <row r="21" spans="1:13" s="5" customFormat="1" ht="30.75" customHeight="1">
      <c r="A21" s="499"/>
      <c r="B21" s="19" t="s">
        <v>3149</v>
      </c>
      <c r="C21" s="19" t="s">
        <v>3150</v>
      </c>
      <c r="D21" s="19" t="s">
        <v>3119</v>
      </c>
      <c r="E21" s="19" t="s">
        <v>3120</v>
      </c>
      <c r="F21" s="19" t="s">
        <v>357</v>
      </c>
      <c r="G21" s="19" t="s">
        <v>366</v>
      </c>
      <c r="H21" s="19" t="s">
        <v>366</v>
      </c>
      <c r="I21" s="19" t="s">
        <v>24</v>
      </c>
      <c r="J21" s="19" t="s">
        <v>71</v>
      </c>
      <c r="K21" s="19" t="s">
        <v>3121</v>
      </c>
      <c r="L21" s="19"/>
    </row>
    <row r="22" spans="1:13" s="5" customFormat="1" ht="28.5" customHeight="1">
      <c r="A22" s="499"/>
      <c r="B22" s="19" t="s">
        <v>3151</v>
      </c>
      <c r="C22" s="19" t="s">
        <v>3152</v>
      </c>
      <c r="D22" s="19" t="s">
        <v>984</v>
      </c>
      <c r="E22" s="19" t="s">
        <v>985</v>
      </c>
      <c r="F22" s="19" t="s">
        <v>357</v>
      </c>
      <c r="G22" s="19" t="s">
        <v>366</v>
      </c>
      <c r="H22" s="19" t="s">
        <v>366</v>
      </c>
      <c r="I22" s="19" t="s">
        <v>24</v>
      </c>
      <c r="J22" s="19" t="s">
        <v>28</v>
      </c>
      <c r="K22" s="19" t="s">
        <v>3153</v>
      </c>
      <c r="L22" s="19"/>
    </row>
    <row r="23" spans="1:13" s="5" customFormat="1" ht="24.75" customHeight="1">
      <c r="A23" s="499"/>
      <c r="B23" s="19" t="s">
        <v>3154</v>
      </c>
      <c r="C23" s="19" t="s">
        <v>3155</v>
      </c>
      <c r="D23" s="19" t="s">
        <v>1042</v>
      </c>
      <c r="E23" s="19" t="s">
        <v>3156</v>
      </c>
      <c r="F23" s="19" t="s">
        <v>357</v>
      </c>
      <c r="G23" s="19" t="s">
        <v>366</v>
      </c>
      <c r="H23" s="19" t="s">
        <v>366</v>
      </c>
      <c r="I23" s="19" t="s">
        <v>24</v>
      </c>
      <c r="J23" s="19" t="s">
        <v>71</v>
      </c>
      <c r="K23" s="19" t="s">
        <v>1031</v>
      </c>
      <c r="L23" s="19"/>
    </row>
    <row r="24" spans="1:13" s="5" customFormat="1" ht="30" customHeight="1">
      <c r="A24" s="499"/>
      <c r="B24" s="19" t="s">
        <v>3157</v>
      </c>
      <c r="C24" s="19" t="s">
        <v>3158</v>
      </c>
      <c r="D24" s="19" t="s">
        <v>3159</v>
      </c>
      <c r="E24" s="19" t="s">
        <v>3160</v>
      </c>
      <c r="F24" s="19" t="s">
        <v>357</v>
      </c>
      <c r="G24" s="19" t="s">
        <v>366</v>
      </c>
      <c r="H24" s="19" t="s">
        <v>366</v>
      </c>
      <c r="I24" s="19" t="s">
        <v>57</v>
      </c>
      <c r="J24" s="19" t="s">
        <v>387</v>
      </c>
      <c r="K24" s="19" t="s">
        <v>3161</v>
      </c>
      <c r="L24" s="19"/>
    </row>
    <row r="25" spans="1:13" s="5" customFormat="1" ht="36">
      <c r="A25" s="499"/>
      <c r="B25" s="19" t="s">
        <v>3162</v>
      </c>
      <c r="C25" s="19" t="s">
        <v>3163</v>
      </c>
      <c r="D25" s="19" t="s">
        <v>3124</v>
      </c>
      <c r="E25" s="19" t="s">
        <v>3164</v>
      </c>
      <c r="F25" s="19" t="s">
        <v>1648</v>
      </c>
      <c r="G25" s="19" t="s">
        <v>366</v>
      </c>
      <c r="H25" s="19" t="s">
        <v>366</v>
      </c>
      <c r="I25" s="19" t="s">
        <v>57</v>
      </c>
      <c r="J25" s="19" t="s">
        <v>387</v>
      </c>
      <c r="K25" s="19" t="s">
        <v>3165</v>
      </c>
      <c r="L25" s="19"/>
    </row>
    <row r="26" spans="1:13" s="5" customFormat="1" ht="45" customHeight="1">
      <c r="A26" s="499"/>
      <c r="B26" s="19" t="s">
        <v>3166</v>
      </c>
      <c r="C26" s="19" t="s">
        <v>3167</v>
      </c>
      <c r="D26" s="19" t="s">
        <v>3129</v>
      </c>
      <c r="E26" s="19" t="s">
        <v>3168</v>
      </c>
      <c r="F26" s="19" t="s">
        <v>1648</v>
      </c>
      <c r="G26" s="19" t="s">
        <v>366</v>
      </c>
      <c r="H26" s="19" t="s">
        <v>366</v>
      </c>
      <c r="I26" s="19" t="s">
        <v>57</v>
      </c>
      <c r="J26" s="19" t="s">
        <v>387</v>
      </c>
      <c r="K26" s="19" t="s">
        <v>3169</v>
      </c>
      <c r="L26" s="19"/>
    </row>
    <row r="27" spans="1:13" s="5" customFormat="1" ht="57" customHeight="1">
      <c r="A27" s="499"/>
      <c r="B27" s="19" t="s">
        <v>3170</v>
      </c>
      <c r="C27" s="19" t="s">
        <v>3171</v>
      </c>
      <c r="D27" s="19" t="s">
        <v>3172</v>
      </c>
      <c r="E27" s="19" t="s">
        <v>3173</v>
      </c>
      <c r="F27" s="19" t="s">
        <v>1648</v>
      </c>
      <c r="G27" s="19" t="s">
        <v>366</v>
      </c>
      <c r="H27" s="19" t="s">
        <v>366</v>
      </c>
      <c r="I27" s="19" t="s">
        <v>24</v>
      </c>
      <c r="J27" s="19" t="s">
        <v>998</v>
      </c>
      <c r="K27" s="19" t="s">
        <v>3174</v>
      </c>
      <c r="L27" s="19"/>
    </row>
    <row r="28" spans="1:13" s="5" customFormat="1" ht="57" customHeight="1">
      <c r="A28" s="499"/>
      <c r="B28" s="370" t="s">
        <v>3175</v>
      </c>
      <c r="C28" s="370" t="s">
        <v>3176</v>
      </c>
      <c r="D28" s="370" t="s">
        <v>443</v>
      </c>
      <c r="E28" s="371" t="s">
        <v>444</v>
      </c>
      <c r="F28" s="372" t="s">
        <v>357</v>
      </c>
      <c r="G28" s="372" t="s">
        <v>366</v>
      </c>
      <c r="H28" s="372" t="s">
        <v>366</v>
      </c>
      <c r="I28" s="371" t="s">
        <v>57</v>
      </c>
      <c r="J28" s="371" t="s">
        <v>445</v>
      </c>
      <c r="K28" s="371" t="s">
        <v>446</v>
      </c>
      <c r="L28" s="24"/>
      <c r="M28" s="25" t="s">
        <v>3177</v>
      </c>
    </row>
    <row r="29" spans="1:13" s="5" customFormat="1" ht="57" customHeight="1">
      <c r="A29" s="499"/>
      <c r="B29" s="370" t="s">
        <v>3178</v>
      </c>
      <c r="C29" s="370" t="s">
        <v>3179</v>
      </c>
      <c r="D29" s="370" t="s">
        <v>455</v>
      </c>
      <c r="E29" s="371" t="s">
        <v>456</v>
      </c>
      <c r="F29" s="372" t="s">
        <v>357</v>
      </c>
      <c r="G29" s="372" t="s">
        <v>366</v>
      </c>
      <c r="H29" s="372" t="s">
        <v>366</v>
      </c>
      <c r="I29" s="371" t="s">
        <v>57</v>
      </c>
      <c r="J29" s="371" t="s">
        <v>457</v>
      </c>
      <c r="K29" s="371" t="s">
        <v>458</v>
      </c>
      <c r="L29" s="24"/>
      <c r="M29" s="26" t="s">
        <v>3180</v>
      </c>
    </row>
    <row r="30" spans="1:13" s="5" customFormat="1" ht="57" customHeight="1">
      <c r="A30" s="499"/>
      <c r="B30" s="370" t="s">
        <v>3181</v>
      </c>
      <c r="C30" s="370" t="s">
        <v>3182</v>
      </c>
      <c r="D30" s="370" t="s">
        <v>449</v>
      </c>
      <c r="E30" s="371" t="s">
        <v>450</v>
      </c>
      <c r="F30" s="372" t="s">
        <v>357</v>
      </c>
      <c r="G30" s="372" t="s">
        <v>366</v>
      </c>
      <c r="H30" s="372" t="s">
        <v>366</v>
      </c>
      <c r="I30" s="371" t="s">
        <v>57</v>
      </c>
      <c r="J30" s="371" t="s">
        <v>451</v>
      </c>
      <c r="K30" s="371" t="s">
        <v>452</v>
      </c>
      <c r="L30" s="24"/>
      <c r="M30" s="26"/>
    </row>
    <row r="31" spans="1:13" s="5" customFormat="1" ht="72">
      <c r="A31" s="501" t="s">
        <v>3183</v>
      </c>
      <c r="B31" s="11" t="s">
        <v>3184</v>
      </c>
      <c r="C31" s="11" t="s">
        <v>3185</v>
      </c>
      <c r="D31" s="11" t="s">
        <v>3186</v>
      </c>
      <c r="E31" s="19" t="s">
        <v>3187</v>
      </c>
      <c r="F31" s="19" t="s">
        <v>357</v>
      </c>
      <c r="G31" s="19" t="s">
        <v>366</v>
      </c>
      <c r="H31" s="19" t="s">
        <v>366</v>
      </c>
      <c r="I31" s="19" t="s">
        <v>57</v>
      </c>
      <c r="J31" s="19" t="s">
        <v>387</v>
      </c>
      <c r="K31" s="19" t="s">
        <v>3188</v>
      </c>
      <c r="L31" s="11"/>
    </row>
    <row r="32" spans="1:13" s="5" customFormat="1" ht="75" customHeight="1">
      <c r="A32" s="502"/>
      <c r="B32" s="11" t="s">
        <v>3189</v>
      </c>
      <c r="C32" s="11" t="s">
        <v>3190</v>
      </c>
      <c r="D32" s="11" t="s">
        <v>3191</v>
      </c>
      <c r="E32" s="11" t="s">
        <v>3192</v>
      </c>
      <c r="F32" s="19" t="s">
        <v>357</v>
      </c>
      <c r="G32" s="19" t="s">
        <v>366</v>
      </c>
      <c r="H32" s="19" t="s">
        <v>366</v>
      </c>
      <c r="I32" s="19" t="s">
        <v>57</v>
      </c>
      <c r="J32" s="19" t="s">
        <v>387</v>
      </c>
      <c r="K32" s="19" t="s">
        <v>3193</v>
      </c>
      <c r="L32" s="11"/>
    </row>
    <row r="33" spans="1:12" s="5" customFormat="1" ht="33" customHeight="1">
      <c r="A33" s="20" t="s">
        <v>3194</v>
      </c>
      <c r="B33" s="493" t="s">
        <v>3195</v>
      </c>
      <c r="C33" s="494"/>
      <c r="D33" s="494"/>
      <c r="E33" s="494"/>
      <c r="F33" s="494"/>
      <c r="G33" s="495"/>
      <c r="H33" s="495"/>
      <c r="I33" s="495"/>
      <c r="J33" s="495"/>
      <c r="K33" s="495"/>
      <c r="L33" s="496"/>
    </row>
  </sheetData>
  <mergeCells count="5">
    <mergeCell ref="B33:L33"/>
    <mergeCell ref="A2:A3"/>
    <mergeCell ref="A4:A15"/>
    <mergeCell ref="A16:A30"/>
    <mergeCell ref="A31:A32"/>
  </mergeCells>
  <phoneticPr fontId="21" type="noConversion"/>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dimension ref="A1:KJ36"/>
  <sheetViews>
    <sheetView workbookViewId="0">
      <selection activeCell="C32" sqref="C32"/>
    </sheetView>
  </sheetViews>
  <sheetFormatPr defaultColWidth="9" defaultRowHeight="14"/>
  <cols>
    <col min="1" max="1" width="17.08984375" customWidth="1"/>
    <col min="2" max="2" width="90" customWidth="1"/>
    <col min="3" max="3" width="86.08984375" customWidth="1"/>
    <col min="4" max="4" width="26.81640625" style="6" customWidth="1"/>
    <col min="5" max="5" width="13.1796875" style="6" customWidth="1"/>
    <col min="7" max="7" width="42.81640625" style="6" customWidth="1"/>
  </cols>
  <sheetData>
    <row r="1" spans="1:28" s="1" customFormat="1">
      <c r="A1" s="7" t="s">
        <v>343</v>
      </c>
      <c r="B1" s="8" t="s">
        <v>344</v>
      </c>
      <c r="C1" s="8" t="s">
        <v>345</v>
      </c>
      <c r="D1" s="9" t="s">
        <v>3</v>
      </c>
      <c r="E1" s="9" t="s">
        <v>8</v>
      </c>
      <c r="F1" s="9" t="s">
        <v>351</v>
      </c>
      <c r="G1" s="9" t="s">
        <v>273</v>
      </c>
      <c r="H1" s="8" t="s">
        <v>352</v>
      </c>
      <c r="I1"/>
      <c r="J1"/>
      <c r="K1"/>
      <c r="L1"/>
      <c r="M1"/>
      <c r="N1"/>
      <c r="O1"/>
      <c r="P1"/>
      <c r="Q1"/>
      <c r="R1"/>
      <c r="S1"/>
      <c r="T1"/>
      <c r="U1"/>
      <c r="V1"/>
      <c r="W1" s="16"/>
      <c r="X1" s="16"/>
      <c r="Y1" s="16"/>
      <c r="Z1" s="16"/>
      <c r="AA1" s="16"/>
      <c r="AB1" s="16"/>
    </row>
    <row r="2" spans="1:28" s="2" customFormat="1">
      <c r="A2" s="503" t="s">
        <v>3196</v>
      </c>
      <c r="B2" s="10" t="s">
        <v>3197</v>
      </c>
      <c r="C2" s="10" t="s">
        <v>3198</v>
      </c>
      <c r="D2" s="11" t="s">
        <v>3199</v>
      </c>
      <c r="E2" s="11" t="s">
        <v>57</v>
      </c>
      <c r="F2" s="12"/>
      <c r="G2" s="11" t="s">
        <v>3200</v>
      </c>
      <c r="H2" s="13"/>
      <c r="I2" s="3"/>
      <c r="J2" s="3"/>
      <c r="K2" s="3"/>
      <c r="L2" s="3"/>
      <c r="M2" s="3"/>
      <c r="N2" s="3"/>
      <c r="O2" s="3"/>
      <c r="P2" s="3"/>
      <c r="Q2" s="3"/>
      <c r="R2" s="3"/>
      <c r="S2" s="3"/>
      <c r="T2" s="3"/>
      <c r="U2" s="3"/>
      <c r="V2" s="3"/>
    </row>
    <row r="3" spans="1:28" s="2" customFormat="1">
      <c r="A3" s="504"/>
      <c r="B3" s="14" t="s">
        <v>3201</v>
      </c>
      <c r="C3" s="14" t="s">
        <v>3202</v>
      </c>
      <c r="D3" s="11" t="s">
        <v>3203</v>
      </c>
      <c r="E3" s="11" t="s">
        <v>24</v>
      </c>
      <c r="F3" s="11"/>
      <c r="G3" s="11" t="s">
        <v>3200</v>
      </c>
      <c r="H3" s="11"/>
      <c r="I3" s="3"/>
      <c r="J3" s="3"/>
      <c r="K3" s="3"/>
      <c r="L3" s="3"/>
      <c r="M3" s="3"/>
      <c r="N3" s="3"/>
      <c r="O3" s="3"/>
      <c r="P3" s="3"/>
      <c r="Q3" s="3"/>
      <c r="R3" s="3"/>
      <c r="S3" s="3"/>
      <c r="T3" s="3"/>
      <c r="U3" s="3"/>
      <c r="V3" s="3"/>
    </row>
    <row r="4" spans="1:28" s="3" customFormat="1">
      <c r="A4" s="504"/>
      <c r="B4" s="14" t="s">
        <v>3204</v>
      </c>
      <c r="C4" s="14" t="s">
        <v>3205</v>
      </c>
      <c r="D4" s="11" t="s">
        <v>3206</v>
      </c>
      <c r="E4" s="11" t="s">
        <v>24</v>
      </c>
      <c r="F4" s="11"/>
      <c r="G4" s="11" t="s">
        <v>3200</v>
      </c>
      <c r="H4" s="11"/>
    </row>
    <row r="5" spans="1:28" s="3" customFormat="1">
      <c r="A5" s="504"/>
      <c r="B5" s="14" t="s">
        <v>3207</v>
      </c>
      <c r="C5" s="14" t="s">
        <v>3208</v>
      </c>
      <c r="D5" s="11" t="s">
        <v>3209</v>
      </c>
      <c r="E5" s="11" t="s">
        <v>24</v>
      </c>
      <c r="F5" s="11"/>
      <c r="G5" s="11" t="s">
        <v>3200</v>
      </c>
      <c r="H5" s="11"/>
    </row>
    <row r="6" spans="1:28" s="3" customFormat="1">
      <c r="A6" s="504"/>
      <c r="B6" s="14" t="s">
        <v>3210</v>
      </c>
      <c r="C6" s="14" t="s">
        <v>3211</v>
      </c>
      <c r="D6" s="11" t="s">
        <v>3212</v>
      </c>
      <c r="E6" s="11" t="s">
        <v>24</v>
      </c>
      <c r="F6" s="11"/>
      <c r="G6" s="11" t="s">
        <v>3200</v>
      </c>
      <c r="H6" s="11"/>
    </row>
    <row r="7" spans="1:28" s="3" customFormat="1">
      <c r="A7" s="504"/>
      <c r="B7" s="14" t="s">
        <v>3213</v>
      </c>
      <c r="C7" s="14" t="s">
        <v>3214</v>
      </c>
      <c r="D7" s="11" t="s">
        <v>3215</v>
      </c>
      <c r="E7" s="11" t="s">
        <v>24</v>
      </c>
      <c r="F7" s="11"/>
      <c r="G7" s="11" t="s">
        <v>3200</v>
      </c>
      <c r="H7" s="11"/>
    </row>
    <row r="8" spans="1:28" s="3" customFormat="1">
      <c r="A8" s="504"/>
      <c r="B8" s="14" t="s">
        <v>3216</v>
      </c>
      <c r="C8" s="14" t="s">
        <v>3217</v>
      </c>
      <c r="D8" s="11" t="s">
        <v>3218</v>
      </c>
      <c r="E8" s="11" t="s">
        <v>24</v>
      </c>
      <c r="F8" s="11"/>
      <c r="G8" s="11" t="s">
        <v>3200</v>
      </c>
      <c r="H8" s="11"/>
    </row>
    <row r="9" spans="1:28" s="3" customFormat="1">
      <c r="A9" s="504"/>
      <c r="B9" s="14" t="s">
        <v>3219</v>
      </c>
      <c r="C9" s="14" t="s">
        <v>3220</v>
      </c>
      <c r="D9" s="11" t="s">
        <v>3221</v>
      </c>
      <c r="E9" s="11" t="s">
        <v>24</v>
      </c>
      <c r="F9" s="11"/>
      <c r="G9" s="11" t="s">
        <v>3200</v>
      </c>
      <c r="H9" s="11"/>
    </row>
    <row r="10" spans="1:28" s="3" customFormat="1">
      <c r="A10" s="504"/>
      <c r="B10" s="14" t="s">
        <v>3222</v>
      </c>
      <c r="C10" s="14" t="s">
        <v>3223</v>
      </c>
      <c r="D10" s="11" t="s">
        <v>3224</v>
      </c>
      <c r="E10" s="11" t="s">
        <v>24</v>
      </c>
      <c r="F10" s="11"/>
      <c r="G10" s="11" t="s">
        <v>3200</v>
      </c>
      <c r="H10" s="11"/>
    </row>
    <row r="11" spans="1:28" s="3" customFormat="1">
      <c r="A11" s="504"/>
      <c r="B11" s="14" t="s">
        <v>3225</v>
      </c>
      <c r="C11" s="14" t="s">
        <v>3226</v>
      </c>
      <c r="D11" s="11" t="s">
        <v>3227</v>
      </c>
      <c r="E11" s="11" t="s">
        <v>24</v>
      </c>
      <c r="F11" s="11"/>
      <c r="G11" s="11" t="s">
        <v>3200</v>
      </c>
      <c r="H11" s="11"/>
    </row>
    <row r="12" spans="1:28" s="3" customFormat="1">
      <c r="A12" s="504"/>
      <c r="B12" s="14" t="s">
        <v>3228</v>
      </c>
      <c r="C12" s="14" t="s">
        <v>3229</v>
      </c>
      <c r="D12" s="11" t="s">
        <v>3230</v>
      </c>
      <c r="E12" s="11" t="s">
        <v>24</v>
      </c>
      <c r="F12" s="11"/>
      <c r="G12" s="11" t="s">
        <v>3200</v>
      </c>
      <c r="H12" s="11"/>
    </row>
    <row r="13" spans="1:28" s="3" customFormat="1">
      <c r="A13" s="504"/>
      <c r="B13" s="14" t="s">
        <v>3231</v>
      </c>
      <c r="C13" s="14" t="s">
        <v>3232</v>
      </c>
      <c r="D13" s="11" t="s">
        <v>3233</v>
      </c>
      <c r="E13" s="11" t="s">
        <v>24</v>
      </c>
      <c r="F13" s="11"/>
      <c r="G13" s="11" t="s">
        <v>3200</v>
      </c>
      <c r="H13" s="11"/>
    </row>
    <row r="14" spans="1:28" s="3" customFormat="1" ht="24">
      <c r="A14" s="504"/>
      <c r="B14" s="14" t="s">
        <v>3234</v>
      </c>
      <c r="C14" s="14" t="s">
        <v>3235</v>
      </c>
      <c r="D14" s="11" t="s">
        <v>3236</v>
      </c>
      <c r="E14" s="11" t="s">
        <v>24</v>
      </c>
      <c r="F14" s="11"/>
      <c r="G14" s="11" t="s">
        <v>3200</v>
      </c>
      <c r="H14" s="11"/>
    </row>
    <row r="15" spans="1:28" s="3" customFormat="1">
      <c r="A15" s="504"/>
      <c r="B15" s="14" t="s">
        <v>3237</v>
      </c>
      <c r="C15" s="14" t="s">
        <v>3238</v>
      </c>
      <c r="D15" s="11" t="s">
        <v>3239</v>
      </c>
      <c r="E15" s="11" t="s">
        <v>24</v>
      </c>
      <c r="F15" s="11"/>
      <c r="G15" s="11" t="s">
        <v>3200</v>
      </c>
      <c r="H15" s="11"/>
    </row>
    <row r="16" spans="1:28" s="3" customFormat="1">
      <c r="A16" s="504"/>
      <c r="B16" s="14" t="s">
        <v>3240</v>
      </c>
      <c r="C16" s="14" t="s">
        <v>3241</v>
      </c>
      <c r="D16" s="11" t="s">
        <v>3242</v>
      </c>
      <c r="E16" s="11" t="s">
        <v>24</v>
      </c>
      <c r="F16" s="11"/>
      <c r="G16" s="11" t="s">
        <v>3200</v>
      </c>
      <c r="H16" s="11"/>
    </row>
    <row r="17" spans="1:296" s="3" customFormat="1">
      <c r="A17" s="504"/>
      <c r="B17" s="14" t="s">
        <v>3243</v>
      </c>
      <c r="C17" s="14" t="s">
        <v>3244</v>
      </c>
      <c r="D17" s="11" t="s">
        <v>3245</v>
      </c>
      <c r="E17" s="11" t="s">
        <v>24</v>
      </c>
      <c r="F17" s="11"/>
      <c r="G17" s="11" t="s">
        <v>3200</v>
      </c>
      <c r="H17" s="11"/>
    </row>
    <row r="18" spans="1:296" s="3" customFormat="1">
      <c r="A18" s="504"/>
      <c r="B18" s="14" t="s">
        <v>3246</v>
      </c>
      <c r="C18" s="14" t="s">
        <v>3247</v>
      </c>
      <c r="D18" s="11" t="s">
        <v>3248</v>
      </c>
      <c r="E18" s="11" t="s">
        <v>24</v>
      </c>
      <c r="F18" s="11"/>
      <c r="G18" s="11" t="s">
        <v>3200</v>
      </c>
      <c r="H18" s="11"/>
    </row>
    <row r="19" spans="1:296" s="3" customFormat="1">
      <c r="A19" s="504"/>
      <c r="B19" s="14" t="s">
        <v>3249</v>
      </c>
      <c r="C19" s="14" t="s">
        <v>3250</v>
      </c>
      <c r="D19" s="11" t="s">
        <v>3251</v>
      </c>
      <c r="E19" s="11" t="s">
        <v>24</v>
      </c>
      <c r="F19" s="11"/>
      <c r="G19" s="11" t="s">
        <v>3200</v>
      </c>
      <c r="H19" s="11"/>
    </row>
    <row r="20" spans="1:296" s="3" customFormat="1">
      <c r="A20" s="504"/>
      <c r="B20" s="14" t="s">
        <v>3252</v>
      </c>
      <c r="C20" s="14" t="s">
        <v>3253</v>
      </c>
      <c r="D20" s="11" t="s">
        <v>3254</v>
      </c>
      <c r="E20" s="11" t="s">
        <v>24</v>
      </c>
      <c r="F20" s="11"/>
      <c r="G20" s="11" t="s">
        <v>3200</v>
      </c>
      <c r="H20" s="11"/>
    </row>
    <row r="21" spans="1:296" s="3" customFormat="1">
      <c r="A21" s="504"/>
      <c r="B21" s="14" t="s">
        <v>3255</v>
      </c>
      <c r="C21" s="14" t="s">
        <v>3256</v>
      </c>
      <c r="D21" s="11" t="s">
        <v>3257</v>
      </c>
      <c r="E21" s="11" t="s">
        <v>24</v>
      </c>
      <c r="F21" s="11"/>
      <c r="G21" s="11" t="s">
        <v>3200</v>
      </c>
      <c r="H21" s="11"/>
    </row>
    <row r="22" spans="1:296" s="3" customFormat="1">
      <c r="A22" s="504"/>
      <c r="B22" s="14" t="s">
        <v>3258</v>
      </c>
      <c r="C22" s="14" t="s">
        <v>3259</v>
      </c>
      <c r="D22" s="11" t="s">
        <v>3260</v>
      </c>
      <c r="E22" s="11" t="s">
        <v>24</v>
      </c>
      <c r="F22" s="11"/>
      <c r="G22" s="11" t="s">
        <v>3200</v>
      </c>
      <c r="H22" s="11"/>
    </row>
    <row r="23" spans="1:296" s="3" customFormat="1">
      <c r="A23" s="504"/>
      <c r="B23" s="14" t="s">
        <v>3261</v>
      </c>
      <c r="C23" s="14" t="s">
        <v>3261</v>
      </c>
      <c r="D23" s="11" t="s">
        <v>3262</v>
      </c>
      <c r="E23" s="11" t="s">
        <v>24</v>
      </c>
      <c r="F23" s="11"/>
      <c r="G23" s="11" t="s">
        <v>3200</v>
      </c>
      <c r="H23" s="11"/>
    </row>
    <row r="24" spans="1:296" s="2" customFormat="1">
      <c r="A24" s="504"/>
      <c r="B24" s="10" t="s">
        <v>3263</v>
      </c>
      <c r="C24" s="10" t="s">
        <v>3264</v>
      </c>
      <c r="D24" s="11" t="s">
        <v>3265</v>
      </c>
      <c r="E24" s="11" t="s">
        <v>57</v>
      </c>
      <c r="F24" s="12"/>
      <c r="G24" s="11" t="s">
        <v>3200</v>
      </c>
      <c r="H24" s="13"/>
      <c r="I24" s="3"/>
      <c r="J24" s="3"/>
      <c r="K24" s="3"/>
      <c r="L24" s="3"/>
      <c r="M24" s="3"/>
      <c r="N24" s="3"/>
      <c r="O24" s="3"/>
      <c r="P24" s="3"/>
      <c r="Q24" s="3"/>
      <c r="R24" s="3"/>
      <c r="S24" s="3"/>
      <c r="T24" s="3"/>
      <c r="U24" s="3"/>
      <c r="V24" s="3"/>
    </row>
    <row r="25" spans="1:296" s="2" customFormat="1">
      <c r="A25" s="504"/>
      <c r="B25" s="10" t="s">
        <v>3266</v>
      </c>
      <c r="C25" s="10" t="s">
        <v>3267</v>
      </c>
      <c r="D25" s="11" t="s">
        <v>3268</v>
      </c>
      <c r="E25" s="11" t="s">
        <v>57</v>
      </c>
      <c r="F25" s="12"/>
      <c r="G25" s="11" t="s">
        <v>3200</v>
      </c>
      <c r="H25" s="13"/>
      <c r="I25" s="3"/>
      <c r="J25" s="3"/>
      <c r="K25" s="3"/>
      <c r="L25" s="3"/>
      <c r="M25" s="3"/>
      <c r="N25" s="3"/>
      <c r="O25" s="3"/>
      <c r="P25" s="3"/>
      <c r="Q25" s="3"/>
      <c r="R25" s="3"/>
      <c r="S25" s="3"/>
      <c r="T25" s="3"/>
      <c r="U25" s="3"/>
      <c r="V25" s="3"/>
    </row>
    <row r="26" spans="1:296" s="4" customFormat="1">
      <c r="A26" s="504"/>
      <c r="B26" s="14" t="s">
        <v>3269</v>
      </c>
      <c r="C26" s="14" t="s">
        <v>3270</v>
      </c>
      <c r="D26" s="11" t="s">
        <v>3271</v>
      </c>
      <c r="E26" s="14" t="s">
        <v>57</v>
      </c>
      <c r="F26" s="12"/>
      <c r="G26" s="11" t="s">
        <v>3200</v>
      </c>
      <c r="H26" s="15"/>
      <c r="I26" s="3"/>
      <c r="J26" s="3"/>
      <c r="K26" s="3"/>
      <c r="L26" s="3"/>
      <c r="M26" s="3"/>
      <c r="N26" s="3"/>
      <c r="O26" s="3"/>
      <c r="P26" s="3"/>
      <c r="Q26" s="3"/>
      <c r="R26" s="3"/>
      <c r="S26" s="3"/>
      <c r="T26" s="3"/>
      <c r="U26" s="3"/>
      <c r="V26" s="3"/>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17"/>
      <c r="ED26" s="17"/>
      <c r="EE26" s="17"/>
      <c r="EF26" s="17"/>
      <c r="EG26" s="17"/>
      <c r="EH26" s="17"/>
      <c r="EI26" s="17"/>
      <c r="EJ26" s="17"/>
      <c r="EK26" s="17"/>
      <c r="EL26" s="17"/>
      <c r="EM26" s="17"/>
      <c r="EN26" s="17"/>
      <c r="EO26" s="17"/>
      <c r="EP26" s="17"/>
      <c r="EQ26" s="17"/>
      <c r="ER26" s="17"/>
      <c r="ES26" s="17"/>
      <c r="ET26" s="17"/>
      <c r="EU26" s="17"/>
      <c r="EV26" s="17"/>
      <c r="EW26" s="17"/>
      <c r="EX26" s="17"/>
      <c r="EY26" s="17"/>
      <c r="EZ26" s="17"/>
      <c r="FA26" s="17"/>
      <c r="FB26" s="17"/>
      <c r="FC26" s="17"/>
      <c r="FD26" s="17"/>
      <c r="FE26" s="17"/>
      <c r="FF26" s="17"/>
      <c r="FG26" s="17"/>
      <c r="FH26" s="17"/>
      <c r="FI26" s="17"/>
      <c r="FJ26" s="17"/>
      <c r="FK26" s="17"/>
      <c r="FL26" s="17"/>
      <c r="FM26" s="17"/>
      <c r="FN26" s="17"/>
      <c r="FO26" s="17"/>
      <c r="FP26" s="17"/>
      <c r="FQ26" s="17"/>
      <c r="FR26" s="17"/>
      <c r="FS26" s="17"/>
      <c r="FT26" s="17"/>
      <c r="FU26" s="17"/>
      <c r="FV26" s="17"/>
      <c r="FW26" s="17"/>
      <c r="FX26" s="17"/>
      <c r="FY26" s="17"/>
      <c r="FZ26" s="17"/>
      <c r="GA26" s="17"/>
      <c r="GB26" s="17"/>
      <c r="GC26" s="17"/>
      <c r="GD26" s="17"/>
      <c r="GE26" s="17"/>
      <c r="GF26" s="17"/>
      <c r="GG26" s="17"/>
      <c r="GH26" s="17"/>
      <c r="GI26" s="17"/>
      <c r="GJ26" s="17"/>
      <c r="GK26" s="17"/>
      <c r="GL26" s="17"/>
      <c r="GM26" s="17"/>
      <c r="GN26" s="17"/>
      <c r="GO26" s="17"/>
      <c r="GP26" s="17"/>
      <c r="GQ26" s="17"/>
      <c r="GR26" s="17"/>
      <c r="GS26" s="17"/>
      <c r="GT26" s="17"/>
      <c r="GU26" s="17"/>
      <c r="GV26" s="17"/>
      <c r="GW26" s="17"/>
      <c r="GX26" s="17"/>
      <c r="GY26" s="17"/>
      <c r="GZ26" s="17"/>
      <c r="HA26" s="17"/>
      <c r="HB26" s="17"/>
      <c r="HC26" s="17"/>
      <c r="HD26" s="17"/>
      <c r="HE26" s="17"/>
      <c r="HF26" s="17"/>
      <c r="HG26" s="17"/>
      <c r="HH26" s="17"/>
      <c r="HI26" s="17"/>
      <c r="HJ26" s="17"/>
      <c r="HK26" s="17"/>
      <c r="HL26" s="17"/>
      <c r="HM26" s="17"/>
      <c r="HN26" s="17"/>
      <c r="HO26" s="17"/>
      <c r="HP26" s="17"/>
      <c r="HQ26" s="17"/>
      <c r="HR26" s="17"/>
      <c r="HS26" s="17"/>
      <c r="HT26" s="17"/>
      <c r="HU26" s="17"/>
      <c r="HV26" s="17"/>
      <c r="HW26" s="17"/>
      <c r="HX26" s="17"/>
      <c r="HY26" s="17"/>
      <c r="HZ26" s="17"/>
      <c r="IA26" s="17"/>
      <c r="IB26" s="17"/>
      <c r="IC26" s="17"/>
      <c r="ID26" s="17"/>
      <c r="IE26" s="17"/>
      <c r="IF26" s="17"/>
      <c r="IG26" s="17"/>
      <c r="IH26" s="17"/>
      <c r="II26" s="17"/>
      <c r="IJ26" s="17"/>
      <c r="IK26" s="17"/>
      <c r="IL26" s="17"/>
      <c r="IM26" s="17"/>
      <c r="IN26" s="17"/>
      <c r="IO26" s="17"/>
      <c r="IP26" s="17"/>
      <c r="IQ26" s="17"/>
      <c r="IR26" s="17"/>
      <c r="IS26" s="17"/>
      <c r="IT26" s="17"/>
      <c r="IU26" s="17"/>
      <c r="IV26" s="17"/>
      <c r="IW26" s="17"/>
      <c r="IX26" s="17"/>
      <c r="IY26" s="17"/>
      <c r="IZ26" s="17"/>
      <c r="JA26" s="17"/>
      <c r="JB26" s="17"/>
      <c r="JC26" s="17"/>
      <c r="JD26" s="17"/>
      <c r="JE26" s="17"/>
      <c r="JF26" s="17"/>
      <c r="JG26" s="17"/>
      <c r="JH26" s="17"/>
      <c r="JI26" s="17"/>
      <c r="JJ26" s="17"/>
      <c r="JK26" s="17"/>
      <c r="JL26" s="17"/>
      <c r="JM26" s="17"/>
      <c r="JN26" s="17"/>
      <c r="JO26" s="17"/>
      <c r="JP26" s="17"/>
      <c r="JQ26" s="17"/>
      <c r="JR26" s="17"/>
      <c r="JS26" s="17"/>
      <c r="JT26" s="17"/>
      <c r="JU26" s="17"/>
      <c r="JV26" s="17"/>
      <c r="JW26" s="17"/>
      <c r="JX26" s="17"/>
      <c r="JY26" s="17"/>
      <c r="JZ26" s="17"/>
      <c r="KA26" s="17"/>
      <c r="KB26" s="17"/>
      <c r="KC26" s="17"/>
      <c r="KD26" s="17"/>
      <c r="KE26" s="17"/>
      <c r="KF26" s="17"/>
      <c r="KG26" s="17"/>
      <c r="KH26" s="17"/>
      <c r="KI26" s="17"/>
      <c r="KJ26" s="17"/>
    </row>
    <row r="27" spans="1:296" s="4" customFormat="1">
      <c r="A27" s="504"/>
      <c r="B27" s="14" t="s">
        <v>3272</v>
      </c>
      <c r="C27" s="14" t="s">
        <v>3273</v>
      </c>
      <c r="D27" s="11" t="s">
        <v>3274</v>
      </c>
      <c r="E27" s="11" t="s">
        <v>57</v>
      </c>
      <c r="F27" s="11"/>
      <c r="G27" s="11" t="s">
        <v>3200</v>
      </c>
      <c r="H27" s="11"/>
      <c r="I27" s="3"/>
      <c r="J27" s="3"/>
      <c r="K27" s="3"/>
      <c r="L27" s="3"/>
      <c r="M27" s="3"/>
      <c r="N27" s="3"/>
      <c r="O27" s="3"/>
      <c r="P27" s="3"/>
      <c r="Q27" s="3"/>
      <c r="R27" s="3"/>
      <c r="S27" s="3"/>
      <c r="T27" s="3"/>
      <c r="U27" s="3"/>
      <c r="V27" s="3"/>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c r="EA27" s="17"/>
      <c r="EB27" s="17"/>
      <c r="EC27" s="17"/>
      <c r="ED27" s="17"/>
      <c r="EE27" s="17"/>
      <c r="EF27" s="17"/>
      <c r="EG27" s="17"/>
      <c r="EH27" s="17"/>
      <c r="EI27" s="17"/>
      <c r="EJ27" s="17"/>
      <c r="EK27" s="17"/>
      <c r="EL27" s="17"/>
      <c r="EM27" s="17"/>
      <c r="EN27" s="17"/>
      <c r="EO27" s="17"/>
      <c r="EP27" s="17"/>
      <c r="EQ27" s="17"/>
      <c r="ER27" s="17"/>
      <c r="ES27" s="17"/>
      <c r="ET27" s="17"/>
      <c r="EU27" s="17"/>
      <c r="EV27" s="17"/>
      <c r="EW27" s="17"/>
      <c r="EX27" s="17"/>
      <c r="EY27" s="17"/>
      <c r="EZ27" s="17"/>
      <c r="FA27" s="17"/>
      <c r="FB27" s="17"/>
      <c r="FC27" s="17"/>
      <c r="FD27" s="17"/>
      <c r="FE27" s="17"/>
      <c r="FF27" s="17"/>
      <c r="FG27" s="17"/>
      <c r="FH27" s="17"/>
      <c r="FI27" s="17"/>
      <c r="FJ27" s="17"/>
      <c r="FK27" s="17"/>
      <c r="FL27" s="17"/>
      <c r="FM27" s="17"/>
      <c r="FN27" s="17"/>
      <c r="FO27" s="17"/>
      <c r="FP27" s="17"/>
      <c r="FQ27" s="17"/>
      <c r="FR27" s="17"/>
      <c r="FS27" s="17"/>
      <c r="FT27" s="17"/>
      <c r="FU27" s="17"/>
      <c r="FV27" s="17"/>
      <c r="FW27" s="17"/>
      <c r="FX27" s="17"/>
      <c r="FY27" s="17"/>
      <c r="FZ27" s="17"/>
      <c r="GA27" s="17"/>
      <c r="GB27" s="17"/>
      <c r="GC27" s="17"/>
      <c r="GD27" s="17"/>
      <c r="GE27" s="17"/>
      <c r="GF27" s="17"/>
      <c r="GG27" s="17"/>
      <c r="GH27" s="17"/>
      <c r="GI27" s="17"/>
      <c r="GJ27" s="17"/>
      <c r="GK27" s="17"/>
      <c r="GL27" s="17"/>
      <c r="GM27" s="17"/>
      <c r="GN27" s="17"/>
      <c r="GO27" s="17"/>
      <c r="GP27" s="17"/>
      <c r="GQ27" s="17"/>
      <c r="GR27" s="17"/>
      <c r="GS27" s="17"/>
      <c r="GT27" s="17"/>
      <c r="GU27" s="17"/>
      <c r="GV27" s="17"/>
      <c r="GW27" s="17"/>
      <c r="GX27" s="17"/>
      <c r="GY27" s="17"/>
      <c r="GZ27" s="17"/>
      <c r="HA27" s="17"/>
      <c r="HB27" s="17"/>
      <c r="HC27" s="17"/>
      <c r="HD27" s="17"/>
      <c r="HE27" s="17"/>
      <c r="HF27" s="17"/>
      <c r="HG27" s="17"/>
      <c r="HH27" s="17"/>
      <c r="HI27" s="17"/>
      <c r="HJ27" s="17"/>
      <c r="HK27" s="17"/>
      <c r="HL27" s="17"/>
      <c r="HM27" s="17"/>
      <c r="HN27" s="17"/>
      <c r="HO27" s="17"/>
      <c r="HP27" s="17"/>
      <c r="HQ27" s="17"/>
      <c r="HR27" s="17"/>
      <c r="HS27" s="17"/>
      <c r="HT27" s="17"/>
      <c r="HU27" s="17"/>
      <c r="HV27" s="17"/>
      <c r="HW27" s="17"/>
      <c r="HX27" s="17"/>
      <c r="HY27" s="17"/>
      <c r="HZ27" s="17"/>
      <c r="IA27" s="17"/>
      <c r="IB27" s="17"/>
      <c r="IC27" s="17"/>
      <c r="ID27" s="17"/>
      <c r="IE27" s="17"/>
      <c r="IF27" s="17"/>
      <c r="IG27" s="17"/>
      <c r="IH27" s="17"/>
      <c r="II27" s="17"/>
      <c r="IJ27" s="17"/>
      <c r="IK27" s="17"/>
      <c r="IL27" s="17"/>
      <c r="IM27" s="17"/>
      <c r="IN27" s="17"/>
      <c r="IO27" s="17"/>
      <c r="IP27" s="17"/>
      <c r="IQ27" s="17"/>
      <c r="IR27" s="17"/>
      <c r="IS27" s="17"/>
      <c r="IT27" s="17"/>
      <c r="IU27" s="17"/>
      <c r="IV27" s="17"/>
      <c r="IW27" s="17"/>
      <c r="IX27" s="17"/>
      <c r="IY27" s="17"/>
      <c r="IZ27" s="17"/>
      <c r="JA27" s="17"/>
      <c r="JB27" s="17"/>
      <c r="JC27" s="17"/>
      <c r="JD27" s="17"/>
      <c r="JE27" s="17"/>
      <c r="JF27" s="17"/>
      <c r="JG27" s="17"/>
      <c r="JH27" s="17"/>
      <c r="JI27" s="17"/>
      <c r="JJ27" s="17"/>
      <c r="JK27" s="17"/>
      <c r="JL27" s="17"/>
      <c r="JM27" s="17"/>
      <c r="JN27" s="17"/>
      <c r="JO27" s="17"/>
      <c r="JP27" s="17"/>
      <c r="JQ27" s="17"/>
      <c r="JR27" s="17"/>
      <c r="JS27" s="17"/>
      <c r="JT27" s="17"/>
      <c r="JU27" s="17"/>
      <c r="JV27" s="17"/>
      <c r="JW27" s="17"/>
      <c r="JX27" s="17"/>
      <c r="JY27" s="17"/>
      <c r="JZ27" s="17"/>
      <c r="KA27" s="17"/>
      <c r="KB27" s="17"/>
      <c r="KC27" s="17"/>
      <c r="KD27" s="17"/>
      <c r="KE27" s="17"/>
      <c r="KF27" s="17"/>
      <c r="KG27" s="17"/>
      <c r="KH27" s="17"/>
      <c r="KI27" s="17"/>
      <c r="KJ27" s="17"/>
    </row>
    <row r="28" spans="1:296" s="4" customFormat="1">
      <c r="A28" s="504"/>
      <c r="B28" s="14" t="s">
        <v>3275</v>
      </c>
      <c r="C28" s="14" t="s">
        <v>3276</v>
      </c>
      <c r="D28" s="11" t="s">
        <v>3277</v>
      </c>
      <c r="E28" s="11" t="s">
        <v>57</v>
      </c>
      <c r="F28" s="11"/>
      <c r="G28" s="11" t="s">
        <v>3200</v>
      </c>
      <c r="H28" s="11"/>
      <c r="I28" s="3"/>
      <c r="J28" s="3"/>
      <c r="K28" s="3"/>
      <c r="L28" s="3"/>
      <c r="M28" s="3"/>
      <c r="N28" s="3"/>
      <c r="O28" s="3"/>
      <c r="P28" s="3"/>
      <c r="Q28" s="3"/>
      <c r="R28" s="3"/>
      <c r="S28" s="3"/>
      <c r="T28" s="3"/>
      <c r="U28" s="3"/>
      <c r="V28" s="3"/>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7"/>
      <c r="EU28" s="17"/>
      <c r="EV28" s="17"/>
      <c r="EW28" s="17"/>
      <c r="EX28" s="17"/>
      <c r="EY28" s="17"/>
      <c r="EZ28" s="17"/>
      <c r="FA28" s="17"/>
      <c r="FB28" s="17"/>
      <c r="FC28" s="17"/>
      <c r="FD28" s="17"/>
      <c r="FE28" s="17"/>
      <c r="FF28" s="17"/>
      <c r="FG28" s="17"/>
      <c r="FH28" s="17"/>
      <c r="FI28" s="17"/>
      <c r="FJ28" s="17"/>
      <c r="FK28" s="17"/>
      <c r="FL28" s="17"/>
      <c r="FM28" s="17"/>
      <c r="FN28" s="17"/>
      <c r="FO28" s="17"/>
      <c r="FP28" s="17"/>
      <c r="FQ28" s="17"/>
      <c r="FR28" s="17"/>
      <c r="FS28" s="17"/>
      <c r="FT28" s="17"/>
      <c r="FU28" s="17"/>
      <c r="FV28" s="17"/>
      <c r="FW28" s="17"/>
      <c r="FX28" s="17"/>
      <c r="FY28" s="17"/>
      <c r="FZ28" s="17"/>
      <c r="GA28" s="17"/>
      <c r="GB28" s="17"/>
      <c r="GC28" s="17"/>
      <c r="GD28" s="17"/>
      <c r="GE28" s="17"/>
      <c r="GF28" s="17"/>
      <c r="GG28" s="17"/>
      <c r="GH28" s="17"/>
      <c r="GI28" s="17"/>
      <c r="GJ28" s="17"/>
      <c r="GK28" s="17"/>
      <c r="GL28" s="17"/>
      <c r="GM28" s="17"/>
      <c r="GN28" s="17"/>
      <c r="GO28" s="17"/>
      <c r="GP28" s="17"/>
      <c r="GQ28" s="17"/>
      <c r="GR28" s="17"/>
      <c r="GS28" s="17"/>
      <c r="GT28" s="17"/>
      <c r="GU28" s="17"/>
      <c r="GV28" s="17"/>
      <c r="GW28" s="17"/>
      <c r="GX28" s="17"/>
      <c r="GY28" s="17"/>
      <c r="GZ28" s="17"/>
      <c r="HA28" s="17"/>
      <c r="HB28" s="17"/>
      <c r="HC28" s="17"/>
      <c r="HD28" s="17"/>
      <c r="HE28" s="17"/>
      <c r="HF28" s="17"/>
      <c r="HG28" s="17"/>
      <c r="HH28" s="17"/>
      <c r="HI28" s="17"/>
      <c r="HJ28" s="17"/>
      <c r="HK28" s="17"/>
      <c r="HL28" s="17"/>
      <c r="HM28" s="17"/>
      <c r="HN28" s="17"/>
      <c r="HO28" s="17"/>
      <c r="HP28" s="17"/>
      <c r="HQ28" s="17"/>
      <c r="HR28" s="17"/>
      <c r="HS28" s="17"/>
      <c r="HT28" s="17"/>
      <c r="HU28" s="17"/>
      <c r="HV28" s="17"/>
      <c r="HW28" s="17"/>
      <c r="HX28" s="17"/>
      <c r="HY28" s="17"/>
      <c r="HZ28" s="17"/>
      <c r="IA28" s="17"/>
      <c r="IB28" s="17"/>
      <c r="IC28" s="17"/>
      <c r="ID28" s="17"/>
      <c r="IE28" s="17"/>
      <c r="IF28" s="17"/>
      <c r="IG28" s="17"/>
      <c r="IH28" s="17"/>
      <c r="II28" s="17"/>
      <c r="IJ28" s="17"/>
      <c r="IK28" s="17"/>
      <c r="IL28" s="17"/>
      <c r="IM28" s="17"/>
      <c r="IN28" s="17"/>
      <c r="IO28" s="17"/>
      <c r="IP28" s="17"/>
      <c r="IQ28" s="17"/>
      <c r="IR28" s="17"/>
      <c r="IS28" s="17"/>
      <c r="IT28" s="17"/>
      <c r="IU28" s="17"/>
      <c r="IV28" s="17"/>
      <c r="IW28" s="17"/>
      <c r="IX28" s="17"/>
      <c r="IY28" s="17"/>
      <c r="IZ28" s="17"/>
      <c r="JA28" s="17"/>
      <c r="JB28" s="17"/>
      <c r="JC28" s="17"/>
      <c r="JD28" s="17"/>
      <c r="JE28" s="17"/>
      <c r="JF28" s="17"/>
      <c r="JG28" s="17"/>
      <c r="JH28" s="17"/>
      <c r="JI28" s="17"/>
      <c r="JJ28" s="17"/>
      <c r="JK28" s="17"/>
      <c r="JL28" s="17"/>
      <c r="JM28" s="17"/>
      <c r="JN28" s="17"/>
      <c r="JO28" s="17"/>
      <c r="JP28" s="17"/>
      <c r="JQ28" s="17"/>
      <c r="JR28" s="17"/>
      <c r="JS28" s="17"/>
      <c r="JT28" s="17"/>
      <c r="JU28" s="17"/>
      <c r="JV28" s="17"/>
      <c r="JW28" s="17"/>
      <c r="JX28" s="17"/>
      <c r="JY28" s="17"/>
      <c r="JZ28" s="17"/>
      <c r="KA28" s="17"/>
      <c r="KB28" s="17"/>
      <c r="KC28" s="17"/>
      <c r="KD28" s="17"/>
      <c r="KE28" s="17"/>
      <c r="KF28" s="17"/>
      <c r="KG28" s="17"/>
      <c r="KH28" s="17"/>
      <c r="KI28" s="17"/>
      <c r="KJ28" s="17"/>
    </row>
    <row r="29" spans="1:296" s="4" customFormat="1">
      <c r="A29" s="504"/>
      <c r="B29" s="14" t="s">
        <v>3278</v>
      </c>
      <c r="C29" s="14" t="s">
        <v>3279</v>
      </c>
      <c r="D29" s="11" t="s">
        <v>3280</v>
      </c>
      <c r="E29" s="11" t="s">
        <v>57</v>
      </c>
      <c r="F29" s="11"/>
      <c r="G29" s="11" t="s">
        <v>3200</v>
      </c>
      <c r="H29" s="11"/>
      <c r="I29" s="3"/>
      <c r="J29" s="3"/>
      <c r="K29" s="3"/>
      <c r="L29" s="3"/>
      <c r="M29" s="3"/>
      <c r="N29" s="3"/>
      <c r="O29" s="3"/>
      <c r="P29" s="3"/>
      <c r="Q29" s="3"/>
      <c r="R29" s="3"/>
      <c r="S29" s="3"/>
      <c r="T29" s="3"/>
      <c r="U29" s="3"/>
      <c r="V29" s="3"/>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17"/>
      <c r="HM29" s="17"/>
      <c r="HN29" s="17"/>
      <c r="HO29" s="17"/>
      <c r="HP29" s="17"/>
      <c r="HQ29" s="17"/>
      <c r="HR29" s="17"/>
      <c r="HS29" s="17"/>
      <c r="HT29" s="17"/>
      <c r="HU29" s="17"/>
      <c r="HV29" s="17"/>
      <c r="HW29" s="17"/>
      <c r="HX29" s="17"/>
      <c r="HY29" s="17"/>
      <c r="HZ29" s="17"/>
      <c r="IA29" s="17"/>
      <c r="IB29" s="17"/>
      <c r="IC29" s="17"/>
      <c r="ID29" s="17"/>
      <c r="IE29" s="17"/>
      <c r="IF29" s="17"/>
      <c r="IG29" s="17"/>
      <c r="IH29" s="17"/>
      <c r="II29" s="17"/>
      <c r="IJ29" s="17"/>
      <c r="IK29" s="17"/>
      <c r="IL29" s="17"/>
      <c r="IM29" s="17"/>
      <c r="IN29" s="17"/>
      <c r="IO29" s="17"/>
      <c r="IP29" s="17"/>
      <c r="IQ29" s="17"/>
      <c r="IR29" s="17"/>
      <c r="IS29" s="17"/>
      <c r="IT29" s="17"/>
      <c r="IU29" s="17"/>
      <c r="IV29" s="17"/>
      <c r="IW29" s="17"/>
      <c r="IX29" s="17"/>
      <c r="IY29" s="17"/>
      <c r="IZ29" s="17"/>
      <c r="JA29" s="17"/>
      <c r="JB29" s="17"/>
      <c r="JC29" s="17"/>
      <c r="JD29" s="17"/>
      <c r="JE29" s="17"/>
      <c r="JF29" s="17"/>
      <c r="JG29" s="17"/>
      <c r="JH29" s="17"/>
      <c r="JI29" s="17"/>
      <c r="JJ29" s="17"/>
      <c r="JK29" s="17"/>
      <c r="JL29" s="17"/>
      <c r="JM29" s="17"/>
      <c r="JN29" s="17"/>
      <c r="JO29" s="17"/>
      <c r="JP29" s="17"/>
      <c r="JQ29" s="17"/>
      <c r="JR29" s="17"/>
      <c r="JS29" s="17"/>
      <c r="JT29" s="17"/>
      <c r="JU29" s="17"/>
      <c r="JV29" s="17"/>
      <c r="JW29" s="17"/>
      <c r="JX29" s="17"/>
      <c r="JY29" s="17"/>
      <c r="JZ29" s="17"/>
      <c r="KA29" s="17"/>
      <c r="KB29" s="17"/>
      <c r="KC29" s="17"/>
      <c r="KD29" s="17"/>
      <c r="KE29" s="17"/>
      <c r="KF29" s="17"/>
      <c r="KG29" s="17"/>
      <c r="KH29" s="17"/>
      <c r="KI29" s="17"/>
      <c r="KJ29" s="17"/>
    </row>
    <row r="30" spans="1:296" s="4" customFormat="1">
      <c r="A30" s="504"/>
      <c r="B30" s="14" t="s">
        <v>3281</v>
      </c>
      <c r="C30" s="14" t="s">
        <v>3282</v>
      </c>
      <c r="D30" s="11" t="s">
        <v>3283</v>
      </c>
      <c r="E30" s="11" t="s">
        <v>57</v>
      </c>
      <c r="F30" s="11"/>
      <c r="G30" s="11" t="s">
        <v>3200</v>
      </c>
      <c r="H30" s="11"/>
      <c r="I30" s="3"/>
      <c r="J30" s="3"/>
      <c r="K30" s="3"/>
      <c r="L30" s="3"/>
      <c r="M30" s="3"/>
      <c r="N30" s="3"/>
      <c r="O30" s="3"/>
      <c r="P30" s="3"/>
      <c r="Q30" s="3"/>
      <c r="R30" s="3"/>
      <c r="S30" s="3"/>
      <c r="T30" s="3"/>
      <c r="U30" s="3"/>
      <c r="V30" s="3"/>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c r="DO30" s="17"/>
      <c r="DP30" s="17"/>
      <c r="DQ30" s="17"/>
      <c r="DR30" s="17"/>
      <c r="DS30" s="17"/>
      <c r="DT30" s="17"/>
      <c r="DU30" s="17"/>
      <c r="DV30" s="17"/>
      <c r="DW30" s="17"/>
      <c r="DX30" s="17"/>
      <c r="DY30" s="17"/>
      <c r="DZ30" s="17"/>
      <c r="EA30" s="17"/>
      <c r="EB30" s="17"/>
      <c r="EC30" s="17"/>
      <c r="ED30" s="17"/>
      <c r="EE30" s="17"/>
      <c r="EF30" s="17"/>
      <c r="EG30" s="17"/>
      <c r="EH30" s="17"/>
      <c r="EI30" s="17"/>
      <c r="EJ30" s="17"/>
      <c r="EK30" s="17"/>
      <c r="EL30" s="17"/>
      <c r="EM30" s="17"/>
      <c r="EN30" s="17"/>
      <c r="EO30" s="17"/>
      <c r="EP30" s="17"/>
      <c r="EQ30" s="17"/>
      <c r="ER30" s="17"/>
      <c r="ES30" s="17"/>
      <c r="ET30" s="17"/>
      <c r="EU30" s="17"/>
      <c r="EV30" s="17"/>
      <c r="EW30" s="17"/>
      <c r="EX30" s="17"/>
      <c r="EY30" s="17"/>
      <c r="EZ30" s="17"/>
      <c r="FA30" s="17"/>
      <c r="FB30" s="17"/>
      <c r="FC30" s="17"/>
      <c r="FD30" s="17"/>
      <c r="FE30" s="17"/>
      <c r="FF30" s="17"/>
      <c r="FG30" s="17"/>
      <c r="FH30" s="17"/>
      <c r="FI30" s="17"/>
      <c r="FJ30" s="17"/>
      <c r="FK30" s="17"/>
      <c r="FL30" s="17"/>
      <c r="FM30" s="17"/>
      <c r="FN30" s="17"/>
      <c r="FO30" s="17"/>
      <c r="FP30" s="17"/>
      <c r="FQ30" s="17"/>
      <c r="FR30" s="17"/>
      <c r="FS30" s="17"/>
      <c r="FT30" s="17"/>
      <c r="FU30" s="17"/>
      <c r="FV30" s="17"/>
      <c r="FW30" s="17"/>
      <c r="FX30" s="17"/>
      <c r="FY30" s="17"/>
      <c r="FZ30" s="17"/>
      <c r="GA30" s="17"/>
      <c r="GB30" s="17"/>
      <c r="GC30" s="17"/>
      <c r="GD30" s="17"/>
      <c r="GE30" s="17"/>
      <c r="GF30" s="17"/>
      <c r="GG30" s="17"/>
      <c r="GH30" s="17"/>
      <c r="GI30" s="17"/>
      <c r="GJ30" s="17"/>
      <c r="GK30" s="17"/>
      <c r="GL30" s="17"/>
      <c r="GM30" s="17"/>
      <c r="GN30" s="17"/>
      <c r="GO30" s="17"/>
      <c r="GP30" s="17"/>
      <c r="GQ30" s="17"/>
      <c r="GR30" s="17"/>
      <c r="GS30" s="17"/>
      <c r="GT30" s="17"/>
      <c r="GU30" s="17"/>
      <c r="GV30" s="17"/>
      <c r="GW30" s="17"/>
      <c r="GX30" s="17"/>
      <c r="GY30" s="17"/>
      <c r="GZ30" s="17"/>
      <c r="HA30" s="17"/>
      <c r="HB30" s="17"/>
      <c r="HC30" s="17"/>
      <c r="HD30" s="17"/>
      <c r="HE30" s="17"/>
      <c r="HF30" s="17"/>
      <c r="HG30" s="17"/>
      <c r="HH30" s="17"/>
      <c r="HI30" s="17"/>
      <c r="HJ30" s="17"/>
      <c r="HK30" s="17"/>
      <c r="HL30" s="17"/>
      <c r="HM30" s="17"/>
      <c r="HN30" s="17"/>
      <c r="HO30" s="17"/>
      <c r="HP30" s="17"/>
      <c r="HQ30" s="17"/>
      <c r="HR30" s="17"/>
      <c r="HS30" s="17"/>
      <c r="HT30" s="17"/>
      <c r="HU30" s="17"/>
      <c r="HV30" s="17"/>
      <c r="HW30" s="17"/>
      <c r="HX30" s="17"/>
      <c r="HY30" s="17"/>
      <c r="HZ30" s="17"/>
      <c r="IA30" s="17"/>
      <c r="IB30" s="17"/>
      <c r="IC30" s="17"/>
      <c r="ID30" s="17"/>
      <c r="IE30" s="17"/>
      <c r="IF30" s="17"/>
      <c r="IG30" s="17"/>
      <c r="IH30" s="17"/>
      <c r="II30" s="17"/>
      <c r="IJ30" s="17"/>
      <c r="IK30" s="17"/>
      <c r="IL30" s="17"/>
      <c r="IM30" s="17"/>
      <c r="IN30" s="17"/>
      <c r="IO30" s="17"/>
      <c r="IP30" s="17"/>
      <c r="IQ30" s="17"/>
      <c r="IR30" s="17"/>
      <c r="IS30" s="17"/>
      <c r="IT30" s="17"/>
      <c r="IU30" s="17"/>
      <c r="IV30" s="17"/>
      <c r="IW30" s="17"/>
      <c r="IX30" s="17"/>
      <c r="IY30" s="17"/>
      <c r="IZ30" s="17"/>
      <c r="JA30" s="17"/>
      <c r="JB30" s="17"/>
      <c r="JC30" s="17"/>
      <c r="JD30" s="17"/>
      <c r="JE30" s="17"/>
      <c r="JF30" s="17"/>
      <c r="JG30" s="17"/>
      <c r="JH30" s="17"/>
      <c r="JI30" s="17"/>
      <c r="JJ30" s="17"/>
      <c r="JK30" s="17"/>
      <c r="JL30" s="17"/>
      <c r="JM30" s="17"/>
      <c r="JN30" s="17"/>
      <c r="JO30" s="17"/>
      <c r="JP30" s="17"/>
      <c r="JQ30" s="17"/>
      <c r="JR30" s="17"/>
      <c r="JS30" s="17"/>
      <c r="JT30" s="17"/>
      <c r="JU30" s="17"/>
      <c r="JV30" s="17"/>
      <c r="JW30" s="17"/>
      <c r="JX30" s="17"/>
      <c r="JY30" s="17"/>
      <c r="JZ30" s="17"/>
      <c r="KA30" s="17"/>
      <c r="KB30" s="17"/>
      <c r="KC30" s="17"/>
      <c r="KD30" s="17"/>
      <c r="KE30" s="17"/>
      <c r="KF30" s="17"/>
      <c r="KG30" s="17"/>
      <c r="KH30" s="17"/>
      <c r="KI30" s="17"/>
      <c r="KJ30" s="17"/>
    </row>
    <row r="31" spans="1:296" s="3" customFormat="1">
      <c r="A31" s="504"/>
      <c r="B31" s="14" t="s">
        <v>3284</v>
      </c>
      <c r="C31" s="14" t="s">
        <v>3285</v>
      </c>
      <c r="D31" s="11" t="s">
        <v>3286</v>
      </c>
      <c r="E31" s="11" t="s">
        <v>57</v>
      </c>
      <c r="F31" s="11"/>
      <c r="G31" s="11" t="s">
        <v>3200</v>
      </c>
      <c r="H31" s="11"/>
    </row>
    <row r="32" spans="1:296" s="3" customFormat="1">
      <c r="A32" s="504"/>
      <c r="B32" s="14" t="s">
        <v>3287</v>
      </c>
      <c r="C32" s="14" t="s">
        <v>3288</v>
      </c>
      <c r="D32" s="11" t="s">
        <v>3289</v>
      </c>
      <c r="E32" s="11" t="s">
        <v>57</v>
      </c>
      <c r="F32" s="11"/>
      <c r="G32" s="11" t="s">
        <v>3200</v>
      </c>
      <c r="H32" s="11"/>
    </row>
    <row r="33" spans="1:8" s="5" customFormat="1">
      <c r="A33" s="505"/>
      <c r="B33" s="10" t="s">
        <v>3290</v>
      </c>
      <c r="C33" s="10" t="s">
        <v>3291</v>
      </c>
      <c r="D33" s="11" t="s">
        <v>3292</v>
      </c>
      <c r="E33" s="11" t="s">
        <v>24</v>
      </c>
      <c r="F33" s="11"/>
      <c r="G33" s="11" t="s">
        <v>3200</v>
      </c>
      <c r="H33" s="11"/>
    </row>
    <row r="34" spans="1:8" s="5" customFormat="1">
      <c r="A34" s="505"/>
      <c r="B34" s="10" t="s">
        <v>3293</v>
      </c>
      <c r="C34" s="10" t="s">
        <v>3294</v>
      </c>
      <c r="D34" s="11" t="s">
        <v>3295</v>
      </c>
      <c r="E34" s="11" t="s">
        <v>24</v>
      </c>
      <c r="F34" s="11"/>
      <c r="G34" s="11" t="s">
        <v>3200</v>
      </c>
      <c r="H34" s="11"/>
    </row>
    <row r="35" spans="1:8" s="5" customFormat="1">
      <c r="A35" s="506"/>
      <c r="B35" s="10" t="s">
        <v>3296</v>
      </c>
      <c r="C35" s="10" t="s">
        <v>3297</v>
      </c>
      <c r="D35" s="11" t="s">
        <v>3298</v>
      </c>
      <c r="E35" s="11" t="s">
        <v>24</v>
      </c>
      <c r="F35" s="11"/>
      <c r="G35" s="11" t="s">
        <v>3200</v>
      </c>
      <c r="H35" s="11"/>
    </row>
    <row r="36" spans="1:8" s="3" customFormat="1" ht="27" customHeight="1">
      <c r="A36" s="14" t="s">
        <v>3299</v>
      </c>
      <c r="B36" s="14" t="s">
        <v>3300</v>
      </c>
      <c r="C36" s="14"/>
      <c r="D36" s="14"/>
      <c r="E36" s="14"/>
      <c r="F36" s="14"/>
      <c r="G36" s="14"/>
      <c r="H36" s="14"/>
    </row>
  </sheetData>
  <mergeCells count="1">
    <mergeCell ref="A2:A35"/>
  </mergeCells>
  <phoneticPr fontId="2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23</vt:i4>
      </vt:variant>
      <vt:variant>
        <vt:lpstr>命名范围</vt:lpstr>
      </vt:variant>
      <vt:variant>
        <vt:i4>2</vt:i4>
      </vt:variant>
    </vt:vector>
  </HeadingPairs>
  <TitlesOfParts>
    <vt:vector size="25" baseType="lpstr">
      <vt:lpstr>设备参数数据表</vt:lpstr>
      <vt:lpstr>修订历史</vt:lpstr>
      <vt:lpstr>封面</vt:lpstr>
      <vt:lpstr>目录</vt:lpstr>
      <vt:lpstr>SA</vt:lpstr>
      <vt:lpstr>SB</vt:lpstr>
      <vt:lpstr>SC</vt:lpstr>
      <vt:lpstr>SD</vt:lpstr>
      <vt:lpstr>SE</vt:lpstr>
      <vt:lpstr>SF</vt:lpstr>
      <vt:lpstr>SG</vt:lpstr>
      <vt:lpstr>SH</vt:lpstr>
      <vt:lpstr>SI</vt:lpstr>
      <vt:lpstr>SJ</vt:lpstr>
      <vt:lpstr>SK</vt:lpstr>
      <vt:lpstr>SL</vt:lpstr>
      <vt:lpstr>SM</vt:lpstr>
      <vt:lpstr>SN</vt:lpstr>
      <vt:lpstr>SO</vt:lpstr>
      <vt:lpstr>SP</vt:lpstr>
      <vt:lpstr>SQ</vt:lpstr>
      <vt:lpstr>SR</vt:lpstr>
      <vt:lpstr>多实例参数Object个数读写属性</vt:lpstr>
      <vt:lpstr>SA!_Toc375818453</vt:lpstr>
      <vt:lpstr>SA!_Toc375818454</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cmcc</cp:lastModifiedBy>
  <cp:lastPrinted>2017-10-24T01:43:00Z</cp:lastPrinted>
  <dcterms:created xsi:type="dcterms:W3CDTF">2006-09-13T11:21:00Z</dcterms:created>
  <dcterms:modified xsi:type="dcterms:W3CDTF">2021-07-21T02:06:28Z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2052-11.1.0.10578</vt:lpwstr>
  </property>
  <property fmtid="{D5CDD505-2E9C-101B-9397-08002B2CF9AE}" pid="3" name="WorkbookGuid">
    <vt:lpwstr>561cec43-6236-4cab-bc88-14c0f4ba036c</vt:lpwstr>
  </property>
  <property fmtid="{D5CDD505-2E9C-101B-9397-08002B2CF9AE}" pid="4" name="ICV">
    <vt:lpwstr>62D2D51B75F14DF39246B179FE1547CA</vt:lpwstr>
  </property>
</Properties>
</file>