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6"/>
  <workbookPr codeName="ThisWorkbook"/>
  <bookViews>
    <workbookView xWindow="-110" yWindow="-110" windowWidth="19420" windowHeight="10420" tabRatio="737" firstSheet="1" activeTab="3"/>
  </bookViews>
  <sheets>
    <sheet name="设备参数数据表" sheetId="1" state="hidden" r:id="rId1"/>
    <sheet name="修订历史" sheetId="33" r:id="rId2"/>
    <sheet name="封面" sheetId="2" state="hidden" r:id="rId3"/>
    <sheet name="目录" sheetId="34" r:id="rId4"/>
    <sheet name="SA" sheetId="3" r:id="rId5"/>
    <sheet name="SB" sheetId="24" r:id="rId6"/>
    <sheet name="SC" sheetId="4" r:id="rId7"/>
    <sheet name="SD" sheetId="18" r:id="rId8"/>
    <sheet name="SE" sheetId="7" r:id="rId9"/>
    <sheet name="SF" sheetId="50" r:id="rId10"/>
    <sheet name="SG" sheetId="32" r:id="rId11"/>
    <sheet name="SH" sheetId="47" r:id="rId12"/>
    <sheet name="SI" sheetId="51" r:id="rId13"/>
    <sheet name="SJ" sheetId="45" r:id="rId14"/>
    <sheet name="SK" sheetId="20" r:id="rId15"/>
    <sheet name="SL" sheetId="35" r:id="rId16"/>
    <sheet name="SM" sheetId="15" r:id="rId17"/>
    <sheet name="SN" sheetId="43" r:id="rId18"/>
    <sheet name="SO" sheetId="26" r:id="rId19"/>
    <sheet name="SP" sheetId="8" r:id="rId20"/>
    <sheet name="SQ" sheetId="10" r:id="rId21"/>
    <sheet name="SR" sheetId="41" r:id="rId22"/>
    <sheet name="SS" sheetId="5" r:id="rId23"/>
    <sheet name="ST" sheetId="52" r:id="rId24"/>
    <sheet name="多实例参数Object个数读写属性" sheetId="36" r:id="rId25"/>
    <sheet name="北向资源映射" sheetId="53" r:id="rId26"/>
  </sheets>
  <definedNames>
    <definedName name="_xlnm._FilterDatabase" localSheetId="7" hidden="1">SD!$A$1:$KT$56</definedName>
    <definedName name="_xlnm._FilterDatabase" localSheetId="10" hidden="1">SG!$A$1:$AJ$32</definedName>
    <definedName name="_xlnm._FilterDatabase" localSheetId="16" hidden="1">SM!$B$1:$B$350</definedName>
    <definedName name="_xlnm._FilterDatabase" localSheetId="0" hidden="1">设备参数数据表!$A$2:$M$72</definedName>
    <definedName name="_Toc375818453" localSheetId="4">SA!#REF!</definedName>
    <definedName name="_Toc375818454" localSheetId="4">SA!#REF!</definedName>
    <definedName name="_Toc375818456" localSheetId="4">SA!#REF!</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R更新3"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R更新3"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R更新3"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R更新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123"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123"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123"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123"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25725"/>
</workbook>
</file>

<file path=xl/calcChain.xml><?xml version="1.0" encoding="utf-8"?>
<calcChain xmlns="http://schemas.openxmlformats.org/spreadsheetml/2006/main">
  <c r="G21" i="34"/>
  <c r="D13" l="1"/>
  <c r="D15"/>
  <c r="H15" s="1"/>
  <c r="E15"/>
  <c r="F15"/>
  <c r="G15"/>
  <c r="D8"/>
  <c r="E8"/>
  <c r="F8"/>
  <c r="G8"/>
  <c r="D2"/>
  <c r="D3"/>
  <c r="D4"/>
  <c r="D5"/>
  <c r="D6"/>
  <c r="D11"/>
  <c r="D12"/>
  <c r="D14"/>
  <c r="D22" s="1"/>
  <c r="D16"/>
  <c r="D17"/>
  <c r="D19"/>
  <c r="D20"/>
  <c r="E2"/>
  <c r="E3"/>
  <c r="E4"/>
  <c r="E5"/>
  <c r="E6"/>
  <c r="E11"/>
  <c r="E12"/>
  <c r="E13"/>
  <c r="E14"/>
  <c r="E16"/>
  <c r="E17"/>
  <c r="E18"/>
  <c r="F18"/>
  <c r="G18"/>
  <c r="E19"/>
  <c r="E20"/>
  <c r="E21"/>
  <c r="F2"/>
  <c r="F3"/>
  <c r="F4"/>
  <c r="F5"/>
  <c r="F6"/>
  <c r="F11"/>
  <c r="F12"/>
  <c r="F13"/>
  <c r="F14"/>
  <c r="F16"/>
  <c r="F17"/>
  <c r="F19"/>
  <c r="G19"/>
  <c r="F20"/>
  <c r="G2"/>
  <c r="G3"/>
  <c r="H3" s="1"/>
  <c r="G4"/>
  <c r="G5"/>
  <c r="G6"/>
  <c r="G11"/>
  <c r="G12"/>
  <c r="G13"/>
  <c r="G14"/>
  <c r="G16"/>
  <c r="G17"/>
  <c r="G20"/>
  <c r="H19" l="1"/>
  <c r="H6"/>
  <c r="H18"/>
  <c r="H8"/>
  <c r="H13"/>
  <c r="H17"/>
  <c r="H5"/>
  <c r="H4"/>
  <c r="H20"/>
  <c r="H2"/>
  <c r="H14"/>
  <c r="H21"/>
  <c r="H12"/>
  <c r="H16"/>
  <c r="E22"/>
  <c r="G22"/>
  <c r="F22"/>
  <c r="H11"/>
  <c r="H22" l="1"/>
</calcChain>
</file>

<file path=xl/comments1.xml><?xml version="1.0" encoding="utf-8"?>
<comments xmlns="http://schemas.openxmlformats.org/spreadsheetml/2006/main">
  <authors>
    <author>OAM</author>
  </authors>
  <commentList>
    <comment ref="J35" authorId="0">
      <text>
        <r>
          <rPr>
            <b/>
            <sz val="9"/>
            <rFont val="宋体"/>
            <family val="3"/>
            <charset val="134"/>
          </rPr>
          <t>HX:</t>
        </r>
        <r>
          <rPr>
            <sz val="9"/>
            <rFont val="宋体"/>
            <family val="3"/>
            <charset val="134"/>
          </rPr>
          <t xml:space="preserve">
100M带宽每个符号273个PRB</t>
        </r>
      </text>
    </comment>
  </commentList>
</comments>
</file>

<file path=xl/comments2.xml><?xml version="1.0" encoding="utf-8"?>
<comments xmlns="http://schemas.openxmlformats.org/spreadsheetml/2006/main">
  <authors>
    <author>刘震</author>
  </authors>
  <commentList>
    <comment ref="A2" authorId="0">
      <text>
        <r>
          <rPr>
            <b/>
            <sz val="9"/>
            <rFont val="宋体"/>
            <family val="3"/>
            <charset val="134"/>
          </rPr>
          <t>刘震</t>
        </r>
        <r>
          <rPr>
            <b/>
            <sz val="9"/>
            <rFont val="Tahoma"/>
            <family val="2"/>
          </rPr>
          <t>:</t>
        </r>
        <r>
          <rPr>
            <sz val="9"/>
            <rFont val="Tahoma"/>
            <family val="2"/>
          </rPr>
          <t xml:space="preserve">
</t>
        </r>
        <r>
          <rPr>
            <sz val="9"/>
            <rFont val="宋体"/>
            <family val="3"/>
            <charset val="134"/>
          </rPr>
          <t>参考</t>
        </r>
        <r>
          <rPr>
            <sz val="9"/>
            <rFont val="Tahoma"/>
            <family val="2"/>
          </rPr>
          <t>SIB3</t>
        </r>
        <r>
          <rPr>
            <sz val="9"/>
            <rFont val="宋体"/>
            <family val="3"/>
            <charset val="134"/>
          </rPr>
          <t>、</t>
        </r>
        <r>
          <rPr>
            <sz val="9"/>
            <rFont val="Tahoma"/>
            <family val="2"/>
          </rPr>
          <t>4</t>
        </r>
        <r>
          <rPr>
            <sz val="9"/>
            <rFont val="宋体"/>
            <family val="3"/>
            <charset val="134"/>
          </rPr>
          <t>和</t>
        </r>
        <r>
          <rPr>
            <sz val="9"/>
            <rFont val="Tahoma"/>
            <family val="2"/>
          </rPr>
          <t>OAM</t>
        </r>
        <r>
          <rPr>
            <sz val="9"/>
            <rFont val="宋体"/>
            <family val="3"/>
            <charset val="134"/>
          </rPr>
          <t>文档</t>
        </r>
      </text>
    </comment>
  </commentList>
</comments>
</file>

<file path=xl/comments3.xml><?xml version="1.0" encoding="utf-8"?>
<comments xmlns="http://schemas.openxmlformats.org/spreadsheetml/2006/main">
  <authors>
    <author>OAM</author>
  </authors>
  <commentList>
    <comment ref="J14" authorId="0">
      <text>
        <r>
          <rPr>
            <b/>
            <sz val="9"/>
            <rFont val="宋体"/>
            <family val="3"/>
            <charset val="134"/>
          </rPr>
          <t>HX:</t>
        </r>
        <r>
          <rPr>
            <sz val="9"/>
            <rFont val="宋体"/>
            <family val="3"/>
            <charset val="134"/>
          </rPr>
          <t xml:space="preserve">
100M带宽每个符号273个PRB</t>
        </r>
      </text>
    </comment>
  </commentList>
</comments>
</file>

<file path=xl/sharedStrings.xml><?xml version="1.0" encoding="utf-8"?>
<sst xmlns="http://schemas.openxmlformats.org/spreadsheetml/2006/main" count="11477" uniqueCount="4243">
  <si>
    <t>分类</t>
  </si>
  <si>
    <t>节点</t>
  </si>
  <si>
    <t>英文名称</t>
  </si>
  <si>
    <t>中文名称</t>
  </si>
  <si>
    <t>取值范围</t>
  </si>
  <si>
    <t>默认值</t>
  </si>
  <si>
    <t>类型</t>
  </si>
  <si>
    <t>OAM读写权限</t>
  </si>
  <si>
    <t>网管读写权限</t>
  </si>
  <si>
    <t>前置条件</t>
  </si>
  <si>
    <t>后置影响</t>
  </si>
  <si>
    <t>注意事项</t>
  </si>
  <si>
    <t>规范/厂家定义</t>
  </si>
  <si>
    <t>OAM/专业/系统</t>
  </si>
  <si>
    <t>专业</t>
  </si>
  <si>
    <t>（包括单位）</t>
  </si>
  <si>
    <t>专业写</t>
  </si>
  <si>
    <t>OAM/系统写</t>
  </si>
  <si>
    <t>专业/算法/系统</t>
  </si>
  <si>
    <t>填写参数的功能描述和特殊注意事项</t>
  </si>
  <si>
    <t>网管信息参数表</t>
  </si>
  <si>
    <t>IuhIpAddr</t>
  </si>
  <si>
    <t>AU板iuh口IP</t>
  </si>
  <si>
    <t>String(20)</t>
  </si>
  <si>
    <t>RW</t>
  </si>
  <si>
    <r>
      <rPr>
        <sz val="16"/>
        <color indexed="8"/>
        <rFont val="Times New Roman"/>
        <family val="1"/>
      </rPr>
      <t>AU</t>
    </r>
    <r>
      <rPr>
        <sz val="16"/>
        <color indexed="8"/>
        <rFont val="楷体_GB2312"/>
        <charset val="134"/>
      </rPr>
      <t>板</t>
    </r>
    <r>
      <rPr>
        <sz val="16"/>
        <color indexed="8"/>
        <rFont val="Times New Roman"/>
        <family val="1"/>
      </rPr>
      <t>iuh</t>
    </r>
    <r>
      <rPr>
        <sz val="16"/>
        <color indexed="8"/>
        <rFont val="楷体_GB2312"/>
        <charset val="134"/>
      </rPr>
      <t>口</t>
    </r>
    <r>
      <rPr>
        <sz val="16"/>
        <color indexed="8"/>
        <rFont val="Times New Roman"/>
        <family val="1"/>
      </rPr>
      <t>IP</t>
    </r>
    <r>
      <rPr>
        <sz val="16"/>
        <color indexed="8"/>
        <rFont val="楷体_GB2312"/>
        <charset val="134"/>
      </rPr>
      <t>，</t>
    </r>
    <r>
      <rPr>
        <sz val="16"/>
        <color indexed="8"/>
        <rFont val="Times New Roman"/>
        <family val="1"/>
      </rPr>
      <t>IP</t>
    </r>
    <r>
      <rPr>
        <sz val="16"/>
        <color indexed="8"/>
        <rFont val="楷体_GB2312"/>
        <charset val="134"/>
      </rPr>
      <t>协议层所使用的</t>
    </r>
    <r>
      <rPr>
        <sz val="16"/>
        <color indexed="8"/>
        <rFont val="Times New Roman"/>
        <family val="1"/>
      </rPr>
      <t>IP</t>
    </r>
    <r>
      <rPr>
        <sz val="16"/>
        <color indexed="8"/>
        <rFont val="楷体_GB2312"/>
        <charset val="134"/>
      </rPr>
      <t>。</t>
    </r>
  </si>
  <si>
    <t>IuhPort</t>
  </si>
  <si>
    <t>AU板iuh口port</t>
  </si>
  <si>
    <t>unsignedInt</t>
  </si>
  <si>
    <r>
      <rPr>
        <sz val="16"/>
        <color indexed="8"/>
        <rFont val="Times New Roman"/>
        <family val="1"/>
      </rPr>
      <t>AU</t>
    </r>
    <r>
      <rPr>
        <sz val="16"/>
        <color indexed="8"/>
        <rFont val="楷体_GB2312"/>
        <charset val="134"/>
      </rPr>
      <t>板</t>
    </r>
    <r>
      <rPr>
        <sz val="16"/>
        <color indexed="8"/>
        <rFont val="Times New Roman"/>
        <family val="1"/>
      </rPr>
      <t>iuh</t>
    </r>
    <r>
      <rPr>
        <sz val="16"/>
        <color indexed="8"/>
        <rFont val="楷体_GB2312"/>
        <charset val="134"/>
      </rPr>
      <t>口</t>
    </r>
    <r>
      <rPr>
        <sz val="16"/>
        <color indexed="8"/>
        <rFont val="Times New Roman"/>
        <family val="1"/>
      </rPr>
      <t>port</t>
    </r>
    <r>
      <rPr>
        <sz val="16"/>
        <color indexed="8"/>
        <rFont val="楷体_GB2312"/>
        <charset val="134"/>
      </rPr>
      <t>。</t>
    </r>
  </si>
  <si>
    <t>不在网管上显示</t>
  </si>
  <si>
    <t>SrcIpAddr</t>
  </si>
  <si>
    <t>AU板上层源ip</t>
  </si>
  <si>
    <t>String</t>
  </si>
  <si>
    <r>
      <rPr>
        <sz val="16"/>
        <color indexed="8"/>
        <rFont val="Times New Roman"/>
        <family val="1"/>
      </rPr>
      <t>AU</t>
    </r>
    <r>
      <rPr>
        <sz val="16"/>
        <color indexed="8"/>
        <rFont val="楷体_GB2312"/>
        <charset val="134"/>
      </rPr>
      <t>板上层源</t>
    </r>
    <r>
      <rPr>
        <sz val="16"/>
        <color indexed="8"/>
        <rFont val="Times New Roman"/>
        <family val="1"/>
      </rPr>
      <t>ip</t>
    </r>
    <r>
      <rPr>
        <sz val="16"/>
        <color indexed="8"/>
        <rFont val="楷体_GB2312"/>
        <charset val="134"/>
      </rPr>
      <t>。未有用到。</t>
    </r>
  </si>
  <si>
    <t>SrcPort</t>
  </si>
  <si>
    <t>AU板上层源port</t>
  </si>
  <si>
    <r>
      <rPr>
        <sz val="16"/>
        <color indexed="8"/>
        <rFont val="Times New Roman"/>
        <family val="1"/>
      </rPr>
      <t>AU</t>
    </r>
    <r>
      <rPr>
        <sz val="16"/>
        <color indexed="8"/>
        <rFont val="楷体_GB2312"/>
        <charset val="134"/>
      </rPr>
      <t>板上层源</t>
    </r>
    <r>
      <rPr>
        <sz val="16"/>
        <color indexed="8"/>
        <rFont val="Times New Roman"/>
        <family val="1"/>
      </rPr>
      <t>port</t>
    </r>
    <r>
      <rPr>
        <sz val="16"/>
        <color indexed="8"/>
        <rFont val="楷体_GB2312"/>
        <charset val="134"/>
      </rPr>
      <t>，未有用到。</t>
    </r>
  </si>
  <si>
    <t>FapAddr1</t>
  </si>
  <si>
    <t>GU网关ip</t>
  </si>
  <si>
    <r>
      <rPr>
        <sz val="16"/>
        <color indexed="8"/>
        <rFont val="Times New Roman"/>
        <family val="1"/>
      </rPr>
      <t>GU</t>
    </r>
    <r>
      <rPr>
        <sz val="16"/>
        <color indexed="8"/>
        <rFont val="楷体_GB2312"/>
        <charset val="134"/>
      </rPr>
      <t>网关</t>
    </r>
    <r>
      <rPr>
        <sz val="16"/>
        <color indexed="8"/>
        <rFont val="Times New Roman"/>
        <family val="1"/>
      </rPr>
      <t xml:space="preserve">ip </t>
    </r>
    <r>
      <rPr>
        <sz val="16"/>
        <color indexed="8"/>
        <rFont val="楷体_GB2312"/>
        <charset val="134"/>
      </rPr>
      <t>一</t>
    </r>
  </si>
  <si>
    <t>FapAddr2</t>
  </si>
  <si>
    <r>
      <rPr>
        <sz val="16"/>
        <color indexed="8"/>
        <rFont val="Times New Roman"/>
        <family val="1"/>
      </rPr>
      <t>GU</t>
    </r>
    <r>
      <rPr>
        <sz val="16"/>
        <color indexed="8"/>
        <rFont val="楷体_GB2312"/>
        <charset val="134"/>
      </rPr>
      <t>网关</t>
    </r>
    <r>
      <rPr>
        <sz val="16"/>
        <color indexed="8"/>
        <rFont val="Times New Roman"/>
        <family val="1"/>
      </rPr>
      <t xml:space="preserve">ip </t>
    </r>
    <r>
      <rPr>
        <sz val="16"/>
        <color indexed="8"/>
        <rFont val="楷体_GB2312"/>
        <charset val="134"/>
      </rPr>
      <t>二（未有用到）</t>
    </r>
  </si>
  <si>
    <t>FapAddr3</t>
  </si>
  <si>
    <r>
      <rPr>
        <sz val="16"/>
        <color indexed="8"/>
        <rFont val="Times New Roman"/>
        <family val="1"/>
      </rPr>
      <t>GU</t>
    </r>
    <r>
      <rPr>
        <sz val="16"/>
        <color indexed="8"/>
        <rFont val="楷体_GB2312"/>
        <charset val="134"/>
      </rPr>
      <t>网关</t>
    </r>
    <r>
      <rPr>
        <sz val="16"/>
        <color indexed="8"/>
        <rFont val="Times New Roman"/>
        <family val="1"/>
      </rPr>
      <t xml:space="preserve">ip </t>
    </r>
    <r>
      <rPr>
        <sz val="16"/>
        <color indexed="8"/>
        <rFont val="楷体_GB2312"/>
        <charset val="134"/>
      </rPr>
      <t>三（未有用到）</t>
    </r>
  </si>
  <si>
    <t>SecIpAddr1</t>
  </si>
  <si>
    <t>安全网关ip1</t>
  </si>
  <si>
    <r>
      <rPr>
        <sz val="16"/>
        <color indexed="8"/>
        <rFont val="楷体_GB2312"/>
        <charset val="134"/>
      </rPr>
      <t>安全网关</t>
    </r>
    <r>
      <rPr>
        <sz val="16"/>
        <color indexed="8"/>
        <rFont val="Times New Roman"/>
        <family val="1"/>
      </rPr>
      <t>ip</t>
    </r>
    <r>
      <rPr>
        <sz val="16"/>
        <color indexed="8"/>
        <rFont val="楷体_GB2312"/>
        <charset val="134"/>
      </rPr>
      <t>一。</t>
    </r>
  </si>
  <si>
    <t>SecIpAddr2</t>
  </si>
  <si>
    <t>安全网关ip2</t>
  </si>
  <si>
    <r>
      <rPr>
        <sz val="16"/>
        <color indexed="8"/>
        <rFont val="楷体_GB2312"/>
        <charset val="134"/>
      </rPr>
      <t>安全网关</t>
    </r>
    <r>
      <rPr>
        <sz val="16"/>
        <color indexed="8"/>
        <rFont val="Times New Roman"/>
        <family val="1"/>
      </rPr>
      <t>ip</t>
    </r>
    <r>
      <rPr>
        <sz val="16"/>
        <color indexed="8"/>
        <rFont val="楷体_GB2312"/>
        <charset val="134"/>
      </rPr>
      <t>二（未有用到）</t>
    </r>
  </si>
  <si>
    <t>SecIpAddr3</t>
  </si>
  <si>
    <t>安全网关ip3</t>
  </si>
  <si>
    <r>
      <rPr>
        <sz val="16"/>
        <color indexed="8"/>
        <rFont val="楷体_GB2312"/>
        <charset val="134"/>
      </rPr>
      <t>安全网关</t>
    </r>
    <r>
      <rPr>
        <sz val="16"/>
        <color indexed="8"/>
        <rFont val="Times New Roman"/>
        <family val="1"/>
      </rPr>
      <t>ip</t>
    </r>
    <r>
      <rPr>
        <sz val="16"/>
        <color indexed="8"/>
        <rFont val="楷体_GB2312"/>
        <charset val="134"/>
      </rPr>
      <t>三（未有用到）</t>
    </r>
  </si>
  <si>
    <t>Seckey</t>
  </si>
  <si>
    <t>安全网关建立密钥</t>
  </si>
  <si>
    <t>String(64)</t>
  </si>
  <si>
    <t>R</t>
  </si>
  <si>
    <t>SecUseImsi</t>
  </si>
  <si>
    <t>建立安全网关imsi</t>
  </si>
  <si>
    <t>String(16)</t>
  </si>
  <si>
    <r>
      <rPr>
        <sz val="16"/>
        <color indexed="8"/>
        <rFont val="楷体_GB2312"/>
        <charset val="134"/>
      </rPr>
      <t>建立安全网关</t>
    </r>
    <r>
      <rPr>
        <sz val="16"/>
        <color indexed="8"/>
        <rFont val="Times New Roman"/>
        <family val="1"/>
      </rPr>
      <t>imsi</t>
    </r>
  </si>
  <si>
    <t>FapPort</t>
  </si>
  <si>
    <t>GU网关port</t>
  </si>
  <si>
    <t>0~4294967295</t>
  </si>
  <si>
    <t>29169</t>
  </si>
  <si>
    <r>
      <rPr>
        <sz val="16"/>
        <color indexed="8"/>
        <rFont val="Times New Roman"/>
        <family val="1"/>
      </rPr>
      <t>GU</t>
    </r>
    <r>
      <rPr>
        <sz val="16"/>
        <color indexed="8"/>
        <rFont val="楷体_GB2312"/>
        <charset val="134"/>
      </rPr>
      <t>网关</t>
    </r>
    <r>
      <rPr>
        <sz val="16"/>
        <color indexed="8"/>
        <rFont val="Times New Roman"/>
        <family val="1"/>
      </rPr>
      <t>port</t>
    </r>
    <r>
      <rPr>
        <sz val="16"/>
        <color indexed="8"/>
        <rFont val="楷体_GB2312"/>
        <charset val="134"/>
      </rPr>
      <t>。</t>
    </r>
  </si>
  <si>
    <t>IpSecStartAllowedInd</t>
  </si>
  <si>
    <t>IPSec是否启动开关</t>
  </si>
  <si>
    <t>true、false</t>
  </si>
  <si>
    <t>true</t>
  </si>
  <si>
    <t>boolean</t>
  </si>
  <si>
    <t xml:space="preserve">IpSec开关。
取值false：关闭Ipsec功能
取值true：打开Ipsec功能
</t>
  </si>
  <si>
    <t>IpSecRekeyTime</t>
  </si>
  <si>
    <t>ipSec rekey时间</t>
  </si>
  <si>
    <t>0~4294967295(分钟）</t>
  </si>
  <si>
    <t>80000</t>
  </si>
  <si>
    <r>
      <rPr>
        <sz val="16"/>
        <color indexed="8"/>
        <rFont val="Times New Roman"/>
        <family val="1"/>
      </rPr>
      <t>IpSec</t>
    </r>
    <r>
      <rPr>
        <sz val="16"/>
        <color indexed="8"/>
        <rFont val="楷体_GB2312"/>
        <charset val="134"/>
      </rPr>
      <t>重协商时间。单位：分钟</t>
    </r>
  </si>
  <si>
    <t>IpSecSaLifetime</t>
  </si>
  <si>
    <t>IPSec SA的生命周期</t>
  </si>
  <si>
    <t>0~4294967295（秒）</t>
  </si>
  <si>
    <t>30</t>
  </si>
  <si>
    <t>IPSec SA的生命周期。单位：秒</t>
  </si>
  <si>
    <t>IpSecLivenessTimeInterval</t>
  </si>
  <si>
    <t>liveness时间间隔</t>
  </si>
  <si>
    <r>
      <rPr>
        <sz val="16"/>
        <color indexed="8"/>
        <rFont val="Times New Roman"/>
        <family val="1"/>
      </rPr>
      <t>liveness</t>
    </r>
    <r>
      <rPr>
        <sz val="16"/>
        <color indexed="8"/>
        <rFont val="楷体_GB2312"/>
        <charset val="134"/>
      </rPr>
      <t>时间间隔。</t>
    </r>
  </si>
  <si>
    <t>FapPcSocketIpAddr</t>
  </si>
  <si>
    <t>调试日志放置设备IP</t>
  </si>
  <si>
    <r>
      <rPr>
        <sz val="16"/>
        <color indexed="8"/>
        <rFont val="楷体_GB2312"/>
        <charset val="134"/>
      </rPr>
      <t>调试日志放置设备</t>
    </r>
    <r>
      <rPr>
        <sz val="16"/>
        <color indexed="8"/>
        <rFont val="Times New Roman"/>
        <family val="1"/>
      </rPr>
      <t>IP</t>
    </r>
    <r>
      <rPr>
        <sz val="16"/>
        <color indexed="8"/>
        <rFont val="楷体_GB2312"/>
        <charset val="134"/>
      </rPr>
      <t>（调试电脑）</t>
    </r>
  </si>
  <si>
    <t>FapPcSocketPort</t>
  </si>
  <si>
    <t>调试日志放置设备端口</t>
  </si>
  <si>
    <t>调试日志放置设备端口（调试电脑）</t>
  </si>
  <si>
    <t>RealIpAddrToPing</t>
  </si>
  <si>
    <t>用于ping功能的真实站点IpAddr</t>
  </si>
  <si>
    <r>
      <rPr>
        <sz val="16"/>
        <color indexed="8"/>
        <rFont val="楷体_GB2312"/>
        <charset val="134"/>
      </rPr>
      <t>用于</t>
    </r>
    <r>
      <rPr>
        <sz val="16"/>
        <color indexed="8"/>
        <rFont val="Times New Roman"/>
        <family val="1"/>
      </rPr>
      <t>ping</t>
    </r>
    <r>
      <rPr>
        <sz val="16"/>
        <color indexed="8"/>
        <rFont val="楷体_GB2312"/>
        <charset val="134"/>
      </rPr>
      <t>功能的真实站点</t>
    </r>
    <r>
      <rPr>
        <sz val="16"/>
        <color indexed="8"/>
        <rFont val="Times New Roman"/>
        <family val="1"/>
      </rPr>
      <t>IpAddr</t>
    </r>
  </si>
  <si>
    <t>GateWaySupported</t>
  </si>
  <si>
    <t>指示当前所要连接的网关能力</t>
  </si>
  <si>
    <t xml:space="preserve">用于指示当前所要连接的网关能力
取值0：网关支持E1+Surf
取值1：网关支持STM-1+ATCA9100
取值2：网关支持AoIP
</t>
  </si>
  <si>
    <t>Mode</t>
  </si>
  <si>
    <r>
      <rPr>
        <sz val="16"/>
        <color indexed="8"/>
        <rFont val="宋体"/>
        <family val="3"/>
        <charset val="134"/>
      </rPr>
      <t>认证模式</t>
    </r>
  </si>
  <si>
    <t>0~2</t>
  </si>
  <si>
    <t>int</t>
  </si>
  <si>
    <r>
      <rPr>
        <sz val="16"/>
        <color indexed="8"/>
        <rFont val="Times New Roman"/>
        <family val="1"/>
      </rPr>
      <t>mode</t>
    </r>
    <r>
      <rPr>
        <sz val="16"/>
        <color indexed="8"/>
        <rFont val="宋体"/>
        <family val="3"/>
        <charset val="134"/>
      </rPr>
      <t>为</t>
    </r>
    <r>
      <rPr>
        <sz val="16"/>
        <color indexed="8"/>
        <rFont val="Times New Roman"/>
        <family val="1"/>
      </rPr>
      <t>0,</t>
    </r>
    <r>
      <rPr>
        <sz val="16"/>
        <color indexed="8"/>
        <rFont val="宋体"/>
        <family val="3"/>
        <charset val="134"/>
      </rPr>
      <t>为</t>
    </r>
    <r>
      <rPr>
        <sz val="16"/>
        <color indexed="8"/>
        <rFont val="Times New Roman"/>
        <family val="1"/>
      </rPr>
      <t>PSK</t>
    </r>
    <r>
      <rPr>
        <sz val="16"/>
        <color indexed="8"/>
        <rFont val="宋体"/>
        <family val="3"/>
        <charset val="134"/>
      </rPr>
      <t>认证，</t>
    </r>
    <r>
      <rPr>
        <sz val="16"/>
        <color indexed="8"/>
        <rFont val="Times New Roman"/>
        <family val="1"/>
      </rPr>
      <t>mode</t>
    </r>
    <r>
      <rPr>
        <sz val="16"/>
        <color indexed="8"/>
        <rFont val="宋体"/>
        <family val="3"/>
        <charset val="134"/>
      </rPr>
      <t>为</t>
    </r>
    <r>
      <rPr>
        <sz val="16"/>
        <color indexed="8"/>
        <rFont val="Times New Roman"/>
        <family val="1"/>
      </rPr>
      <t>1</t>
    </r>
    <r>
      <rPr>
        <sz val="16"/>
        <color indexed="8"/>
        <rFont val="宋体"/>
        <family val="3"/>
        <charset val="134"/>
      </rPr>
      <t>为</t>
    </r>
    <r>
      <rPr>
        <sz val="16"/>
        <color indexed="8"/>
        <rFont val="Times New Roman"/>
        <family val="1"/>
      </rPr>
      <t>usim</t>
    </r>
    <r>
      <rPr>
        <sz val="16"/>
        <color indexed="8"/>
        <rFont val="宋体"/>
        <family val="3"/>
        <charset val="134"/>
      </rPr>
      <t>卡认证，</t>
    </r>
    <r>
      <rPr>
        <sz val="16"/>
        <color indexed="8"/>
        <rFont val="Times New Roman"/>
        <family val="1"/>
      </rPr>
      <t>mode</t>
    </r>
    <r>
      <rPr>
        <sz val="16"/>
        <color indexed="8"/>
        <rFont val="宋体"/>
        <family val="3"/>
        <charset val="134"/>
      </rPr>
      <t>为</t>
    </r>
    <r>
      <rPr>
        <sz val="16"/>
        <color indexed="8"/>
        <rFont val="Times New Roman"/>
        <family val="1"/>
      </rPr>
      <t>2</t>
    </r>
    <r>
      <rPr>
        <sz val="16"/>
        <color indexed="8"/>
        <rFont val="宋体"/>
        <family val="3"/>
        <charset val="134"/>
      </rPr>
      <t>为</t>
    </r>
    <r>
      <rPr>
        <sz val="16"/>
        <color indexed="8"/>
        <rFont val="Times New Roman"/>
        <family val="1"/>
      </rPr>
      <t>sim</t>
    </r>
    <r>
      <rPr>
        <sz val="16"/>
        <color indexed="8"/>
        <rFont val="宋体"/>
        <family val="3"/>
        <charset val="134"/>
      </rPr>
      <t>卡证（预留），</t>
    </r>
    <r>
      <rPr>
        <sz val="16"/>
        <color indexed="8"/>
        <rFont val="Times New Roman"/>
        <family val="1"/>
      </rPr>
      <t>-1</t>
    </r>
    <r>
      <rPr>
        <sz val="16"/>
        <color indexed="8"/>
        <rFont val="宋体"/>
        <family val="3"/>
        <charset val="134"/>
      </rPr>
      <t>为非法值，</t>
    </r>
    <r>
      <rPr>
        <sz val="16"/>
        <color indexed="8"/>
        <rFont val="Times New Roman"/>
        <family val="1"/>
      </rPr>
      <t>mode</t>
    </r>
    <r>
      <rPr>
        <sz val="16"/>
        <color indexed="8"/>
        <rFont val="宋体"/>
        <family val="3"/>
        <charset val="134"/>
      </rPr>
      <t>为其它值暂时保留</t>
    </r>
  </si>
  <si>
    <t>公共参数表</t>
  </si>
  <si>
    <t>AuId</t>
  </si>
  <si>
    <t>AU注册是使用的基站Id</t>
  </si>
  <si>
    <t>0~65535</t>
  </si>
  <si>
    <t xml:space="preserve">AU注册是使用的基站Id。
取值范围：0~65535
</t>
  </si>
  <si>
    <t>A50</t>
  </si>
  <si>
    <t>是否支持A5_0类型加密</t>
  </si>
  <si>
    <t xml:space="preserve">物理层是否支持A5_0类型加密。
取值false：不支持
取值true：支持
</t>
  </si>
  <si>
    <t>A51</t>
  </si>
  <si>
    <t>是否支持A5_1类型加密</t>
  </si>
  <si>
    <t xml:space="preserve">物理层是否支持A5_1类型加密。
取值false：不支持
取值true：支持
</t>
  </si>
  <si>
    <t>A52</t>
  </si>
  <si>
    <t>是否支持A5_2类型加密</t>
  </si>
  <si>
    <t xml:space="preserve">物理层是否支持A5_2类型加密。
取值false：不支持
取值true：支持
</t>
  </si>
  <si>
    <t>A53</t>
  </si>
  <si>
    <t>是否支持A5_3类型加密</t>
  </si>
  <si>
    <t xml:space="preserve">物理层是否支持A5_3类型加密。
取值false：不支持
取值true：支持
</t>
  </si>
  <si>
    <t>A54</t>
  </si>
  <si>
    <t>是否支持A5_4类型加密</t>
  </si>
  <si>
    <t>false</t>
  </si>
  <si>
    <t xml:space="preserve">物理层是否支持A5_4类型加密。
取值false：不支持
取值true：支持
</t>
  </si>
  <si>
    <t>A55</t>
  </si>
  <si>
    <t>是否支持A5_5类型加密</t>
  </si>
  <si>
    <t xml:space="preserve">物理层是否支持A5_5类型加密。
取值false：不支持
取值true：支持
</t>
  </si>
  <si>
    <t>A56</t>
  </si>
  <si>
    <t>是否支持A5_6类型加密</t>
  </si>
  <si>
    <t xml:space="preserve">物理层是否支持A5_6类型加密。
取值false：不支持
取值true：支持
</t>
  </si>
  <si>
    <t>A57</t>
  </si>
  <si>
    <t>是否支持A5_7类型加密</t>
  </si>
  <si>
    <t xml:space="preserve">物理层是否支持A5_7类型加密。
取值false：不支持
取值true：支持
</t>
  </si>
  <si>
    <t>AuUserAccessMax</t>
  </si>
  <si>
    <t>户型允许接入的用户数上限</t>
  </si>
  <si>
    <t xml:space="preserve">根据户型允许接入的用户数上限。
该参数上层暂时未有使用，保留。
</t>
  </si>
  <si>
    <t>AuAlowPwrMax</t>
  </si>
  <si>
    <t>户型允许最大发射功率</t>
  </si>
  <si>
    <t xml:space="preserve">根据户型允许最大发射功率
该参数上层暂时未有使用，保留。
</t>
  </si>
  <si>
    <t>LogTotalSize</t>
  </si>
  <si>
    <t>单个日志文件大小</t>
  </si>
  <si>
    <t>0~4294967295(KByte)</t>
  </si>
  <si>
    <t>3*1024</t>
  </si>
  <si>
    <t>日志文件的总大小，以1k Byte为单位</t>
  </si>
  <si>
    <t>LogTxtNumberMax</t>
  </si>
  <si>
    <t>同类型日志文件存储最大文件个数</t>
  </si>
  <si>
    <t xml:space="preserve">同类型日志文件存储最大文件个数。
该参数上层暂时未有使用，保留。
</t>
  </si>
  <si>
    <t>LogOutputLevel</t>
  </si>
  <si>
    <t>日志输出类型</t>
  </si>
  <si>
    <t>0~4</t>
  </si>
  <si>
    <t>1</t>
  </si>
  <si>
    <t xml:space="preserve">日志输出级别。
取值范围：0~4
取值0：DEBUG
取值1：INFO
取值2：TRACE
取值3：WARN
取值4：ERROR
</t>
  </si>
  <si>
    <t>AuProductType</t>
  </si>
  <si>
    <t>Au产品类型</t>
  </si>
  <si>
    <t xml:space="preserve">Au产品类型,取值范围：0~3
取值0：普通型原型机产品
取值1：企业级大容量产品
取值2：企业级eNB 3+1产品
取值3：普通型降成本产品
</t>
  </si>
  <si>
    <t>AuRfWorkBandCapability</t>
  </si>
  <si>
    <r>
      <rPr>
        <sz val="16"/>
        <color indexed="8"/>
        <rFont val="宋体"/>
        <family val="3"/>
        <charset val="134"/>
      </rPr>
      <t>基站射频支持的工作频段能力</t>
    </r>
  </si>
  <si>
    <t>0~3</t>
  </si>
  <si>
    <t>0</t>
  </si>
  <si>
    <t xml:space="preserve">基站射频支持的工作频段能力，取值范围：0~3
取值0：基站支持1800工作频段
取值1：基站支持900工作频段
取值2：基站支持900E工作频段
取值3：基站支持1900工作频段
</t>
  </si>
  <si>
    <t>auRtpMultiplexInd</t>
  </si>
  <si>
    <r>
      <rPr>
        <sz val="16"/>
        <color indexed="8"/>
        <rFont val="宋体"/>
        <family val="3"/>
        <charset val="134"/>
      </rPr>
      <t>基站是否支持</t>
    </r>
    <r>
      <rPr>
        <sz val="16"/>
        <color indexed="8"/>
        <rFont val="Times New Roman"/>
        <family val="1"/>
      </rPr>
      <t>rtp</t>
    </r>
    <r>
      <rPr>
        <sz val="16"/>
        <color indexed="8"/>
        <rFont val="宋体"/>
        <family val="3"/>
        <charset val="134"/>
      </rPr>
      <t>复用</t>
    </r>
  </si>
  <si>
    <t xml:space="preserve">基站是否支持rtp复用
取值范围：0和1
0代表不支持
1代表支持
</t>
  </si>
  <si>
    <t>接入管理</t>
  </si>
  <si>
    <t>AccMode</t>
  </si>
  <si>
    <t>标识AU接入模式</t>
  </si>
  <si>
    <t>2</t>
  </si>
  <si>
    <t xml:space="preserve">标识AU接入模式。
取值范围：0、1、2
取值0：白名单有效；
取值1：是黑名单有效；
取值2：黑白名单都无效
</t>
  </si>
  <si>
    <t>NonCSGAccDecision</t>
  </si>
  <si>
    <t>判断非CSG模式的UE接入</t>
  </si>
  <si>
    <t>CsgMembershipDeterminedLocally</t>
  </si>
  <si>
    <t>判断CSG模式的UE接入</t>
  </si>
  <si>
    <t>HnbIdentifier</t>
  </si>
  <si>
    <r>
      <rPr>
        <sz val="16"/>
        <color indexed="8"/>
        <rFont val="宋体"/>
        <family val="3"/>
        <charset val="134"/>
      </rPr>
      <t>广播</t>
    </r>
    <r>
      <rPr>
        <sz val="16"/>
        <rFont val="Times New Roman"/>
        <family val="1"/>
      </rPr>
      <t>HomeNodeBIdentifier</t>
    </r>
  </si>
  <si>
    <t>HomeZoneName</t>
  </si>
  <si>
    <t>运营商定义的ASCII字符串</t>
  </si>
  <si>
    <t>MaxConcurrentCSGUsers</t>
  </si>
  <si>
    <t>同时接入FAP的CSG可能用户的最大数</t>
  </si>
  <si>
    <t>CsgId</t>
  </si>
  <si>
    <t>封闭用户组的接入控制列表</t>
  </si>
  <si>
    <t>AccessControlList</t>
  </si>
  <si>
    <t>白名单IMSI列表</t>
  </si>
  <si>
    <t>String(1024)</t>
  </si>
  <si>
    <r>
      <rPr>
        <sz val="16"/>
        <color indexed="8"/>
        <rFont val="楷体_GB2312"/>
        <charset val="134"/>
      </rPr>
      <t>接入控制表</t>
    </r>
    <r>
      <rPr>
        <sz val="16"/>
        <color indexed="8"/>
        <rFont val="Times New Roman"/>
        <family val="1"/>
      </rPr>
      <t>ACL.</t>
    </r>
    <r>
      <rPr>
        <sz val="16"/>
        <color indexed="8"/>
        <rFont val="楷体_GB2312"/>
        <charset val="134"/>
      </rPr>
      <t>用逗号分隔的</t>
    </r>
    <r>
      <rPr>
        <sz val="16"/>
        <color indexed="8"/>
        <rFont val="Times New Roman"/>
        <family val="1"/>
      </rPr>
      <t>IMSI</t>
    </r>
    <r>
      <rPr>
        <sz val="16"/>
        <color indexed="8"/>
        <rFont val="楷体_GB2312"/>
        <charset val="134"/>
      </rPr>
      <t>列表</t>
    </r>
    <r>
      <rPr>
        <sz val="16"/>
        <color indexed="8"/>
        <rFont val="Times New Roman"/>
        <family val="1"/>
      </rPr>
      <t>,</t>
    </r>
    <r>
      <rPr>
        <sz val="16"/>
        <color indexed="8"/>
        <rFont val="楷体_GB2312"/>
        <charset val="134"/>
      </rPr>
      <t>每个</t>
    </r>
    <r>
      <rPr>
        <sz val="16"/>
        <color indexed="8"/>
        <rFont val="Times New Roman"/>
        <family val="1"/>
      </rPr>
      <t>IMSI</t>
    </r>
    <r>
      <rPr>
        <sz val="16"/>
        <color indexed="8"/>
        <rFont val="楷体_GB2312"/>
        <charset val="134"/>
      </rPr>
      <t>最多可以有</t>
    </r>
    <r>
      <rPr>
        <sz val="16"/>
        <color indexed="8"/>
        <rFont val="Times New Roman"/>
        <family val="1"/>
      </rPr>
      <t>15</t>
    </r>
    <r>
      <rPr>
        <sz val="16"/>
        <color indexed="8"/>
        <rFont val="楷体_GB2312"/>
        <charset val="134"/>
      </rPr>
      <t>个数字</t>
    </r>
  </si>
  <si>
    <t>BlackControlList</t>
  </si>
  <si>
    <t>黑名单IMSI列表</t>
  </si>
  <si>
    <t>MaxMemberDetailEntries</t>
  </si>
  <si>
    <t>maxMemberDetailEntries</t>
  </si>
  <si>
    <t>MemberDetailNumberOfEntries</t>
  </si>
  <si>
    <t>memberDetailNumberOfEntries</t>
  </si>
  <si>
    <t>UE状态管理参数（欢迎短信）</t>
  </si>
  <si>
    <t>PeriodicUploadEnable</t>
  </si>
  <si>
    <t>周期性上传UE注册信息</t>
  </si>
  <si>
    <t>UploadURL</t>
  </si>
  <si>
    <t>周期上传的URL路径</t>
  </si>
  <si>
    <t>UserName</t>
  </si>
  <si>
    <t>周期上传连接的用户名</t>
  </si>
  <si>
    <t>PassWord</t>
  </si>
  <si>
    <t>周期上传连接的密码</t>
  </si>
  <si>
    <t>PeriodicUploadIntervall</t>
  </si>
  <si>
    <t>周期上传的间隔</t>
  </si>
  <si>
    <t>PeriodicUploadTime</t>
  </si>
  <si>
    <t>周期性上传的时间</t>
  </si>
  <si>
    <t>SmsPeriod</t>
  </si>
  <si>
    <t>欢迎短信发送间隔周期</t>
  </si>
  <si>
    <t>0~72(小时）</t>
  </si>
  <si>
    <t>24</t>
  </si>
  <si>
    <t xml:space="preserve">欢迎短信发送间隔周期，以小时为单位。
取值范围：0~72小时
</t>
  </si>
  <si>
    <t>SendSMSType</t>
  </si>
  <si>
    <t>控制FAP广播短信(是否发送欢迎短信标志)</t>
  </si>
  <si>
    <t xml:space="preserve">是否发送欢迎短信标志，False不发送欢迎短信，欢迎短信开关。
取值true：发送欢迎短信
取值false：不发送欢迎短信
</t>
  </si>
  <si>
    <t>SmsInform</t>
  </si>
  <si>
    <t>FAP广播短信内容</t>
  </si>
  <si>
    <t>String(640)</t>
  </si>
  <si>
    <t>欢迎短信内容，最多140字，2条短信内容，如是符号需用转义字符（如短号用\0表示），遇’\0’结束。</t>
  </si>
  <si>
    <t>SmsSenderNumber</t>
  </si>
  <si>
    <t>短信发送主叫号码</t>
  </si>
  <si>
    <t>String(32)</t>
  </si>
  <si>
    <t>欢迎短信所显示的发送方号码，如10086，遇’\0’结束。</t>
  </si>
  <si>
    <t>将广播HomeNodeBIdentifier，供UE显示</t>
  </si>
  <si>
    <t>家庭区域名称.运营商定义的ASCII字符串</t>
  </si>
  <si>
    <t>整个结构体都不显示在网管上</t>
  </si>
  <si>
    <t>网关连接状态参数表</t>
  </si>
  <si>
    <t>设备参数表</t>
  </si>
  <si>
    <t>接入控制参数表</t>
  </si>
  <si>
    <t>NTP时间同步参数</t>
  </si>
  <si>
    <t>解广播参数</t>
  </si>
  <si>
    <t>版本</t>
  </si>
  <si>
    <t>日期</t>
  </si>
  <si>
    <t>修订内容</t>
  </si>
  <si>
    <t>修订人</t>
  </si>
  <si>
    <t>v1.0.0</t>
  </si>
  <si>
    <t>创建初稿</t>
  </si>
  <si>
    <t>v1.1.0.1</t>
  </si>
  <si>
    <t>TD-LTE NanoCell南向数据配置模型规范(推荐版)</t>
  </si>
  <si>
    <t>概述（详细问题请查阅正文内容）：</t>
  </si>
  <si>
    <t>文档适应的产品</t>
  </si>
  <si>
    <t>移动 NanoCell</t>
  </si>
  <si>
    <t>文档详细信息</t>
  </si>
  <si>
    <t>作者</t>
  </si>
  <si>
    <t>时间</t>
  </si>
  <si>
    <t>来源</t>
  </si>
  <si>
    <t>注释</t>
  </si>
  <si>
    <t>TD-LTE NanoCell网管数据模型规范(初稿)</t>
  </si>
  <si>
    <t>首发</t>
  </si>
  <si>
    <t>京信团队</t>
  </si>
  <si>
    <t>京信通信系统（广州）有限公司</t>
  </si>
  <si>
    <t>索引</t>
  </si>
  <si>
    <t>参数管理类别</t>
  </si>
  <si>
    <t>参数管理说明</t>
  </si>
  <si>
    <t>A类属性数</t>
  </si>
  <si>
    <t>CA类属性数</t>
  </si>
  <si>
    <t>CB类属性数</t>
  </si>
  <si>
    <t>小计</t>
  </si>
  <si>
    <t>SA</t>
  </si>
  <si>
    <t>设备信息参数管理</t>
  </si>
  <si>
    <t>SB</t>
  </si>
  <si>
    <t>SoftwareCtrl</t>
  </si>
  <si>
    <t>软件版本参数管理</t>
  </si>
  <si>
    <t>SC</t>
  </si>
  <si>
    <t>ManagementServer</t>
  </si>
  <si>
    <t>基站网管参数管理</t>
  </si>
  <si>
    <t>SD</t>
  </si>
  <si>
    <t>FaultMgmt</t>
  </si>
  <si>
    <t>告警参数管理</t>
  </si>
  <si>
    <t>SE</t>
  </si>
  <si>
    <t>DeviceLogMgmt</t>
  </si>
  <si>
    <t>日志参数管理</t>
  </si>
  <si>
    <t>SF</t>
  </si>
  <si>
    <t>Services.FAPService.{i}.FAPControl.NR</t>
  </si>
  <si>
    <t>基站配置参数管理</t>
  </si>
  <si>
    <t>Services.FAPService.{i}.Capabilities.NR</t>
  </si>
  <si>
    <t>基站能力参数管理</t>
  </si>
  <si>
    <t>小区服务参数管理（总体）</t>
  </si>
  <si>
    <t>SCTP参数管理</t>
  </si>
  <si>
    <t>RAN协议栈参数</t>
  </si>
  <si>
    <t>邻区参数管理</t>
  </si>
  <si>
    <t>移动性参数管理</t>
  </si>
  <si>
    <t>SON参数管理</t>
  </si>
  <si>
    <t>WANDevice</t>
  </si>
  <si>
    <t>WAN口配置参数管理</t>
  </si>
  <si>
    <t>Time</t>
  </si>
  <si>
    <t>时间服务器参数管理</t>
  </si>
  <si>
    <t>GPS信息参数管理</t>
  </si>
  <si>
    <t>MR参数管理</t>
  </si>
  <si>
    <t>性能参数管理</t>
  </si>
  <si>
    <t>合计</t>
  </si>
  <si>
    <t>归类</t>
  </si>
  <si>
    <t>网管数据模型(TR181)</t>
  </si>
  <si>
    <t>参数名称</t>
  </si>
  <si>
    <t>中文名</t>
  </si>
  <si>
    <t>重要性</t>
  </si>
  <si>
    <t>北向Index</t>
  </si>
  <si>
    <t>北向NRM参数映射</t>
  </si>
  <si>
    <t>描述</t>
  </si>
  <si>
    <t>备注</t>
  </si>
  <si>
    <t>主机单元（MU）设备信息参数管理</t>
  </si>
  <si>
    <t>ManufacturerOUI</t>
  </si>
  <si>
    <t>制造商OUI</t>
  </si>
  <si>
    <t>A</t>
  </si>
  <si>
    <t>AA</t>
  </si>
  <si>
    <t>string(6)</t>
  </si>
  <si>
    <t>/</t>
  </si>
  <si>
    <t>TR系列规范(TR098/TR181)/NRM数据配置要求</t>
  </si>
  <si>
    <t>Manufacturer</t>
  </si>
  <si>
    <t>制造商</t>
  </si>
  <si>
    <t xml:space="preserve">string(64) </t>
  </si>
  <si>
    <t>ModelName</t>
  </si>
  <si>
    <t>设备型号</t>
  </si>
  <si>
    <t>NeType</t>
  </si>
  <si>
    <t>string(64)</t>
  </si>
  <si>
    <t>SerialNumber</t>
  </si>
  <si>
    <t>序列号</t>
  </si>
  <si>
    <t>HardwareVersion</t>
  </si>
  <si>
    <t>硬件版本</t>
  </si>
  <si>
    <t>SoftwareVersion</t>
  </si>
  <si>
    <t>软件版本</t>
  </si>
  <si>
    <t>HardwarePlatform</t>
  </si>
  <si>
    <t>硬件平台</t>
  </si>
  <si>
    <t>NRM数据配置要求</t>
  </si>
  <si>
    <t>AdditionalHardwareVersion</t>
  </si>
  <si>
    <t>附加硬件版本</t>
  </si>
  <si>
    <t>Device.DeviceInfo.MU.{i}.AdditionalSoftwareVersion</t>
  </si>
  <si>
    <t>AdditionalSoftwareVersion</t>
  </si>
  <si>
    <t>附加软件版本</t>
  </si>
  <si>
    <t>Device.DeviceInfo.MU.{i}.ProvisioningCode</t>
  </si>
  <si>
    <t>ProvisioningCode</t>
  </si>
  <si>
    <t>供应商代号</t>
  </si>
  <si>
    <t>ProductClass</t>
  </si>
  <si>
    <t>产品分类</t>
  </si>
  <si>
    <t>VendorUnitFamilyType</t>
  </si>
  <si>
    <t>Device.DeviceInfo.MU.{i}.UpTime</t>
  </si>
  <si>
    <t>UpTime</t>
  </si>
  <si>
    <t>运行时间</t>
  </si>
  <si>
    <t xml:space="preserve">unsignedInt </t>
  </si>
  <si>
    <t>Device.DeviceInfo.MU.{i}.FirstUseDate</t>
  </si>
  <si>
    <t>FirstUseDate</t>
  </si>
  <si>
    <t>首次使用日期</t>
  </si>
  <si>
    <t>dateTime</t>
  </si>
  <si>
    <t>PackPosition</t>
  </si>
  <si>
    <t>板卡位置</t>
  </si>
  <si>
    <t>板卡在机框内的相对位置，通常用编号表示。数据格式定义为“机柜-机框-槽号”</t>
  </si>
  <si>
    <t>SlotsOccupied</t>
  </si>
  <si>
    <t>占用槽位</t>
  </si>
  <si>
    <t>应表示板卡占用的槽位号列表。（注：一些板卡较宽，可能会占用两个或以上槽位）</t>
  </si>
  <si>
    <t>Device.DeviceInfo.MU.{i}.Slot.{i}.SoftwareVersion</t>
  </si>
  <si>
    <t>Device.DeviceInfo.MU.{i}.Slot.{i}.ProvisioningCode</t>
  </si>
  <si>
    <t>板卡类型</t>
  </si>
  <si>
    <t>3GPPSpecVersion</t>
  </si>
  <si>
    <t>3GPP协议版本</t>
  </si>
  <si>
    <t>string</t>
  </si>
  <si>
    <t>Device.DeviceInfo.MU.{i}.Slot.{i}.Status</t>
  </si>
  <si>
    <t>Status</t>
  </si>
  <si>
    <t>板卡状态</t>
  </si>
  <si>
    <t>unsignedInt[1:3]</t>
  </si>
  <si>
    <t>Device.DeviceInfo.MU.{i}.Slot.{i}.SwUpgrade.Stage</t>
  </si>
  <si>
    <t>Stage</t>
  </si>
  <si>
    <t>升级阶段</t>
  </si>
  <si>
    <t>unsignedInt[1:5]</t>
  </si>
  <si>
    <t>1:初始化
2:下载
3:安装
4:等待激活
5.激活</t>
  </si>
  <si>
    <t>Device.DeviceInfo.MU.{i}.Slot.{i}.SwUpgrade.Status</t>
  </si>
  <si>
    <t>状态</t>
  </si>
  <si>
    <t>RouteIndex</t>
  </si>
  <si>
    <t>扩展单元路由指示</t>
  </si>
  <si>
    <t>Device.DeviceInfo.MU.{i}.Slot.{i}.EU.{i}.ManufacturerOUI</t>
  </si>
  <si>
    <t>Device.DeviceInfo.MU.{i}.Slot.{i}.EU.{i}.Manufacturer</t>
  </si>
  <si>
    <t>Device.DeviceInfo.MU.{i}.Slot.{i}.EU.{i}.HardwareVersion</t>
  </si>
  <si>
    <t>Device.DeviceInfo.MU.{i}.Slot.{i}.EU.{i}.SoftwareVersion</t>
  </si>
  <si>
    <t>Device.DeviceInfo.MU.{i}.Slot.{i}.EU.{i}.ProvisioningCode</t>
  </si>
  <si>
    <t>B</t>
  </si>
  <si>
    <t>ULCRCSum</t>
  </si>
  <si>
    <t>扩展单元上行误码率</t>
  </si>
  <si>
    <t>Device.DeviceInfo.MU.{i}.Slot.{i}.EU.{i}.Reboot</t>
  </si>
  <si>
    <t>Reboot</t>
  </si>
  <si>
    <t>重启开关</t>
  </si>
  <si>
    <t>0:不重启
1:重启</t>
  </si>
  <si>
    <t>Device.DeviceInfo.MU.{i}.Slot.{i}.EU.{i}.SwUpgrade.Stage</t>
  </si>
  <si>
    <t>Device.DeviceInfo.MU.{i}.Slot.{i}.EU.{i}.RU.{i}.ManufacturerOUI</t>
  </si>
  <si>
    <t>Device.DeviceInfo.MU.{i}.Slot.{i}.EU.{i}.RU.{i}.Manufacturer</t>
  </si>
  <si>
    <t>Device.DeviceInfo.MU.{i}.Slot.{i}.EU.{i}.RU.{i}.HardwareVersion</t>
  </si>
  <si>
    <t>Device.DeviceInfo.MU.{i}.Slot.{i}.EU.{i}.RU.{i}.SoftwareVersion</t>
  </si>
  <si>
    <t>Device.DeviceInfo.MU.{i}.Slot.{i}.EU.{i}.RU.{i}.ProvisioningCode</t>
  </si>
  <si>
    <t>MaxTxPower</t>
  </si>
  <si>
    <t>最大发射功率</t>
  </si>
  <si>
    <t>RFTxStatus</t>
  </si>
  <si>
    <t>0:关闭
1:开启</t>
  </si>
  <si>
    <t>多实例状态变化通知参数</t>
  </si>
  <si>
    <t>AddEndPoint</t>
  </si>
  <si>
    <t>多实例新增</t>
  </si>
  <si>
    <t>多实例删除</t>
  </si>
  <si>
    <t>版本参数管理</t>
  </si>
  <si>
    <t>Device.SoftwareCtrl.AutoActivateEnable</t>
  </si>
  <si>
    <t>立即激活目标升级版本使能开关</t>
  </si>
  <si>
    <t>自定义</t>
  </si>
  <si>
    <t>Device.SoftwareCtrl.ActivateTime</t>
  </si>
  <si>
    <t>软件激活时间</t>
  </si>
  <si>
    <t>Device.SoftwareCtrl.ActivateEnable</t>
  </si>
  <si>
    <t>SystemCurrentVersion</t>
  </si>
  <si>
    <t>系统当前版本</t>
  </si>
  <si>
    <t>系统正在使用的版本。表示gNB整体版本。</t>
  </si>
  <si>
    <t>Device.SoftwareCtrl.SystemBackupVersion</t>
  </si>
  <si>
    <t>SystemBackupVersion</t>
  </si>
  <si>
    <t>系统备份版本</t>
  </si>
  <si>
    <t>网管参数管理</t>
  </si>
  <si>
    <t>URL</t>
  </si>
  <si>
    <t>网管服务器URL</t>
  </si>
  <si>
    <t>string(256)</t>
  </si>
  <si>
    <t>ACS使用CWMP连接ACS的URL。格式必须为合法的HTTP/HTTPS的形式。</t>
  </si>
  <si>
    <t>TR系列规范(TR098/TR181)</t>
  </si>
  <si>
    <t>Device.ManagementServer.Username</t>
  </si>
  <si>
    <t>Username</t>
  </si>
  <si>
    <t>连接用户名</t>
  </si>
  <si>
    <t>ACS使用CWMP连接基站时使用的认证用户名。仅用于基站的基于HTTP的认证。</t>
  </si>
  <si>
    <t>Device.ManagementServer.Password</t>
  </si>
  <si>
    <t>Password</t>
  </si>
  <si>
    <t>连接密码</t>
  </si>
  <si>
    <t>基站使用CWMP连接ACS时使用的认证密码。仅用于基站的基于HTTP的认证。读取时返回一个空字符串.</t>
  </si>
  <si>
    <t>Device.ManagementServer.PeriodicInformEnable</t>
  </si>
  <si>
    <t>PeriodicInformEnable</t>
  </si>
  <si>
    <t>连接使能开关</t>
  </si>
  <si>
    <t>基站是否必须利用Inform方法调用定时向服务器端发送基站信息。当PeriodicInformEnable=true时，PeriodicInformInterval才起作用</t>
  </si>
  <si>
    <t>Device.ManagementServer.PeriodicInformTime</t>
  </si>
  <si>
    <t>PeriodicInformTime</t>
  </si>
  <si>
    <t>上报周期</t>
  </si>
  <si>
    <t xml:space="preserve"> dateTime </t>
  </si>
  <si>
    <t>Device.ManagementServer.PeriodicInformInterval</t>
  </si>
  <si>
    <t>PeriodicInformInterval</t>
  </si>
  <si>
    <t>周期上报时间间隔</t>
  </si>
  <si>
    <t>unsignedInt[1:]</t>
  </si>
  <si>
    <t>在PeriodicInformEnable为真时，基站必须尝试连接ACS并调用Inform方法的时间间隔。当PeriodicInformEnable=true才生效</t>
  </si>
  <si>
    <t>Device.ManagementServer.ParameterKey</t>
  </si>
  <si>
    <t>ParameterKey</t>
  </si>
  <si>
    <t>键值</t>
  </si>
  <si>
    <t>string(32)</t>
  </si>
  <si>
    <t>来自于服务器的最新的 SetParameterValues，AddObject 或 DeleteObject 方法调用的 ParameterKey 自变量数值。如果没有此类调用，此数值为空。</t>
  </si>
  <si>
    <t>ConnectionRequestURL</t>
  </si>
  <si>
    <t>连接请求URL</t>
  </si>
  <si>
    <r>
      <rPr>
        <sz val="9"/>
        <rFont val="宋体"/>
        <family val="3"/>
        <charset val="134"/>
        <scheme val="minor"/>
      </rPr>
      <t>A</t>
    </r>
    <r>
      <rPr>
        <sz val="9"/>
        <rFont val="宋体"/>
        <family val="3"/>
        <charset val="134"/>
        <scheme val="minor"/>
      </rPr>
      <t>A</t>
    </r>
  </si>
  <si>
    <t>ManagementIpAddress</t>
  </si>
  <si>
    <t>Device.ManagementServer.ConnectionRequestUsername</t>
  </si>
  <si>
    <t>ConnectionRequestUsername</t>
  </si>
  <si>
    <t>连接请求用户名</t>
  </si>
  <si>
    <t>ACS向基站发起连接请求时，鉴权过程使用的用户名。</t>
  </si>
  <si>
    <t>Device.ManagementServer.ConnectionRequestPassword</t>
  </si>
  <si>
    <t>连接请求密码</t>
  </si>
  <si>
    <t>ACS向基站发起连接请求时，鉴权过程使用的密码。在被读取时，该参数会忽略实际值而返回一个空字符串。</t>
  </si>
  <si>
    <t>UDP连接请求地址</t>
  </si>
  <si>
    <t>Device.ManagementServer.STUNEnable</t>
  </si>
  <si>
    <t>STUNEnable</t>
  </si>
  <si>
    <t>STUN使能开关</t>
  </si>
  <si>
    <t>(0=false,1=true)</t>
  </si>
  <si>
    <t>Device.ManagementServer.STUNServerAddress</t>
  </si>
  <si>
    <t>STUNServerAddress</t>
  </si>
  <si>
    <t>STUN服务器地址</t>
  </si>
  <si>
    <t>Device.ManagementServer.STUNServerPort</t>
  </si>
  <si>
    <t>STUNServerPort</t>
  </si>
  <si>
    <t>STUN服务器端口</t>
  </si>
  <si>
    <t xml:space="preserve">unsignedInt[0:65535]
</t>
  </si>
  <si>
    <t>Device.ManagementServer.STUNUsername</t>
  </si>
  <si>
    <t>STUNUsername</t>
  </si>
  <si>
    <t>Device.ManagementServer.STUNPassword</t>
  </si>
  <si>
    <t>STUNPassword</t>
  </si>
  <si>
    <t>Device.ManagementServer.STUNMaximumKeepAlivePeriod</t>
  </si>
  <si>
    <t>STUNMaximumKeepAlivePeriod</t>
  </si>
  <si>
    <t>STUN最大生存周期</t>
  </si>
  <si>
    <t>int[-1:65535]</t>
  </si>
  <si>
    <t>Device.ManagementServer.STUNMinimumKeepAlivePeriod</t>
  </si>
  <si>
    <t>STUNMinimumKeepAlivePeriod</t>
  </si>
  <si>
    <t>STUN最小生存周期</t>
  </si>
  <si>
    <t>unsignedInt[0:65535]</t>
  </si>
  <si>
    <t>Device.ManagementServer.NATDetected</t>
  </si>
  <si>
    <t>NATDetected</t>
  </si>
  <si>
    <t>NAT转换地址</t>
  </si>
  <si>
    <t xml:space="preserve">告警管理
</t>
  </si>
  <si>
    <t>Device.FaultMgmt.SupportedAlarmNumberOfEntries</t>
  </si>
  <si>
    <t>SupportedAlarmNumberOfEntries</t>
  </si>
  <si>
    <t>最大告警实例数量</t>
  </si>
  <si>
    <t>Device.FaultMgmt.MaxCurrentAlarmEntries</t>
  </si>
  <si>
    <t>MaxCurrentAlarmEntries</t>
  </si>
  <si>
    <t>最大当前告警实例数量</t>
  </si>
  <si>
    <t>Device.FaultMgmt.CurrentAlarmNumberOfEntries</t>
  </si>
  <si>
    <t>CurrentAlarmNumberOfEntries</t>
  </si>
  <si>
    <t>当前告警实例数量</t>
  </si>
  <si>
    <t>Device.FaultMgmt.HistoryEventNumberOfEntries</t>
  </si>
  <si>
    <t>HistoryEventNumberOfEntries</t>
  </si>
  <si>
    <t>历史事件实例数量</t>
  </si>
  <si>
    <t>Device.FaultMgmt.ExpeditedEventNumberOfEntries</t>
  </si>
  <si>
    <t>ExpeditedEventNumberOfEntries</t>
  </si>
  <si>
    <t>紧急事件实例数量</t>
  </si>
  <si>
    <t>Device.FaultMgmt.QueuedEventNumberOfEntries</t>
  </si>
  <si>
    <t>QueuedEventNumberOfEntries</t>
  </si>
  <si>
    <t>队列事件实例数量</t>
  </si>
  <si>
    <t>Device.FaultMgmt.SupportedAlarm.{i}.EventType</t>
  </si>
  <si>
    <t>EventType</t>
  </si>
  <si>
    <t>告警类型</t>
  </si>
  <si>
    <t>设备上报告警消息中的告警类型，包括通讯告警、环境告警、设备告警、处理错误告警、服务质量告警等</t>
  </si>
  <si>
    <t>Device.FaultMgmt.SupportedAlarm.{i}.ProbableCause</t>
  </si>
  <si>
    <t>ProbableCause</t>
  </si>
  <si>
    <t>告警原因</t>
  </si>
  <si>
    <t>Device.FaultMgmt.SupportedAlarm.{i}.SpecificProblem</t>
  </si>
  <si>
    <t>SpecificProblem</t>
  </si>
  <si>
    <t>告警描述</t>
  </si>
  <si>
    <t>string(128)</t>
  </si>
  <si>
    <t>Device.FaultMgmt.SupportedAlarm.{i}.PerceivedSeverity</t>
  </si>
  <si>
    <t>PerceivedSeverity</t>
  </si>
  <si>
    <t>支持告警级别</t>
  </si>
  <si>
    <t>设备上报告警消息中的告警级别：Critical,严重；Major,重要；Minor,次要；Warning,警告；</t>
  </si>
  <si>
    <t>ReportingMechanism</t>
  </si>
  <si>
    <t>修改网管读写权限</t>
  </si>
  <si>
    <t>AlarmIdentifier</t>
  </si>
  <si>
    <t>该告警的唯一序列号</t>
  </si>
  <si>
    <t>Device.FaultMgmt.CurrentAlarm.{i}.AlarmRaisedTime</t>
  </si>
  <si>
    <t>AlarmRaisedTime</t>
  </si>
  <si>
    <t>告警发生时间</t>
  </si>
  <si>
    <t>Device.FaultMgmt.CurrentAlarm.{i}.AlarmChangedTime</t>
  </si>
  <si>
    <t>AlarmChangedTime</t>
  </si>
  <si>
    <t>告警改变时间</t>
  </si>
  <si>
    <t>ManagedObjectInstance</t>
  </si>
  <si>
    <t>管理对象实例</t>
  </si>
  <si>
    <t>string(512)</t>
  </si>
  <si>
    <t>定义了承载该对象实例DN时发生的基站告警的信息对象等级的实例</t>
  </si>
  <si>
    <t>手动同步告警采用该模型节点上报</t>
  </si>
  <si>
    <t>Device.FaultMgmt.CurrentAlarm.{i}.EventType</t>
  </si>
  <si>
    <t>Device.FaultMgmt.CurrentAlarm.{i}.ProbableCause</t>
  </si>
  <si>
    <t>Device.FaultMgmt.CurrentAlarm.{i}.SpecificProblem</t>
  </si>
  <si>
    <t>Device.FaultMgmt.CurrentAlarm.{i}.PerceivedSeverity</t>
  </si>
  <si>
    <t>当前告警级别</t>
  </si>
  <si>
    <t>Device.FaultMgmt.CurrentAlarm.{i}.AdditionalText</t>
  </si>
  <si>
    <t>AdditionalText</t>
  </si>
  <si>
    <t>告警附加文本</t>
  </si>
  <si>
    <t>本规范规定内容为厂家告警编码</t>
  </si>
  <si>
    <t>Device.FaultMgmt.CurrentAlarm.{i}.AdditionalInformation</t>
  </si>
  <si>
    <t>AdditionalInformation</t>
  </si>
  <si>
    <t>告警附加信息</t>
  </si>
  <si>
    <t>（格式：英文）统一采用此参数作为告警附加信息，映射到北向的AlarmText字段</t>
  </si>
  <si>
    <t>Device.FaultMgmt.HistoryEvent.{i}.EventTime</t>
  </si>
  <si>
    <t>EventTime</t>
  </si>
  <si>
    <t>告警发生、改变、清除的时间</t>
  </si>
  <si>
    <t>Device.FaultMgmt.HistoryEvent.{i}.AlarmIdentifier</t>
  </si>
  <si>
    <t>NotificationType</t>
  </si>
  <si>
    <t>通知类型</t>
  </si>
  <si>
    <t>Device.FaultMgmt.HistoryEvent.{i}.ManagedObjectInstance</t>
  </si>
  <si>
    <t>Device.FaultMgmt.HistoryEvent.{i}.EventType</t>
  </si>
  <si>
    <t>Device.FaultMgmt.HistoryEvent.{i}.ProbableCause</t>
  </si>
  <si>
    <t>Device.FaultMgmt.HistoryEvent.{i}.SpecificProblem</t>
  </si>
  <si>
    <t>Device.FaultMgmt.HistoryEvent.{i}.PerceivedSeverity</t>
  </si>
  <si>
    <t>告警级别</t>
  </si>
  <si>
    <t>Device.FaultMgmt.HistoryEvent.{i}.AdditionalText</t>
  </si>
  <si>
    <t>Device.FaultMgmt.HistoryEvent.{i}.AdditionalInformation</t>
  </si>
  <si>
    <t>格式：英文。统一采用此参数作为告警附加信息，映射到北向的AlarmText字段</t>
  </si>
  <si>
    <t>Device.FaultMgmt.ExpeditedEvent.{i}.EventTime</t>
  </si>
  <si>
    <t>Device.FaultMgmt.ExpeditedEvent.{i}.EventType</t>
  </si>
  <si>
    <t>Device.FaultMgmt.ExpeditedEvent.{i}.ProbableCause</t>
  </si>
  <si>
    <t>Device.FaultMgmt.ExpeditedEvent.{i}.SpecificProblem</t>
  </si>
  <si>
    <t>Device.FaultMgmt.ExpeditedEvent.{i}.PerceivedSeverity</t>
  </si>
  <si>
    <t>Device.FaultMgmt.ExpeditedEvent.{i}.AdditionalText</t>
  </si>
  <si>
    <t>Device.FaultMgmt.ExpeditedEvent.{i}.AdditionalInformation</t>
  </si>
  <si>
    <t>Device.FaultMgmt.QueuedEvent.{i}.EventTime</t>
  </si>
  <si>
    <t>Device.FaultMgmt.QueuedEvent.{i}.AlarmIdentifier</t>
  </si>
  <si>
    <t>Device.FaultMgmt.QueuedEvent.{i}.EventType</t>
  </si>
  <si>
    <t>Device.FaultMgmt.QueuedEvent.{i}.ProbableCause</t>
  </si>
  <si>
    <t>Device.FaultMgmt.QueuedEvent.{i}.SpecificProblem</t>
  </si>
  <si>
    <t>Device.FaultMgmt.QueuedEvent.{i}.PerceivedSeverity</t>
  </si>
  <si>
    <t>Device.FaultMgmt.QueuedEvent.{i}.AdditionalText</t>
  </si>
  <si>
    <t>Device.FaultMgmt.QueuedEvent.{i}.AdditionalInformation</t>
  </si>
  <si>
    <t>Device.LogMgmt.PeriodicUploadEnable</t>
  </si>
  <si>
    <t>(0=false,1=true),禁止或启用将设备日志周期性地发送到指定的文件服务器。在使能开关开启的情况下，如果还未达到上报周期，设备日志文件已达到存储容量上限，则应立即将该时段的增量日志上报到HeMS，并开启一个新的上报周期的要求。</t>
  </si>
  <si>
    <t>Device.LogMgmt.URL</t>
  </si>
  <si>
    <t>Device.LogMgmt.Username</t>
  </si>
  <si>
    <t>Device.LogMgmt.Password</t>
  </si>
  <si>
    <t>Device.LogMgmt.PeriodicUploadInterval</t>
  </si>
  <si>
    <t>PeriodicUploadInterval</t>
  </si>
  <si>
    <t>Device.LogMgmt.LogLevel</t>
  </si>
  <si>
    <t>LogLevel</t>
  </si>
  <si>
    <t>日志重要等级</t>
  </si>
  <si>
    <t>AMF地址</t>
  </si>
  <si>
    <t>AMFName</t>
  </si>
  <si>
    <t>CA</t>
  </si>
  <si>
    <t>修正参数类型为string(6)</t>
  </si>
  <si>
    <t>PLMNID</t>
  </si>
  <si>
    <t>AMFPLMN标识</t>
  </si>
  <si>
    <t>AMFRegionID</t>
  </si>
  <si>
    <t>string(8)</t>
  </si>
  <si>
    <t>AMFSetID</t>
  </si>
  <si>
    <t>string(10)</t>
  </si>
  <si>
    <t>AMFPointer</t>
  </si>
  <si>
    <t>RelativeAMFCapacity</t>
  </si>
  <si>
    <t>unsignedInt[0:255]</t>
  </si>
  <si>
    <t>AMFIP1</t>
  </si>
  <si>
    <t>AMFIP2</t>
  </si>
  <si>
    <t>TR系列规范(TR098/TR181/TR196)</t>
  </si>
  <si>
    <t>TAC</t>
  </si>
  <si>
    <t>跟踪区编码</t>
  </si>
  <si>
    <t>string(24)</t>
  </si>
  <si>
    <t>gNBID</t>
  </si>
  <si>
    <t>对端IP</t>
  </si>
  <si>
    <t>SubnetMask</t>
  </si>
  <si>
    <t>子网掩码</t>
  </si>
  <si>
    <t>增加子网掩码用于配置Xn连接地址</t>
  </si>
  <si>
    <t>本端地址</t>
  </si>
  <si>
    <t>NNSF参数管理</t>
  </si>
  <si>
    <t>NNSFSupported</t>
  </si>
  <si>
    <t>TR系列规范(TR098/TR181/TR196)/NRM数据配置要求</t>
  </si>
  <si>
    <t>接入UE数量管理</t>
  </si>
  <si>
    <t>UeInactiveTimer</t>
  </si>
  <si>
    <t>连接态UE不活动定时器</t>
  </si>
  <si>
    <t>SupportRRCNumbers</t>
  </si>
  <si>
    <t>同时支持RRC连接最大用户数</t>
  </si>
  <si>
    <t>修正参数类型</t>
  </si>
  <si>
    <t>SupportActiveRRCNumbers</t>
  </si>
  <si>
    <t>同时支持RRC激活最大用户数</t>
  </si>
  <si>
    <t>EmergencyAreaID</t>
  </si>
  <si>
    <t>unsignedInt[0:7]</t>
  </si>
  <si>
    <t>突发事件区域ID(3bit)</t>
  </si>
  <si>
    <t>unsignedInt[0:16777215]</t>
  </si>
  <si>
    <t>跟踪区代码，TAC(24bit)</t>
  </si>
  <si>
    <t>小区闭塞</t>
  </si>
  <si>
    <t>CellBarred</t>
  </si>
  <si>
    <t>小区PLMNID</t>
  </si>
  <si>
    <t>PlmnIdList</t>
  </si>
  <si>
    <t>由MCC和MNC组成</t>
  </si>
  <si>
    <t>CellReservedForOperatorUse</t>
  </si>
  <si>
    <t>小区预留标识</t>
  </si>
  <si>
    <t>广播参数管理</t>
  </si>
  <si>
    <t>MultiBandInfoListSIB1</t>
  </si>
  <si>
    <t>SIB1中多频段指示参数</t>
  </si>
  <si>
    <t>unsignedInt[1:1024]</t>
  </si>
  <si>
    <t>MultiBandInfoListSIB5</t>
  </si>
  <si>
    <t>SIB5中多频段指示参数</t>
  </si>
  <si>
    <t>unsignedInt[1:64]</t>
  </si>
  <si>
    <t>小区参数管理</t>
  </si>
  <si>
    <t>下行NRARFCN</t>
  </si>
  <si>
    <t>PhyCellID</t>
  </si>
  <si>
    <t>PCI</t>
  </si>
  <si>
    <t>Pci</t>
  </si>
  <si>
    <t>修正参数类型，修改参数名大小写，保持和TR196一致</t>
  </si>
  <si>
    <t>DLBandwidth</t>
  </si>
  <si>
    <t>下行带宽</t>
  </si>
  <si>
    <t>ULBandwidth</t>
  </si>
  <si>
    <t>上行带宽</t>
  </si>
  <si>
    <t>PSCHPowerOffset</t>
  </si>
  <si>
    <t>PSCH功率偏置</t>
  </si>
  <si>
    <t>主同步信道相对SS/PBCH block 的功率偏置,取值范围{db0, db3}</t>
  </si>
  <si>
    <t>NRARFCNUL</t>
  </si>
  <si>
    <t>上行NRARFCN</t>
  </si>
  <si>
    <t>FreqBandIndicator</t>
  </si>
  <si>
    <t>频带指示</t>
  </si>
  <si>
    <t>修正参数类型，
建议按38.331中的定义：
FreqBandIndicatorNR：INTEGER (1..1024)</t>
  </si>
  <si>
    <t>SsPBCHBlockPower</t>
  </si>
  <si>
    <t>SSB Block功率值</t>
  </si>
  <si>
    <t>int[-60:50]</t>
  </si>
  <si>
    <t>修正参数类型
5G基于SSB定义基准功率</t>
  </si>
  <si>
    <t>gNBId</t>
  </si>
  <si>
    <t>gNBName</t>
  </si>
  <si>
    <t>gNB名称</t>
  </si>
  <si>
    <t>string(150)</t>
  </si>
  <si>
    <t>cellType</t>
  </si>
  <si>
    <t>小区类型</t>
  </si>
  <si>
    <t>小区预留标识总开关</t>
  </si>
  <si>
    <t>The IE TrackingAreaCode is used to identify a tracking area within the scope of a PLMN</t>
  </si>
  <si>
    <t>RAN区域编码</t>
  </si>
  <si>
    <t>INTEGER (0..255)</t>
  </si>
  <si>
    <t>The IE RAN-AreaCode is used to identify a RAN area within the scope of a tracking area</t>
  </si>
  <si>
    <t>NrcellIdentity</t>
  </si>
  <si>
    <t>小区cellIdentity</t>
  </si>
  <si>
    <t>小区PLMN预留标识</t>
  </si>
  <si>
    <t>SNSSAI</t>
  </si>
  <si>
    <t>由SST和SD组成</t>
  </si>
  <si>
    <t>VoNR参数</t>
  </si>
  <si>
    <t>RohcEn</t>
  </si>
  <si>
    <t>分QCI头压缩功能开关</t>
  </si>
  <si>
    <t>（ON，OFF, NA）,{i}取值范围[1,…,9]</t>
  </si>
  <si>
    <t>SPSSwitchQCI1Ul</t>
  </si>
  <si>
    <t>QCI1上行SPS功能开关</t>
  </si>
  <si>
    <t>（ON，OFF, NA）</t>
  </si>
  <si>
    <t>Enable</t>
  </si>
  <si>
    <t>使能开关</t>
  </si>
  <si>
    <t>Boolean</t>
  </si>
  <si>
    <t>Device.Services.FAPService.{i}.Transport.SCTP.RTOInitial</t>
  </si>
  <si>
    <t>RTOInitial</t>
  </si>
  <si>
    <t>重传超时的初始值</t>
  </si>
  <si>
    <t>Device.Services.FAPService.{i}.Transport.SCTP.RTOMin</t>
  </si>
  <si>
    <t>RTOMin</t>
  </si>
  <si>
    <t>重传超时的最小值</t>
  </si>
  <si>
    <t>Device.Services.FAPService.{i}.Transport.SCTP.RTOMax</t>
  </si>
  <si>
    <t>RTOMax</t>
  </si>
  <si>
    <t>重传超时的最大值</t>
  </si>
  <si>
    <t>Device.Services.FAPService.{i}.Transport.SCTP.MaxInitRetransmits</t>
  </si>
  <si>
    <t>MaxInitRetransmits</t>
  </si>
  <si>
    <t>最大初始重传数</t>
  </si>
  <si>
    <t>Device.Services.FAPService.{i}.Transport.SCTP.HBInterval</t>
  </si>
  <si>
    <t>HBInterval</t>
  </si>
  <si>
    <t>心跳时间间隔</t>
  </si>
  <si>
    <t>Device.Services.FAPService.{i}.Transport.SCTP.MaxPathRetransmits</t>
  </si>
  <si>
    <t>MaxPathRetransmits</t>
  </si>
  <si>
    <t>最大重传次数</t>
  </si>
  <si>
    <t>Device.Services.FAPService.{i}.Transport.SCTP.MaxAssociationRetransmits</t>
  </si>
  <si>
    <t>MaxAssociationRetransmits</t>
  </si>
  <si>
    <t>本端的最大连续重传数目</t>
  </si>
  <si>
    <t>Device.Services.FAPService.{i}.Transport.SCTP.ValCookieLife</t>
  </si>
  <si>
    <t>ValCookieLife</t>
  </si>
  <si>
    <t>有效cookie的生命周期</t>
  </si>
  <si>
    <t>物理层参数管理</t>
  </si>
  <si>
    <t xml:space="preserve">OffsetToPointA </t>
  </si>
  <si>
    <t>unsignedInt[0:2199]</t>
  </si>
  <si>
    <t>取值范围：0~2199
默认值为0</t>
  </si>
  <si>
    <t>3GPP TS38.331</t>
  </si>
  <si>
    <t>FreqBandIndicatorNR</t>
  </si>
  <si>
    <t>NR频段指示</t>
  </si>
  <si>
    <t>OffsetToCarrier</t>
  </si>
  <si>
    <t>载波偏置(下行)</t>
  </si>
  <si>
    <t>INTEGER (0..2199),i最大值取5</t>
  </si>
  <si>
    <t>SubcarrierSpacing</t>
  </si>
  <si>
    <t>子载波间隔(下行)</t>
  </si>
  <si>
    <t>unsignedInt[0:4]</t>
  </si>
  <si>
    <t xml:space="preserve">子载波间隔
取值范围：{0, 1, 2, 3, 4}
0代表kHz15，1代表kHz30，2代表kHz60，3代表kHz120，4代表kHz240.,i最大值取5
</t>
  </si>
  <si>
    <t>Device.Services.FAPService.{i}.CellConfig.{i}.NR.RAN.PHY.FrequencyInfoDLSIB.ScsSpecificCarrierList.{i}.SCSSpecificCarrier.CarrierBandwidth</t>
  </si>
  <si>
    <t>CarrierBandwidth</t>
  </si>
  <si>
    <t>带宽值(下行)</t>
  </si>
  <si>
    <t>unsignedInt[1:275]</t>
  </si>
  <si>
    <t>取值范围：[1~275],i最大值取5</t>
  </si>
  <si>
    <t>unsignedInt[0:3279165]</t>
  </si>
  <si>
    <t>Device.Services.FAPService.{i}.CellConfig.{i}.NR.RAN.PHY.FrequencyInfoULSIB.ScsSpecificCarrierList.{i}.SCSSpecificCarrier.OffsetToCarrier</t>
  </si>
  <si>
    <t>载波偏置(上行)</t>
  </si>
  <si>
    <t>取值范围：[0~2199],i最大值取5</t>
  </si>
  <si>
    <t>Device.Services.FAPService.{i}.CellConfig.{i}.NR.RAN.PHY.FrequencyInfoULSIB.ScsSpecificCarrierList.{i}.SCSSpecificCarrier.SubcarrierSpacing</t>
  </si>
  <si>
    <t>子载波间隔(上行)</t>
  </si>
  <si>
    <t>子载波间隔
取值范围：{0, 1, 2, 3, 4}
0代表kHz15，1代表kHz30，2代表kHz60，3代表kHz120，4代表kHz240.
,i最大值取5</t>
  </si>
  <si>
    <t>带宽值(上行)</t>
  </si>
  <si>
    <t>InOneGroup</t>
  </si>
  <si>
    <t>SSB索引bit位</t>
  </si>
  <si>
    <t>指示SS-Burst-Set中的SSB的时域位置</t>
  </si>
  <si>
    <t>Device.Services.FAPService.{i}.CellConfig.{i}.NR.RAN.PHY.SSB.SsbPeriodicityServingCell</t>
  </si>
  <si>
    <t>SSB周期</t>
  </si>
  <si>
    <t>unsignedInt[0:5]</t>
  </si>
  <si>
    <t>SS-Burst-Set的周期</t>
  </si>
  <si>
    <t>SsbSubcarrierOffset</t>
  </si>
  <si>
    <t>SSB子载波偏置</t>
  </si>
  <si>
    <t>unsignedInt[0:15]</t>
  </si>
  <si>
    <t>kSSB的低4位，表示PointA相对于SSB子载波0的子载波偏移</t>
  </si>
  <si>
    <t>公共子载波间隔</t>
  </si>
  <si>
    <t>公共子载波间隔，SIB1、初始接入Msg.2/4、和SI-message使用的子载波间隔。 取值范围{scs15or60, scs30or120},</t>
  </si>
  <si>
    <t>Device.Services.FAPService.{i}.CellConfig.{i}.NR.RAN.PHY.TddULDLConfigurationCommon.ReferenceSubcarrierSpacing</t>
  </si>
  <si>
    <t>ReferenceSubcarrierSpacing</t>
  </si>
  <si>
    <t>参考子载波间隔</t>
  </si>
  <si>
    <t xml:space="preserve">取值范围：{0, 1, 2, 3, 4}
0代表kHz15，1代表kHz30，2代表kHz60，3代表kHz120，4代表kHz240.
</t>
  </si>
  <si>
    <t xml:space="preserve">DlULTransmissionPeriodicity </t>
  </si>
  <si>
    <t>模式1的传输周期</t>
  </si>
  <si>
    <t>NrofDownlinkSlots</t>
  </si>
  <si>
    <t>unsignedInt[0:320]</t>
  </si>
  <si>
    <t>取值范围：[0~320]</t>
  </si>
  <si>
    <t xml:space="preserve">NrofDownlinkSymbols </t>
  </si>
  <si>
    <t>unsignedInt[0:13]</t>
  </si>
  <si>
    <t>取值范围：[0~13]</t>
  </si>
  <si>
    <t>NrofUplinkSlots</t>
  </si>
  <si>
    <t>模式1的连续上行时隙数</t>
  </si>
  <si>
    <t>NrofUplinkSymbols</t>
  </si>
  <si>
    <t>模式1的连续上行符号数</t>
  </si>
  <si>
    <t>模式2的传输周期</t>
  </si>
  <si>
    <t>模式2的连续下行时隙数</t>
  </si>
  <si>
    <t>模式2的连续下行符号数</t>
  </si>
  <si>
    <t>模式2的连续上行时隙数</t>
  </si>
  <si>
    <t>模式2的连续上行符号数</t>
  </si>
  <si>
    <t>StartPrbPosition</t>
  </si>
  <si>
    <t>起始PRB位置（下行）</t>
  </si>
  <si>
    <t>unsignedInt[0:273]</t>
  </si>
  <si>
    <t>配置BWP的起始RB位置。
取值范围：[0~273]</t>
  </si>
  <si>
    <t xml:space="preserve">3GPP TS38.331参数：locationAndBandwidth，将其分解成两个参数StartPrbPosition和Bandwidth，便于工程人员操作维护  </t>
  </si>
  <si>
    <t>Bandwidth</t>
  </si>
  <si>
    <t>BWP带宽（下行）</t>
  </si>
  <si>
    <t>unsignedInt[5,10,15,20,25,30,40,50,60,80,90,100]</t>
  </si>
  <si>
    <t>配置BWP的带宽。
取值范围：{5,10,15,20,25,30,
40,50,60,80,90,100}MHz</t>
  </si>
  <si>
    <t>3GPP TS38.331参数：locationAndBandwidth，将其分解成两个参数StartPrbPosition和Bandwidth，便于工程人员操作维护</t>
  </si>
  <si>
    <t>BWP子载波间隔（下行）</t>
  </si>
  <si>
    <t>CyclicPrefix</t>
  </si>
  <si>
    <t>循环前缀（下行）</t>
  </si>
  <si>
    <t>配置CP长度，取值范围{normal，extended}</t>
  </si>
  <si>
    <t>起始PRB位置（上行）</t>
  </si>
  <si>
    <t>参考3GPP TS38.331参数：locationAndBandwidth，将其分解成两个参数StartPrbPosition和Bandwidth，便于工程人员操作维护</t>
  </si>
  <si>
    <t>BWP带宽（上行）</t>
  </si>
  <si>
    <t>BWP子载波间隔（上行）</t>
  </si>
  <si>
    <t>循环前缀（上行）</t>
  </si>
  <si>
    <t>TimeAlignmentTimerCommon</t>
  </si>
  <si>
    <t>上行提前量</t>
  </si>
  <si>
    <t>PrachConfigurationIndex</t>
  </si>
  <si>
    <t>PRACH时域配置</t>
  </si>
  <si>
    <t xml:space="preserve">Msg1FDM </t>
  </si>
  <si>
    <t>PRACH频域资源个数</t>
  </si>
  <si>
    <t xml:space="preserve">取值范围：[0,1,2,3]
分别对应{one, two, four, eight}
</t>
  </si>
  <si>
    <t>PRACH频域起始位置</t>
  </si>
  <si>
    <t>unsignedInt[0:274]</t>
  </si>
  <si>
    <t>取值范围：[0~274]</t>
  </si>
  <si>
    <t>ZeroCorrelationZoneConfig</t>
  </si>
  <si>
    <t>Ncs值</t>
  </si>
  <si>
    <t>取值范围：[0~15]</t>
  </si>
  <si>
    <t>GroupHoppingEnabledTransformPrecoding</t>
  </si>
  <si>
    <t>序列组跳频开关</t>
  </si>
  <si>
    <t>unsignedInt[0:1]</t>
  </si>
  <si>
    <t xml:space="preserve">取值范围：{0, 1}
0表示无效；1表示enabled；
</t>
  </si>
  <si>
    <t>K2</t>
  </si>
  <si>
    <t>PDCCH到PUSCH调度延迟</t>
  </si>
  <si>
    <t>MappingType</t>
  </si>
  <si>
    <t>PUSCH映射类型</t>
  </si>
  <si>
    <t>取值范围：{0,1}
分别对应{ typeA, typeB }；
i取值最大16</t>
  </si>
  <si>
    <t>StartSymbolAndLength</t>
  </si>
  <si>
    <t>PUSCH起始符号和长度</t>
  </si>
  <si>
    <t>unsignedInt[0:127]</t>
  </si>
  <si>
    <t>取值范围：{0~127}
i取值最大16</t>
  </si>
  <si>
    <t xml:space="preserve">Msg3DeltaPreamble </t>
  </si>
  <si>
    <t>MSG3与preamble之间发送功率的偏移值</t>
  </si>
  <si>
    <t>P0NominalWithGrant</t>
  </si>
  <si>
    <t>PUSCH功率值P0</t>
  </si>
  <si>
    <t xml:space="preserve">取值范围：{-202~24,0x00000FFF}
0x00000FFF表示无效；
</t>
  </si>
  <si>
    <t>PucchResourceCommon</t>
  </si>
  <si>
    <t>PUCCH公共资源</t>
  </si>
  <si>
    <t xml:space="preserve">取值范围：[0~15,0x00000FFF]
0x00000FFF表示无效
</t>
  </si>
  <si>
    <t>PucchGroupHopping</t>
  </si>
  <si>
    <t>PUCCH组跳频开关</t>
  </si>
  <si>
    <t>unsignedInt[0:2]</t>
  </si>
  <si>
    <t xml:space="preserve">取值范围：[0~2]
分别对应{ neither, enable, disable }
</t>
  </si>
  <si>
    <t>HoppingId</t>
  </si>
  <si>
    <t>PUCCH加扰ID</t>
  </si>
  <si>
    <t xml:space="preserve">取值范围：[0~1023,0x00000FFF]
0x00000FFF表示无效
</t>
  </si>
  <si>
    <t>P0nominal</t>
  </si>
  <si>
    <t>PUCCH功率值P0</t>
  </si>
  <si>
    <t xml:space="preserve">取值范围：[-202~24, 0x00000FFF]
0x00000FFF表示无效
</t>
  </si>
  <si>
    <t>RootType</t>
  </si>
  <si>
    <t>根序列类型</t>
  </si>
  <si>
    <t>参考3GPP TS38.331参数：RootSequenceIndex，RootType用于控制选择长、短跟序列</t>
  </si>
  <si>
    <t>RootSequenceIndex</t>
  </si>
  <si>
    <t>根序列索引</t>
  </si>
  <si>
    <t>unsignedInt[0:837]</t>
  </si>
  <si>
    <t xml:space="preserve">RootType=0时，取值范围为：[0~837]；
RootType=1时，取值范围为：[0~137]；
</t>
  </si>
  <si>
    <t>msg1子载波间隔</t>
  </si>
  <si>
    <t>RestrictedSetConfig</t>
  </si>
  <si>
    <t>限制集配置参数</t>
  </si>
  <si>
    <t xml:space="preserve">取值范围：{0, 1, 2}
分别对应{ unrestrictedSet, restrictedSetTypeA, restrictedSetTypeB }
</t>
  </si>
  <si>
    <t>DmrsTypeAPosition</t>
  </si>
  <si>
    <t>DMRS TypeA位置</t>
  </si>
  <si>
    <t>上下行DM-RS位置，取值范围：{0, 1}分别表示{pos2, pos3}</t>
  </si>
  <si>
    <t>ControlResourceSetZero</t>
  </si>
  <si>
    <t>CORESET#0</t>
  </si>
  <si>
    <t>SearchSpaceZero</t>
  </si>
  <si>
    <t>搜索空间#0</t>
  </si>
  <si>
    <t>SearchSpaceSIB1</t>
  </si>
  <si>
    <t>SIB1搜索空间</t>
  </si>
  <si>
    <t>unsignedInt[0:39]</t>
  </si>
  <si>
    <t>SearchSpaceOtherSystemInformation</t>
  </si>
  <si>
    <t>其它SI搜索空间</t>
  </si>
  <si>
    <t>PagingSearchSpace</t>
  </si>
  <si>
    <t>寻呼搜索空间</t>
  </si>
  <si>
    <t>RaSearchSpace</t>
  </si>
  <si>
    <t>随机接入搜索空间</t>
  </si>
  <si>
    <t>ControlResourceSetId</t>
  </si>
  <si>
    <t>控制资源集ID</t>
  </si>
  <si>
    <t>unsignedInt[0:11]</t>
  </si>
  <si>
    <t>FrequencyDomainResources</t>
  </si>
  <si>
    <t>控制资源集频域范围</t>
  </si>
  <si>
    <t>string(45)</t>
  </si>
  <si>
    <t>Duration</t>
  </si>
  <si>
    <t>符号数</t>
  </si>
  <si>
    <t>控制资源集占用符号数，取值范围：{0~3}</t>
  </si>
  <si>
    <t>CCE-REG映射类型</t>
  </si>
  <si>
    <t xml:space="preserve">取值范围：{0,1}
0表示RegBundleSize、InterleaverSize、ShiftIndex三个参数无效；1表示三个参数有效；
</t>
  </si>
  <si>
    <t>RegBundleSize</t>
  </si>
  <si>
    <t>REG绑定大小</t>
  </si>
  <si>
    <t xml:space="preserve">取值范围：{0，1,2}
分别对应{ n2, n3, n6}；
</t>
  </si>
  <si>
    <t>InterleaverSize</t>
  </si>
  <si>
    <t>交织长度</t>
  </si>
  <si>
    <t xml:space="preserve">取值范围：{0，1,2}
分别对应{ n2, n3, n6}；
</t>
  </si>
  <si>
    <t>ShiftIndex</t>
  </si>
  <si>
    <t>转换索引</t>
  </si>
  <si>
    <t>PrecoderGranularity</t>
  </si>
  <si>
    <t>预编码粒度</t>
  </si>
  <si>
    <t>PdcchDMRSScramblingID</t>
  </si>
  <si>
    <t>PDCCH DMRS加扰ID</t>
  </si>
  <si>
    <t>SearchSpaceId</t>
  </si>
  <si>
    <t>搜索空间ID</t>
  </si>
  <si>
    <t>MonitoringSlotPeriodicity</t>
  </si>
  <si>
    <t>搜索空间周期</t>
  </si>
  <si>
    <t>MonitoringSlotOffset</t>
  </si>
  <si>
    <t>监测周期偏置</t>
  </si>
  <si>
    <t>unsignedInt[0:2559]</t>
  </si>
  <si>
    <t xml:space="preserve">配置搜索空间监测周期的偏置。
取值范围：
[0~ MonitoringSlotPeriodicity-1]
</t>
  </si>
  <si>
    <t>监测时隙数目</t>
  </si>
  <si>
    <t>MonitoringSymbolsWithinSlot</t>
  </si>
  <si>
    <t>监测符号位置</t>
  </si>
  <si>
    <t>AggregationLevel1</t>
  </si>
  <si>
    <t>聚合等级1</t>
  </si>
  <si>
    <t>取值范围：{0~7}
分别对应{ n0, n1, n2, n3, n4, n5, n6, n8}</t>
  </si>
  <si>
    <t>AggregationLevel2</t>
  </si>
  <si>
    <t>聚合等级2</t>
  </si>
  <si>
    <t>AggregationLevel4</t>
  </si>
  <si>
    <t>聚合等级4</t>
  </si>
  <si>
    <t>AggregationLevel8</t>
  </si>
  <si>
    <t>聚合等级8</t>
  </si>
  <si>
    <t>AggregationLevel16</t>
  </si>
  <si>
    <t>聚合等级16</t>
  </si>
  <si>
    <t>SearchSpaceType</t>
  </si>
  <si>
    <t>搜索空间类型</t>
  </si>
  <si>
    <t>取值范围：{0，1}
0表示选择common配置；
1表示选择ue专有配置；</t>
  </si>
  <si>
    <t>DciFormat00And10En</t>
  </si>
  <si>
    <t>公共搜索空间DCI格式开关</t>
  </si>
  <si>
    <t>配置为公共搜索空间时，dci-Format0-0-AndFormat1-0是否存在
取值范围：{0，1}</t>
  </si>
  <si>
    <t>UeSpecificDciFormats</t>
  </si>
  <si>
    <t>UE专用DCI格式</t>
  </si>
  <si>
    <t>配置为ue专用搜索空间时，存在的DCI格式。
取值范围：{0，1}
分别对应{ formats0-0-And-1-0, formats0-1-And-1-1}；</t>
  </si>
  <si>
    <t>K0</t>
  </si>
  <si>
    <t>PDCCH到PDSCH调度延迟</t>
  </si>
  <si>
    <t>PDSCH映射类型</t>
  </si>
  <si>
    <t>PDSCH映射类型。
取值范围：{0,1}
分别对应{ typeA, typeB }；i取值最大16</t>
  </si>
  <si>
    <t>PDSCH起始符号和长度</t>
  </si>
  <si>
    <t>PDSCH起始符号和长度。
取值范围：{0~127}，i取值最大16</t>
  </si>
  <si>
    <t xml:space="preserve">TotalNumberOfRAPreambles </t>
  </si>
  <si>
    <t>Preamble码个数</t>
  </si>
  <si>
    <t>SSBPerRACHOccasionChoice</t>
  </si>
  <si>
    <t>PRACH对应SSB个数</t>
  </si>
  <si>
    <t>SSB对应前导码个数</t>
  </si>
  <si>
    <t xml:space="preserve">SSB对应前导码个数，1）SSBPerRACHOccasionChoice=0时，取值范围：[0~15]，对应{n4,n8,n12,n16,n20,n24,n28,n32,n36,n40,n44,n48,n52,n56,n60,n64}；
2）SSBPerRACHOccasionChoice=1时，取值范围：[0~15]，对应{n4,n8,n12,n16,n20,n24,n28,n32,n36,n40,n44,n48,n52,n56,n60,n64}；
3）SSBPerRACHOccasionChoice=2时，取值范围：[0~15]，对应{n4,n8,n12,n16,n20,n24,n28,n32,n36,n40,n44,n48,n52,n56,n60,n64}；
4）SSBPerRACHOccasionChoice=3时，取值范围：[0~15]，对应{n4,n8,n12,n16,n20,n24,n28,n32,n36,n40,n44,n48,n52,n56,n60,n64}；
</t>
  </si>
  <si>
    <t xml:space="preserve">RaMsg3SizeGroupA </t>
  </si>
  <si>
    <t>Msg3 GroupA大小门限</t>
  </si>
  <si>
    <t>unsignedInt[0:9]</t>
  </si>
  <si>
    <t xml:space="preserve">取值范围：[0~9]
分别对应{ b56, b144, b208, b256, b282, b480, b640, b800, b1000,b72}
</t>
  </si>
  <si>
    <t xml:space="preserve">MessagePowerOffsetGroupB </t>
  </si>
  <si>
    <t>Preamble码选择门限值</t>
  </si>
  <si>
    <t xml:space="preserve">取值范围：[0~7]
分别对应{ minusinfinity, dB0, dB5, dB8, dB10, dB12, dB15, dB18}
</t>
  </si>
  <si>
    <t xml:space="preserve">NumberOfRAPreamblesGroupA </t>
  </si>
  <si>
    <t>GroupA中Preamble码个数</t>
  </si>
  <si>
    <t>INTEGER (1..64)</t>
  </si>
  <si>
    <t xml:space="preserve">RaContentionResolutionTimer </t>
  </si>
  <si>
    <t>随机接入竞争窗长</t>
  </si>
  <si>
    <t xml:space="preserve">取值范围：[0~7]
分别对应{ sf8, sf16, sf24, sf32, sf40, sf48, sf56, sf64}
</t>
  </si>
  <si>
    <t xml:space="preserve">RsrpThresholdSSB </t>
  </si>
  <si>
    <t>随机接入SSB RSRP门限</t>
  </si>
  <si>
    <t>PreambleReceivedTargetPower</t>
  </si>
  <si>
    <t>前导目标接收功率</t>
  </si>
  <si>
    <t>取值范围：[-202 ~ -60]</t>
  </si>
  <si>
    <t>unsignedInt[0:10]</t>
  </si>
  <si>
    <t xml:space="preserve">取值范围：[0,1,2,3,4,5,6,7,8,9,10]
分别对应{n3, n4, n5, n6, n7, n8, n10, n20, n50, n100, n200}
</t>
  </si>
  <si>
    <t>PowerRampingStep</t>
  </si>
  <si>
    <t>前导爬坡步长</t>
  </si>
  <si>
    <t>unsignedInt[0:3]</t>
  </si>
  <si>
    <t xml:space="preserve">取值范围：[0,1,2,3]
分别对应{dB0, dB2, dB4, dB6}
</t>
  </si>
  <si>
    <t>RaResponseWindow</t>
  </si>
  <si>
    <t>RAR窗长</t>
  </si>
  <si>
    <t xml:space="preserve">取值范围：[0,1,2,3,4,5,6,7]
分别对应{sl1, sl2, sl4, sl8, sl10, sl20, sl40, sl80}
</t>
  </si>
  <si>
    <t>Msg3预编码</t>
  </si>
  <si>
    <t>RRC参数管理（RRC计时器）</t>
  </si>
  <si>
    <t>Device.Services.FAPService.{i}.CellConfig.{i}.NR.RAN.RRCTimers.T300</t>
  </si>
  <si>
    <t>T300</t>
  </si>
  <si>
    <t>T300定时器</t>
  </si>
  <si>
    <t>连续RRCConnectionRequest传输之间的时间间隔,ms100对应100，ms200对应200，依次类推。
取值范围：[0~7]
{ms100,ms200, ms300,ms400, ms600,ms1000, ms1500,ms2000}</t>
  </si>
  <si>
    <t>Device.Services.FAPService.{i}.CellConfig.{i}.NR.RAN.RRCTimers.T301</t>
  </si>
  <si>
    <t>T301</t>
  </si>
  <si>
    <t>T301定时器</t>
  </si>
  <si>
    <t>连续RRCConnectionReestablishmentRe
quest传输之间的时间间隔，ms100对应100，ms200对应200，依次类推。
取值范围：[0~7]
{ms100,ms200,ms300,ms400, ms600,ms1000, ms1500,ms2000}</t>
  </si>
  <si>
    <t>Device.Services.FAPService.{i}.CellConfig.{i}.NR.RAN.RRCTimers.T302</t>
  </si>
  <si>
    <t>T302</t>
  </si>
  <si>
    <t>T302定时器</t>
  </si>
  <si>
    <t>unsignedInt[1:16]</t>
  </si>
  <si>
    <t>RRCConnectionReject 之后小区重选或
RRConnectionSetup等待的时间</t>
  </si>
  <si>
    <t>T304</t>
  </si>
  <si>
    <t>T304定时器</t>
  </si>
  <si>
    <t>在MCG中，T304定时器为切换失败定时器；在SCG中，T304定时器为同步失败定时器。</t>
  </si>
  <si>
    <t>Device.Services.FAPService.{i}.CellConfig.{i}.NR.RAN.RRCTimers.T310</t>
  </si>
  <si>
    <t>T310</t>
  </si>
  <si>
    <t>T310定时器</t>
  </si>
  <si>
    <t>Device.Services.FAPService.{i}.CellConfig.{i}.NR.RAN.RRCTimers.T311</t>
  </si>
  <si>
    <t>T311</t>
  </si>
  <si>
    <t>T311定时器</t>
  </si>
  <si>
    <t>T320</t>
  </si>
  <si>
    <t>T320定时器</t>
  </si>
  <si>
    <t>Device.Services.FAPService.{i}.CellConfig.{i}.NR.RAN.RRCTimers.N310</t>
  </si>
  <si>
    <t>N310</t>
  </si>
  <si>
    <t>N310定时器</t>
  </si>
  <si>
    <t>从低层收到的”out-of-sync” 标志的连续数目，会触发T310定时器。对应TS 38.331 中n310参数，n1对应1，n2对应2，依次类推，
取值范围：[0~7]
{n1,n2,n3,n4,n6,n8,n10, n20}</t>
  </si>
  <si>
    <t>Device.Services.FAPService.{i}.CellConfig.{i}.NR.RAN.RRCTimers.N311</t>
  </si>
  <si>
    <t>N311</t>
  </si>
  <si>
    <t>N311定时器</t>
  </si>
  <si>
    <t>从低层收到的”in-sync”标志的连续数目，会停止T310定时器。对应TS 38.331的n311参数，n1对应1，n2对应2，依次类推，
取值范围：[0~7]
{n1,n2,n3,n4,n5,n6,n8,n10}</t>
  </si>
  <si>
    <t>Device.Services.FAPService.{i}.CellConfig.{i}.NR.RAN.RRCTimers.T319</t>
  </si>
  <si>
    <t>T319</t>
  </si>
  <si>
    <t>T319定时器</t>
  </si>
  <si>
    <t>RNAU周期</t>
  </si>
  <si>
    <t>Device.Services.FAPService.{i}.CellConfig.{i}.NR.RAN.RRCTimers.T380</t>
  </si>
  <si>
    <t>T380</t>
  </si>
  <si>
    <t>T380定时器</t>
  </si>
  <si>
    <t>周期性RNAU时间</t>
  </si>
  <si>
    <t>5G邻区参数管理</t>
  </si>
  <si>
    <t>邻区PLMN ID</t>
  </si>
  <si>
    <t>邻区PLMN ID，由MCC和MNC组成</t>
  </si>
  <si>
    <t>CID</t>
  </si>
  <si>
    <t>邻区CID</t>
  </si>
  <si>
    <t>unsignedLong[1:68719476735]</t>
  </si>
  <si>
    <t>邻区CID（36bit）</t>
  </si>
  <si>
    <t>Device.Services.FAPService.{i}.CellConfig.{i}.NR.RAN.NeighborList.NRCell.{i}.NRCarrierARFCN</t>
  </si>
  <si>
    <t>NRCarrierARFCN</t>
  </si>
  <si>
    <t>NR邻区载频的ARFCN</t>
  </si>
  <si>
    <t>ssbFrequency</t>
  </si>
  <si>
    <t>SSB频点号</t>
  </si>
  <si>
    <t>NR邻区载频的SSB ARFCN</t>
  </si>
  <si>
    <t>Device.Services.FAPService.{i}.CellConfig.{i}.NR.RAN.NeighborList.NRCell.{i}.ssbSubcarrierSpacing</t>
  </si>
  <si>
    <t xml:space="preserve">ssbSubcarrierSpacing </t>
  </si>
  <si>
    <t>SSB子载波间隔</t>
  </si>
  <si>
    <t xml:space="preserve">子载波间隔，取值范围：{0, 1, 2, 3, 4}
0代表kHz15，1代表kHz30，2代表kHz60，3代表kHz120，4代表kHz240.
</t>
  </si>
  <si>
    <t>邻区物理小区ID</t>
  </si>
  <si>
    <t>unsignedInt[0:1007]</t>
  </si>
  <si>
    <t>NR邻区PCI</t>
  </si>
  <si>
    <t>邻区TAC</t>
  </si>
  <si>
    <t>TAC（24bit）</t>
  </si>
  <si>
    <t>QOffset</t>
  </si>
  <si>
    <t>小区特定偏移量</t>
  </si>
  <si>
    <t>int[-24:-8, -6:6, 8:24]</t>
  </si>
  <si>
    <t>邻区的小区特定偏移量，-6到6区间的步长为1dB，其他区间步长为2dB</t>
  </si>
  <si>
    <t>QRxLevMinOffsetCell</t>
  </si>
  <si>
    <t>小区专用最小接收电平偏移量</t>
  </si>
  <si>
    <t>unsignedInt[1:8]</t>
  </si>
  <si>
    <t xml:space="preserve">QQualMinOffsetCell </t>
  </si>
  <si>
    <t>小区专用最低接入信号质量偏移值</t>
  </si>
  <si>
    <t>QQualMinOffsetCell</t>
  </si>
  <si>
    <t>CIO</t>
  </si>
  <si>
    <t>小区独立偏移量</t>
  </si>
  <si>
    <t>邻区的小区独立偏移量，-6到6区间的步长为1dB，其他区间步长为2dB</t>
  </si>
  <si>
    <t>Blacklisted</t>
  </si>
  <si>
    <t>禁止切换标识</t>
  </si>
  <si>
    <t>邻小区是否可以被UE作为切换目标，
1=禁止向该小区切换；
0=允许向该小区切换</t>
  </si>
  <si>
    <t>LTE邻区参数管理</t>
  </si>
  <si>
    <t>Tci</t>
  </si>
  <si>
    <t>unsignedInt[1:268435455]</t>
  </si>
  <si>
    <t>邻区CID（28bit）</t>
  </si>
  <si>
    <t>EUTRACarrierARFCN</t>
  </si>
  <si>
    <t>邻区EARFCN</t>
  </si>
  <si>
    <t>邻区载频的EARFCN</t>
  </si>
  <si>
    <t>邻区PCI</t>
  </si>
  <si>
    <t>unsignedInt[0:503]</t>
  </si>
  <si>
    <t>4G邻区PCI</t>
  </si>
  <si>
    <t>Qoffset</t>
  </si>
  <si>
    <t>QOffsetCell</t>
  </si>
  <si>
    <t>Device.Services.FAPService.{i}.CellConfig.{i}.NR.RAN.NeighborList.LTECell.{i}.CIO</t>
  </si>
  <si>
    <t>Device.Services.FAPService.{i}.CellConfig.{i}.NR.RAN.NeighborList.LTECell.{i}.Blacklisted</t>
  </si>
  <si>
    <t>TAC（16bit）</t>
  </si>
  <si>
    <t>Device.Services.FAPService.{i}.CellConfig.{i}.NR.RAN.NeighborList.LTECell.{i}.EnbType</t>
  </si>
  <si>
    <t>EnbType</t>
  </si>
  <si>
    <t>邻区基站类型</t>
  </si>
  <si>
    <t>基站类型
0=宏站小区
1=微站小区</t>
  </si>
  <si>
    <t xml:space="preserve">SmeasureConfig </t>
  </si>
  <si>
    <t>测量启动门限</t>
  </si>
  <si>
    <t>Device.Services.FAPService.{i}.CellConfig.{i}.NR.RAN.Mobility.ConnMode.NR.A1MeasureCtrl.1.Enable</t>
  </si>
  <si>
    <t>是否启用该表项</t>
  </si>
  <si>
    <t>A1ThresholdRSRP</t>
  </si>
  <si>
    <t>A1事件RSRP门限</t>
  </si>
  <si>
    <t>Device.Services.FAPService.{i}.CellConfig.{i}.NR.RAN.Mobility.ConnMode.NR.A1MeasureCtrl.1.A1ThresholdRSRQ</t>
  </si>
  <si>
    <t>A1ThresholdRSRQ</t>
  </si>
  <si>
    <t>A1事件RSRQ门限</t>
  </si>
  <si>
    <t>A1ThresholdSINR</t>
  </si>
  <si>
    <t>A1事件SINR门限</t>
  </si>
  <si>
    <t>用于NR测量中，触发量为SINR时，A1事件触发条件的绝对门限</t>
  </si>
  <si>
    <t>ReportOnLeave</t>
  </si>
  <si>
    <t>A1事件离开上报指示</t>
  </si>
  <si>
    <t>某小区的离开状态满足时,UE是否触发测量上报过程；
0:代表不满足条件的小区离开测量列表时不进行上报；
1:代表都会触发测量结果的填写以及上报消息的发送</t>
  </si>
  <si>
    <t>Device.Services.FAPService.{i}.CellConfig.{i}.NR.RAN.Mobility.ConnMode.NR.A1MeasureCtrl.1.Hysteresis</t>
  </si>
  <si>
    <t>Hysteresis</t>
  </si>
  <si>
    <t>迟滞值</t>
  </si>
  <si>
    <t>unsignedInt[0:30]</t>
  </si>
  <si>
    <t>进入和离开上报触发事件条件的滞后值</t>
  </si>
  <si>
    <t>Device.Services.FAPService.{i}.CellConfig.{i}.NR.RAN.Mobility.ConnMode.NR.A1MeasureCtrl.1.MaxReportCells</t>
  </si>
  <si>
    <t>MaxReportCells</t>
  </si>
  <si>
    <t>最大上报小区数</t>
  </si>
  <si>
    <t>测量报告中包含小区的最大数目</t>
  </si>
  <si>
    <t>Device.Services.FAPService.{i}.CellConfig.{i}.NR.RAN.Mobility.ConnMode.NR.A1MeasureCtrl.1.MeasurePurpose</t>
  </si>
  <si>
    <t>MeasurePurpose</t>
  </si>
  <si>
    <t>测量目的</t>
  </si>
  <si>
    <t>unsignedInt[1:100]</t>
  </si>
  <si>
    <t>用于表明当前配置事件的使用目的，本字段取值固定为：
(1=异频测量)</t>
  </si>
  <si>
    <t>ReportAmount</t>
  </si>
  <si>
    <t>上报次数</t>
  </si>
  <si>
    <t>unsignedInt[0:2, 4, 8, 16, 32, 64]</t>
  </si>
  <si>
    <t>测量报告发送的次数，0表示无限次</t>
  </si>
  <si>
    <t>Device.Services.FAPService.{i}.CellConfig.{i}.NR.RAN.Mobility.ConnMode.NR.A1MeasureCtrl.1.ReportInterval</t>
  </si>
  <si>
    <t>ReportInterval</t>
  </si>
  <si>
    <t>上报间隔</t>
  </si>
  <si>
    <t>unsignedInt[120, 240, 480, 640, 1024, 2048, 5120, 10240, 60000, 360000, 720000, 1800000]</t>
  </si>
  <si>
    <t>连续测量报告之间的间隔，单位ms</t>
  </si>
  <si>
    <t>ReportQuantityCell</t>
  </si>
  <si>
    <t>上报量</t>
  </si>
  <si>
    <t>测量报告中的上报量
{rsrp 
rsrq 
sinr }</t>
  </si>
  <si>
    <t>Device.Services.FAPService.{i}.CellConfig.{i}.NR.RAN.Mobility.ConnMode.NR.A1MeasureCtrl.1.TimeToTrigger</t>
  </si>
  <si>
    <t>TimeToTrigger</t>
  </si>
  <si>
    <t>触发时间</t>
  </si>
  <si>
    <t>unsignedInt[0,40, 64, 80,100,128, 160,256,320, 480, 512, 640, 1024,1280,2560,5120]</t>
  </si>
  <si>
    <t>为了满足触发RAT测量报告,触发条件持续的时间，单位ms</t>
  </si>
  <si>
    <t>Device.Services.FAPService.{i}.CellConfig.{i}.NR.RAN.Mobility.ConnMode.NR.A1MeasureCtrl.1.RsType</t>
  </si>
  <si>
    <t>RsType</t>
  </si>
  <si>
    <t>测量类型指示</t>
  </si>
  <si>
    <t>用来指示测量参考信号的类型，是ssb还是csi-rs,{ssb,csi-rs}</t>
  </si>
  <si>
    <t>IncludeBeamMeasurements</t>
  </si>
  <si>
    <t>波束赋形测量指示</t>
  </si>
  <si>
    <t>Device.Services.FAPService.{i}.CellConfig.{i}.NR.RAN.Mobility.ConnMode.NR.A1MeasureCtrl.2.Enable</t>
  </si>
  <si>
    <t>用于NR测量中,触发量为RSRP时,A1事件触发条件的绝对门限</t>
  </si>
  <si>
    <t>Device.Services.FAPService.{i}.CellConfig.{i}.NR.RAN.Mobility.ConnMode.NR.A1MeasureCtrl.2.A1ThresholdRSRQ</t>
  </si>
  <si>
    <t>用于NR测量中,触发量为RSRQ时,A1事件触发条件的绝对门限</t>
  </si>
  <si>
    <t>Device.Services.FAPService.{i}.CellConfig.{i}.NR.RAN.Mobility.ConnMode.NR.A1MeasureCtrl.2.ReportOnLeave</t>
  </si>
  <si>
    <t>Device.Services.FAPService.{i}.CellConfig.{i}.NR.RAN.Mobility.ConnMode.NR.A1MeasureCtrl.2.Hysteresis</t>
  </si>
  <si>
    <t>Device.Services.FAPService.{i}.CellConfig.{i}.NR.RAN.Mobility.ConnMode.NR.A1MeasureCtrl.2.MaxReportCells</t>
  </si>
  <si>
    <t>Device.Services.FAPService.{i}.CellConfig.{i}.NR.RAN.Mobility.ConnMode.NR.A1MeasureCtrl.2.MeasurePurpose</t>
  </si>
  <si>
    <t>用于表明当前配置事件的使用目的，本字段取值固定为：
(2=异系统EUTRA测量)</t>
  </si>
  <si>
    <t>Device.Services.FAPService.{i}.CellConfig.{i}.NR.RAN.Mobility.ConnMode.NR.A1MeasureCtrl.2.TimeToTrigger</t>
  </si>
  <si>
    <t>Device.Services.FAPService.{i}.CellConfig.{i}.NR.RAN.Mobility.ConnMode.NR.A1MeasureCtrl.2.RsType</t>
  </si>
  <si>
    <t>Device.Services.FAPService.{i}.CellConfig.{i}.NR.RAN.Mobility.ConnMode.NR.A1MeasureCtrl.2.IncludeBeamMeasurements</t>
  </si>
  <si>
    <t>CB</t>
  </si>
  <si>
    <t>Device.Services.FAPService.{i}.CellConfig.{i}.NR.RAN.Mobility.ConnMode.NR.A1MeasureCtrl.{i}.A1ThresholdRSRQ</t>
  </si>
  <si>
    <t>Device.Services.FAPService.{i}.CellConfig.{i}.NR.RAN.Mobility.ConnMode.NR.A1MeasureCtrl.{i}.A1ThresholdSINR</t>
  </si>
  <si>
    <t>Device.Services.FAPService.{i}.CellConfig.{i}.NR.RAN.Mobility.ConnMode.NR.A1MeasureCtrl.{i}.ReportOnLeave</t>
  </si>
  <si>
    <t>Device.Services.FAPService.{i}.CellConfig.{i}.NR.RAN.Mobility.ConnMode.NR.A1MeasureCtrl.{i}.Hysteresis</t>
  </si>
  <si>
    <t>Device.Services.FAPService.{i}.CellConfig.{i}.NR.RAN.Mobility.ConnMode.NR.A1MeasureCtrl.{i}.MaxReportCells</t>
  </si>
  <si>
    <t>Device.Services.FAPService.{i}.CellConfig.{i}.NR.RAN.Mobility.ConnMode.NR.A1MeasureCtrl.{i}.MeasurePurpose</t>
  </si>
  <si>
    <t>用于表明当前配置事件的使用目的，厂家自定义测量事件从10开始定义</t>
  </si>
  <si>
    <t>Device.Services.FAPService.{i}.CellConfig.{i}.NR.RAN.Mobility.ConnMode.NR.A1MeasureCtrl.{i}.ReportAmount</t>
  </si>
  <si>
    <t>Device.Services.FAPService.{i}.CellConfig.{i}.NR.RAN.Mobility.ConnMode.NR.A1MeasureCtrl.{i}.ReportInterval</t>
  </si>
  <si>
    <t>Device.Services.FAPService.{i}.CellConfig.{i}.NR.RAN.Mobility.ConnMode.NR.A1MeasureCtrl.{i}.ReportQuantityCell</t>
  </si>
  <si>
    <t>Device.Services.FAPService.{i}.CellConfig.{i}.NR.RAN.Mobility.ConnMode.NR.A1MeasureCtrl.{i}.RsType</t>
  </si>
  <si>
    <t>Device.Services.FAPService.{i}.CellConfig.{i}.NR.RAN.Mobility.ConnMode.NR.A1MeasureCtrl.{i}.IncludeBeamMeasurements</t>
  </si>
  <si>
    <t>A2事件测量控制参数</t>
  </si>
  <si>
    <t>Device.Services.FAPService.{i}.CellConfig.{i}.NR.RAN.Mobility.ConnMode.NR.A2MeasureCtrl.1.Enable</t>
  </si>
  <si>
    <t>参数路径中最后一个多实例节点（{i}）序号1～10为系统保留段，若厂商对A2测量事件有其它用途，则从A2MeasureCtrl.11.开始定义</t>
  </si>
  <si>
    <t>Device.Services.FAPService.{i}.CellConfig.{i}.NR.RAN.Mobility.ConnMode.NR.A2MeasureCtrl.1.A2ThresholdRSRP</t>
  </si>
  <si>
    <t>A2ThresholdRSRP</t>
  </si>
  <si>
    <t>A2事件RSRP门限</t>
  </si>
  <si>
    <t>用于NR测量中,触发量为RSRP时,A2事件触发条件的绝对门限</t>
  </si>
  <si>
    <t>Device.Services.FAPService.{i}.CellConfig.{i}.NR.RAN.Mobility.ConnMode.NR.A2MeasureCtrl.1.A2ThresholdRSRQ</t>
  </si>
  <si>
    <t>A2ThresholdRSRQ</t>
  </si>
  <si>
    <t>A2事件RSRQ门限</t>
  </si>
  <si>
    <t xml:space="preserve">用于NR测量中,触发量为RSRQ时,A2事件触发条件的绝对门限
</t>
  </si>
  <si>
    <t>Device.Services.FAPService.{i}.CellConfig.{i}.NR.RAN.Mobility.ConnMode.NR.A2MeasureCtrl.1.A2ThresholdSINR</t>
  </si>
  <si>
    <t>A2ThresholdSINR</t>
  </si>
  <si>
    <t>A2事件SINR门限</t>
  </si>
  <si>
    <t>用于NR测量中，触发量为SINR时，A2事件触发条件的绝对门限</t>
  </si>
  <si>
    <t>Device.Services.FAPService.{i}.CellConfig.{i}.NR.RAN.Mobility.ConnMode.NR.A2MeasureCtrl.1.ReportOnLeave</t>
  </si>
  <si>
    <t>A2事件离开上报指示</t>
  </si>
  <si>
    <t>Device.Services.FAPService.{i}.CellConfig.{i}.NR.RAN.Mobility.ConnMode.NR.A2MeasureCtrl.1.Hysteresis</t>
  </si>
  <si>
    <t xml:space="preserve">进入和离开上报触发事件条件的滞后值
</t>
  </si>
  <si>
    <t>Device.Services.FAPService.{i}.CellConfig.{i}.NR.RAN.Mobility.ConnMode.NR.A2MeasureCtrl.1.MaxReportCells</t>
  </si>
  <si>
    <t xml:space="preserve">测量报告中包含小区的最大数目
</t>
  </si>
  <si>
    <t>Device.Services.FAPService.{i}.CellConfig.{i}.NR.RAN.Mobility.ConnMode.NR.A2MeasureCtrl.1.MeasurePurpose</t>
  </si>
  <si>
    <t>Device.Services.FAPService.{i}.CellConfig.{i}.NR.RAN.Mobility.ConnMode.NR.A2MeasureCtrl.1.ReportAmount</t>
  </si>
  <si>
    <t>Device.Services.FAPService.{i}.CellConfig.{i}.NR.RAN.Mobility.ConnMode.NR.A2MeasureCtrl.1.ReportInterval</t>
  </si>
  <si>
    <t>Device.Services.FAPService.{i}.CellConfig.{i}.NR.RAN.Mobility.ConnMode.NR.A2MeasureCtrl.1.ReportQuantityCell</t>
  </si>
  <si>
    <t>Device.Services.FAPService.{i}.CellConfig.{i}.NR.RAN.Mobility.ConnMode.NR.A2MeasureCtrl.1.TimeToTrigger</t>
  </si>
  <si>
    <t>为了满足触发RAT测量报告触发条件持续的时间，单位ms</t>
  </si>
  <si>
    <t>Device.Services.FAPService.{i}.CellConfig.{i}.NR.RAN.Mobility.ConnMode.NR.A2MeasureCtrl.1.RsType</t>
  </si>
  <si>
    <t>Device.Services.FAPService.{i}.CellConfig.{i}.NR.RAN.Mobility.ConnMode.NR.A2MeasureCtrl.1.IncludeBeamMeasurements</t>
  </si>
  <si>
    <t>Device.Services.FAPService.{i}.CellConfig.{i}.NR.RAN.Mobility.ConnMode.NR.A2MeasureCtrl.2.Enable</t>
  </si>
  <si>
    <t>Device.Services.FAPService.{i}.CellConfig.{i}.NR.RAN.Mobility.ConnMode.NR.A2MeasureCtrl.2.A2ThresholdRSRP</t>
  </si>
  <si>
    <t>Device.Services.FAPService.{i}.CellConfig.{i}.NR.RAN.Mobility.ConnMode.NR.A2MeasureCtrl.2.A2ThresholdRSRQ</t>
  </si>
  <si>
    <t>Device.Services.FAPService.{i}.CellConfig.{i}.NR.RAN.Mobility.ConnMode.NR.A2MeasureCtrl.2.A2ThresholdSINR</t>
  </si>
  <si>
    <t>Device.Services.FAPService.{i}.CellConfig.{i}.NR.RAN.Mobility.ConnMode.NR.A2MeasureCtrl.2.ReportOnLeave</t>
  </si>
  <si>
    <t>Device.Services.FAPService.{i}.CellConfig.{i}.NR.RAN.Mobility.ConnMode.NR.A2MeasureCtrl.2.Hysteresis</t>
  </si>
  <si>
    <t>Device.Services.FAPService.{i}.CellConfig.{i}.NR.RAN.Mobility.ConnMode.NR.A2MeasureCtrl.2.MaxReportCells</t>
  </si>
  <si>
    <t>Device.Services.FAPService.{i}.CellConfig.{i}.NR.RAN.Mobility.ConnMode.NR.A2MeasureCtrl.2.MeasurePurpose</t>
  </si>
  <si>
    <t>Device.Services.FAPService.{i}.CellConfig.{i}.NR.RAN.Mobility.ConnMode.NR.A2MeasureCtrl.2.ReportAmount</t>
  </si>
  <si>
    <t>Device.Services.FAPService.{i}.CellConfig.{i}.NR.RAN.Mobility.ConnMode.NR.A2MeasureCtrl.2.ReportInterval</t>
  </si>
  <si>
    <t>Device.Services.FAPService.{i}.CellConfig.{i}.NR.RAN.Mobility.ConnMode.NR.A2MeasureCtrl.2.ReportQuantityCell</t>
  </si>
  <si>
    <t>Device.Services.FAPService.{i}.CellConfig.{i}.NR.RAN.Mobility.ConnMode.NR.A2MeasureCtrl.2.TimeToTrigger</t>
  </si>
  <si>
    <t>Device.Services.FAPService.{i}.CellConfig.{i}.NR.RAN.Mobility.ConnMode.NR.A2MeasureCtrl.2.RsType</t>
  </si>
  <si>
    <t>Device.Services.FAPService.{i}.CellConfig.{i}.NR.RAN.Mobility.ConnMode.NR.A2MeasureCtrl.2.IncludeBeamMeasurements</t>
  </si>
  <si>
    <t>Device.Services.FAPService.{i}.CellConfig.{i}.NR.RAN.Mobility.ConnMode.NR.A2MeasureCtrl.{i}.A2ThresholdRSRQ</t>
  </si>
  <si>
    <t>Device.Services.FAPService.{i}.CellConfig.{i}.NR.RAN.Mobility.ConnMode.NR.A2MeasureCtrl.{i}.A2ThresholdSINR</t>
  </si>
  <si>
    <t>Device.Services.FAPService.{i}.CellConfig.{i}.NR.RAN.Mobility.ConnMode.NR.A2MeasureCtrl.{i}.ReportOnLeave</t>
  </si>
  <si>
    <t>Device.Services.FAPService.{i}.CellConfig.{i}.NR.RAN.Mobility.ConnMode.NR.A2MeasureCtrl.{i}.Hysteresis</t>
  </si>
  <si>
    <t>Device.Services.FAPService.{i}.CellConfig.{i}.NR.RAN.Mobility.ConnMode.NR.A2MeasureCtrl.{i}.MaxReportCells</t>
  </si>
  <si>
    <t>Device.Services.FAPService.{i}.CellConfig.{i}.NR.RAN.Mobility.ConnMode.NR.A2MeasureCtrl.{i}.MeasurePurpose</t>
  </si>
  <si>
    <t>Device.Services.FAPService.{i}.CellConfig.{i}.NR.RAN.Mobility.ConnMode.NR.A2MeasureCtrl.{i}.ReportAmount</t>
  </si>
  <si>
    <t>Device.Services.FAPService.{i}.CellConfig.{i}.NR.RAN.Mobility.ConnMode.NR.A2MeasureCtrl.{i}.ReportInterval</t>
  </si>
  <si>
    <t>Device.Services.FAPService.{i}.CellConfig.{i}.NR.RAN.Mobility.ConnMode.NR.A2MeasureCtrl.{i}.ReportQuantityCell</t>
  </si>
  <si>
    <t>Device.Services.FAPService.{i}.CellConfig.{i}.NR.RAN.Mobility.ConnMode.NR.A2MeasureCtrl.{i}.TimeToTrigger</t>
  </si>
  <si>
    <t>Device.Services.FAPService.{i}.CellConfig.{i}.NR.RAN.Mobility.ConnMode.NR.A2MeasureCtrl.{i}.RsType</t>
  </si>
  <si>
    <t>Device.Services.FAPService.{i}.CellConfig.{i}.NR.RAN.Mobility.ConnMode.NR.A2MeasureCtrl.{i}.IncludeBeamMeasurements</t>
  </si>
  <si>
    <t>A3事件测量控制参数</t>
  </si>
  <si>
    <t>Device.Services.FAPService.{i}.CellConfig.{i}.NR.RAN.Mobility.ConnMode.NR.A3MeasureCtrl.1.Enable</t>
  </si>
  <si>
    <t>参数路径中最后一个多实例节点（{i}）序号1～10为系统保留段，若厂商对A3测量事件有其它用途，则从A3MeasureCtrl.11.开始定义</t>
  </si>
  <si>
    <t>Device.Services.FAPService.{i}.CellConfig.{i}.NR.RAN.Mobility.ConnMode.NR.A3MeasureCtrl.1.A3OffsetRSRP</t>
  </si>
  <si>
    <t>A3OffsetRSRP</t>
  </si>
  <si>
    <t>A3事件RSRP门限</t>
  </si>
  <si>
    <t>int[-30:30]</t>
  </si>
  <si>
    <t>用于NR测量中，A3事件RSRP触发条件的相对门限值</t>
  </si>
  <si>
    <t>Device.Services.FAPService.{i}.CellConfig.{i}.NR.RAN.Mobility.ConnMode.NR.A3MeasureCtrl.1.A3OffsetRSRQ</t>
  </si>
  <si>
    <t>A3OffsetRSRQ</t>
  </si>
  <si>
    <t>A3事件RSRQ门限</t>
  </si>
  <si>
    <t>用于NR测量中，A3事件RSRQ触发条件的相对门限值</t>
  </si>
  <si>
    <t>Device.Services.FAPService.{i}.CellConfig.{i}.NR.RAN.Mobility.ConnMode.NR.A3MeasureCtrl.1.A3OffsetSINR</t>
  </si>
  <si>
    <t>A3OffsetSINR</t>
  </si>
  <si>
    <t>A3事件SINR门限</t>
  </si>
  <si>
    <t>用于NR测量中，A3事件SINR触发条件的相对门限值</t>
  </si>
  <si>
    <t>Device.Services.FAPService.{i}.CellConfig.{i}.NR.RAN.Mobility.ConnMode.NR.A3MeasureCtrl.1.Hysteresis</t>
  </si>
  <si>
    <t>Device.Services.FAPService.{i}.CellConfig.{i}.NR.RAN.Mobility.ConnMode.NR.A3MeasureCtrl.1.MaxReportCells</t>
  </si>
  <si>
    <t>Device.Services.FAPService.{i}.CellConfig.{i}.NR.RAN.Mobility.ConnMode.NR.A3MeasureCtrl.1.MeasurePurpose</t>
  </si>
  <si>
    <t>用于表明当前配置事件的使用目的，本字段取值固定为：
(1=同频测量)</t>
  </si>
  <si>
    <t>Device.Services.FAPService.{i}.CellConfig.{i}.NR.RAN.Mobility.ConnMode.NR.A3MeasureCtrl.1.ReportAmount</t>
  </si>
  <si>
    <t>Device.Services.FAPService.{i}.CellConfig.{i}.NR.RAN.Mobility.ConnMode.NR.A3MeasureCtrl.1.ReportOnLeave</t>
  </si>
  <si>
    <t>A3事件离开上报指示</t>
  </si>
  <si>
    <t>Device.Services.FAPService.{i}.CellConfig.{i}.NR.RAN.Mobility.ConnMode.NR.A3MeasureCtrl.1.ReportInterval</t>
  </si>
  <si>
    <t>为了满足触发RAT测量报告触发条件持续的时间</t>
  </si>
  <si>
    <t>Device.Services.FAPService.{i}.CellConfig.{i}.NR.RAN.Mobility.ConnMode.NR.A3MeasureCtrl.1.ReportQuantityCell</t>
  </si>
  <si>
    <t>Device.Services.FAPService.{i}.CellConfig.{i}.NR.RAN.Mobility.ConnMode.NR.A3MeasureCtrl.1.TimeToTrigger</t>
  </si>
  <si>
    <t>Device.Services.FAPService.{i}.CellConfig.{i}.NR.RAN.Mobility.ConnMode.NR.A3MeasureCtrl.1.UseWhiteCellList</t>
  </si>
  <si>
    <t>UseWhiteCellList</t>
  </si>
  <si>
    <t>小区测量白名单指示</t>
  </si>
  <si>
    <t>指示是否使用小区测量白名单。
1：表示当相关小区包含在whiteCellsToAddModList中时，考虑任何邻区，关联measObjectNRto是否适合；
0：表示当相关小区没有包含在blackCellsToAddModList中时，考虑任何邻区，关联measObjectNRto是否适合；</t>
  </si>
  <si>
    <t>Device.Services.FAPService.{i}.CellConfig.{i}.NR.RAN.Mobility.ConnMode.NR.A3MeasureCtrl.1.RsType</t>
  </si>
  <si>
    <t>Device.Services.FAPService.{i}.CellConfig.{i}.NR.RAN.Mobility.ConnMode.NR.A3MeasureCtrl.1.IncludeBeamMeasurements</t>
  </si>
  <si>
    <t>Device.Services.FAPService.{i}.CellConfig.{i}.NR.RAN.Mobility.ConnMode.NR.A3MeasureCtrl.2.Enable</t>
  </si>
  <si>
    <t>Device.Services.FAPService.{i}.CellConfig.{i}.NR.RAN.Mobility.ConnMode.NR.A3MeasureCtrl.2.A3OffsetRSRP</t>
  </si>
  <si>
    <t>Device.Services.FAPService.{i}.CellConfig.{i}.NR.RAN.Mobility.ConnMode.NR.A3MeasureCtrl.2.A3OffsetRSRQ</t>
  </si>
  <si>
    <t>Device.Services.FAPService.{i}.CellConfig.{i}.NR.RAN.Mobility.ConnMode.NR.A3MeasureCtrl.2.A3OffsetSINR</t>
  </si>
  <si>
    <t>Device.Services.FAPService.{i}.CellConfig.{i}.NR.RAN.Mobility.ConnMode.NR.A3MeasureCtrl.2.Hysteresis</t>
  </si>
  <si>
    <t>Device.Services.FAPService.{i}.CellConfig.{i}.NR.RAN.Mobility.ConnMode.NR.A3MeasureCtrl.2.MaxReportCells</t>
  </si>
  <si>
    <t>Device.Services.FAPService.{i}.CellConfig.{i}.NR.RAN.Mobility.ConnMode.NR.A3MeasureCtrl.2.MeasurePurpose</t>
  </si>
  <si>
    <t>用于表明当前配置事件的使用目的，本字段取值固定为：
(2=异频测量)</t>
  </si>
  <si>
    <t>Device.Services.FAPService.{i}.CellConfig.{i}.NR.RAN.Mobility.ConnMode.NR.A3MeasureCtrl.2.ReportAmount</t>
  </si>
  <si>
    <t>Device.Services.FAPService.{i}.CellConfig.{i}.NR.RAN.Mobility.ConnMode.NR.A3MeasureCtrl.2.ReportOnLeave</t>
  </si>
  <si>
    <t>Device.Services.FAPService.{i}.CellConfig.{i}.NR.RAN.Mobility.ConnMode.NR.A3MeasureCtrl.2.ReportInterval</t>
  </si>
  <si>
    <t>Device.Services.FAPService.{i}.CellConfig.{i}.NR.RAN.Mobility.ConnMode.NR.A3MeasureCtrl.2.ReportQuantityCell</t>
  </si>
  <si>
    <t>Device.Services.FAPService.{i}.CellConfig.{i}.NR.RAN.Mobility.ConnMode.NR.A3MeasureCtrl.2.TimeToTrigger</t>
  </si>
  <si>
    <t>Device.Services.FAPService.{i}.CellConfig.{i}.NR.RAN.Mobility.ConnMode.NR.A3MeasureCtrl.2.UseWhiteCellList</t>
  </si>
  <si>
    <t>Device.Services.FAPService.{i}.CellConfig.{i}.NR.RAN.Mobility.ConnMode.NR.A3MeasureCtrl.2.RsType</t>
  </si>
  <si>
    <t>Device.Services.FAPService.{i}.CellConfig.{i}.NR.RAN.Mobility.ConnMode.NR.A3MeasureCtrl.2.IncludeBeamMeasurements</t>
  </si>
  <si>
    <t>Device.Services.FAPService.{i}.CellConfig.{i}.NR.RAN.Mobility.ConnMode.NR.A3MeasureCtrl.{i}.Enable</t>
  </si>
  <si>
    <t>Device.Services.FAPService.{i}.CellConfig.{i}.NR.RAN.Mobility.ConnMode.NR.A3MeasureCtrl.{i}.A3OffsetRSRQ</t>
  </si>
  <si>
    <t>Device.Services.FAPService.{i}.CellConfig.{i}.NR.RAN.Mobility.ConnMode.NR.A3MeasureCtrl.{i}.Hysteresis</t>
  </si>
  <si>
    <t>Device.Services.FAPService.{i}.CellConfig.{i}.NR.RAN.Mobility.ConnMode.NR.A3MeasureCtrl.{i}.MaxReportCells</t>
  </si>
  <si>
    <t>Device.Services.FAPService.{i}.CellConfig.{i}.NR.RAN.Mobility.ConnMode.NR.A3MeasureCtrl.{i}.MeasurePurpose</t>
  </si>
  <si>
    <t>Device.Services.FAPService.{i}.CellConfig.{i}.NR.RAN.Mobility.ConnMode.NR.A3MeasureCtrl.{i}.ReportAmount</t>
  </si>
  <si>
    <t>Device.Services.FAPService.{i}.CellConfig.{i}.NR.RAN.Mobility.ConnMode.NR.A3MeasureCtrl.{i}.ReportOnLeave</t>
  </si>
  <si>
    <t>Device.Services.FAPService.{i}.CellConfig.{i}.NR.RAN.Mobility.ConnMode.NR.A3MeasureCtrl.{i}.ReportInterval</t>
  </si>
  <si>
    <t>Device.Services.FAPService.{i}.CellConfig.{i}.NR.RAN.Mobility.ConnMode.NR.A3MeasureCtrl.{i}.ReportQuantityCell</t>
  </si>
  <si>
    <t>Device.Services.FAPService.{i}.CellConfig.{i}.NR.RAN.Mobility.ConnMode.NR.A3MeasureCtrl.{i}.TimeToTrigger</t>
  </si>
  <si>
    <t>Device.Services.FAPService.{i}.CellConfig.{i}.NR.RAN.Mobility.ConnMode.NR.A3MeasureCtrl.{i}.UseWhiteCellList</t>
  </si>
  <si>
    <t>Device.Services.FAPService.{i}.CellConfig.{i}.NR.RAN.Mobility.ConnMode.NR.A3MeasureCtrl.{i}.RsType</t>
  </si>
  <si>
    <t>A4事件测量控制参数</t>
  </si>
  <si>
    <t>Device.Services.FAPService.{i}.CellConfig.{i}.NR.RAN.Mobility.ConnMode.NR.A4MeasureCtrl.1.Enable</t>
  </si>
  <si>
    <t>参数路径中最后一个多实例节点（{i}）序号1～10为系统保留段，若厂商对A4测量事件有其它用途，则从A4MeasureCtrl.11.开始定义</t>
  </si>
  <si>
    <t>Device.Services.FAPService.{i}.CellConfig.{i}.NR.RAN.Mobility.ConnMode.NR.A4MeasureCtrl.1.A4ThresholdRSRP</t>
  </si>
  <si>
    <t>A4ThresholdRSRP</t>
  </si>
  <si>
    <t>A4事件RSRP门限</t>
  </si>
  <si>
    <t>用于NR测量中,触发量为RSRP时,A4事件触发条件的绝对门</t>
  </si>
  <si>
    <t>Device.Services.FAPService.{i}.CellConfig.{i}.NR.RAN.Mobility.ConnMode.NR.A4MeasureCtrl.1.A4ThresholdRSRQ</t>
  </si>
  <si>
    <t>A4ThresholdRSRQ</t>
  </si>
  <si>
    <t>A4事件RSRQ门限</t>
  </si>
  <si>
    <t>用于NR测量中,触发量为RSRQ时,A4事件触发条件的绝对门限</t>
  </si>
  <si>
    <t>Device.Services.FAPService.{i}.CellConfig.{i}.NR.RAN.Mobility.ConnMode.NR.A4MeasureCtrl.1.A4ThresholdSINR</t>
  </si>
  <si>
    <t>A4ThresholdSINR</t>
  </si>
  <si>
    <t>A4事件SINR门限</t>
  </si>
  <si>
    <t>用于NR测量中,触发量为SINR时,A4事件触发条件的绝对门限</t>
  </si>
  <si>
    <t>A4事件离开上报指示</t>
  </si>
  <si>
    <t>Device.Services.FAPService.{i}.CellConfig.{i}.NR.RAN.Mobility.ConnMode.NR.A4MeasureCtrl.1.Hysteresis</t>
  </si>
  <si>
    <t>unsignedInt[0:34]</t>
  </si>
  <si>
    <t>进入和离开上报触发事件条件的滞后值；</t>
  </si>
  <si>
    <t>Device.Services.FAPService.{i}.CellConfig.{i}.NR.RAN.Mobility.ConnMode.NR.A4MeasureCtrl.1.MaxReportCells</t>
  </si>
  <si>
    <t>Device.Services.FAPService.{i}.CellConfig.{i}.NR.RAN.Mobility.ConnMode.NR.A4MeasureCtrl.1.MeasurePurpose</t>
  </si>
  <si>
    <t>Device.Services.FAPService.{i}.CellConfig.{i}.NR.RAN.Mobility.ConnMode.NR.A4MeasureCtrl.1.ReportAmount</t>
  </si>
  <si>
    <t>Device.Services.FAPService.{i}.CellConfig.{i}.NR.RAN.Mobility.ConnMode.NR.A4MeasureCtrl.1.ReportInterval</t>
  </si>
  <si>
    <t>连续测量报告之间的间隔</t>
  </si>
  <si>
    <t>Device.Services.FAPService.{i}.CellConfig.{i}.NR.RAN.Mobility.ConnMode.NR.A4MeasureCtrl.1.ReportQuantityCell</t>
  </si>
  <si>
    <t>Device.Services.FAPService.{i}.CellConfig.{i}.NR.RAN.Mobility.ConnMode.NR.A4MeasureCtrl.1.TimeToTrigger</t>
  </si>
  <si>
    <t>Device.Services.FAPService.{i}.CellConfig.{i}.NR.RAN.Mobility.ConnMode.NR.A4MeasureCtrl.1.UseWhiteCellList</t>
  </si>
  <si>
    <t>Device.Services.FAPService.{i}.CellConfig.{i}.NR.RAN.Mobility.ConnMode.NR.A4MeasureCtrl.1.RsType</t>
  </si>
  <si>
    <t>Device.Services.FAPService.{i}.CellConfig.{i}.NR.RAN.Mobility.ConnMode.NR.A4MeasureCtrl.1.IncludeBeamMeasurements</t>
  </si>
  <si>
    <t>Device.Services.FAPService.{i}.CellConfig.{i}.NR.RAN.Mobility.ConnMode.NR.A4MeasureCtrl.{i}.Enable</t>
  </si>
  <si>
    <t>Device.Services.FAPService.{i}.CellConfig.{i}.NR.RAN.Mobility.ConnMode.NR.A4MeasureCtrl.{i}.A4ThresholdRSRP</t>
  </si>
  <si>
    <t>Device.Services.FAPService.{i}.CellConfig.{i}.NR.RAN.Mobility.ConnMode.NR.A4MeasureCtrl.{i}.A4ThresholdRSRQ</t>
  </si>
  <si>
    <t>Device.Services.FAPService.{i}.CellConfig.{i}.NR.RAN.Mobility.ConnMode.NR.A4MeasureCtrl.{i}.A4ThresholdSINR</t>
  </si>
  <si>
    <t>Device.Services.FAPService.{i}.CellConfig.{i}.NR.RAN.Mobility.ConnMode.NR.A4MeasureCtrl.{i}.Hysteresis</t>
  </si>
  <si>
    <t>Device.Services.FAPService.{i}.CellConfig.{i}.NR.RAN.Mobility.ConnMode.NR.A4MeasureCtrl.{i}.MaxReportCells</t>
  </si>
  <si>
    <t>Device.Services.FAPService.{i}.CellConfig.{i}.NR.RAN.Mobility.ConnMode.NR.A4MeasureCtrl.{i}.MeasurePurpose</t>
  </si>
  <si>
    <t>Device.Services.FAPService.{i}.CellConfig.{i}.NR.RAN.Mobility.ConnMode.NR.A4MeasureCtrl.{i}.ReportAmount</t>
  </si>
  <si>
    <t>Device.Services.FAPService.{i}.CellConfig.{i}.NR.RAN.Mobility.ConnMode.NR.A4MeasureCtrl.{i}.ReportInterval</t>
  </si>
  <si>
    <t>Device.Services.FAPService.{i}.CellConfig.{i}.NR.RAN.Mobility.ConnMode.NR.A4MeasureCtrl.{i}.ReportQuantityCell</t>
  </si>
  <si>
    <t>Device.Services.FAPService.{i}.CellConfig.{i}.NR.RAN.Mobility.ConnMode.NR.A4MeasureCtrl.{i}.TimeToTrigger</t>
  </si>
  <si>
    <t>Device.Services.FAPService.{i}.CellConfig.{i}.NR.RAN.Mobility.ConnMode.NR.A4MeasureCtrl.{i}.UseWhiteCellList</t>
  </si>
  <si>
    <t>Device.Services.FAPService.{i}.CellConfig.{i}.NR.RAN.Mobility.ConnMode.NR.A4MeasureCtrl.{i}.RsType</t>
  </si>
  <si>
    <t>Device.Services.FAPService.{i}.CellConfig.{i}.NR.RAN.Mobility.ConnMode.NR.A4MeasureCtrl.{i}.IncludeBeamMeasurements</t>
  </si>
  <si>
    <t>A5事件测量控制参数</t>
  </si>
  <si>
    <t>Device.Services.FAPService.{i}.CellConfig.{i}.NR.RAN.Mobility.ConnMode.NR.A5MeasureCtrl.1.Enable</t>
  </si>
  <si>
    <t>参数路径中最后一个多实例节点（{i}）序号1～10为系统保留段，若厂商对A5测量事件有其它用途，则从A5MeasureCtrl.11.开始定义</t>
  </si>
  <si>
    <t>Device.Services.FAPService.{i}.CellConfig.{i}.NR.RAN.Mobility.ConnMode.NR.A5MeasureCtrl.1.A5Threshold1RSRP</t>
  </si>
  <si>
    <t>A5Threshold1RSRP</t>
  </si>
  <si>
    <t>A5事件RSRP门限1</t>
  </si>
  <si>
    <t>用于NR测量中,触发量为RSRP时,A5事件触发条件的绝对门限1;</t>
  </si>
  <si>
    <t>Device.Services.FAPService.{i}.CellConfig.{i}.NR.RAN.Mobility.ConnMode.NR.A5MeasureCtrl.1.A5Threshold1RSRQ</t>
  </si>
  <si>
    <t>A5Threshold1RSRQ</t>
  </si>
  <si>
    <t>A5事件RSRQ门限1</t>
  </si>
  <si>
    <t>用于NR测量中,触发量为RSRQ时,A5事件触发条件的绝对门限1;</t>
  </si>
  <si>
    <t>Device.Services.FAPService.{i}.CellConfig.{i}.NR.RAN.Mobility.ConnMode.NR.A5MeasureCtrl.1.A5Threshold1SINR</t>
  </si>
  <si>
    <t>A5Threshold1SINR</t>
  </si>
  <si>
    <t>A5事件SINR门限1</t>
  </si>
  <si>
    <t>用于NR测量中,触发量为SINR时,A5事件触发条件的绝对门限1;</t>
  </si>
  <si>
    <t>Device.Services.FAPService.{i}.CellConfig.{i}.NR.RAN.Mobility.ConnMode.NR.A5MeasureCtrl.1.A5Threshold2RSRP</t>
  </si>
  <si>
    <t>A5Threshold2RSRP</t>
  </si>
  <si>
    <t>A5事件RSRP门限2</t>
  </si>
  <si>
    <t xml:space="preserve">用于NR测量中,触发量为RSRP时,A5事件触发条件的绝对门限2; </t>
  </si>
  <si>
    <t>Device.Services.FAPService.{i}.CellConfig.{i}.NR.RAN.Mobility.ConnMode.NR.A5MeasureCtrl.1.A5Threshold2RSRQ</t>
  </si>
  <si>
    <t>A5Threshold2RSRQ</t>
  </si>
  <si>
    <t>A5事件RSRQ门限2</t>
  </si>
  <si>
    <t>用于NR测量中,触发量为RSRQ时,A5事件触发条件的绝对门限2</t>
  </si>
  <si>
    <t>Device.Services.FAPService.{i}.CellConfig.{i}.NR.RAN.Mobility.ConnMode.NR.A5MeasureCtrl.1.A5Threshold2SINR</t>
  </si>
  <si>
    <t>A5Threshold2SINR</t>
  </si>
  <si>
    <t>A5事件SINR门限2</t>
  </si>
  <si>
    <t>用于NR测量中,触发量为SINR时,A5事件触发条件的绝对门限2;</t>
  </si>
  <si>
    <t>A5事件离开上报指示</t>
  </si>
  <si>
    <t>Device.Services.FAPService.{i}.CellConfig.{i}.NR.RAN.Mobility.ConnMode.NR.A5MeasureCtrl.1.Hysteresis</t>
  </si>
  <si>
    <t>Device.Services.FAPService.{i}.CellConfig.{i}.NR.RAN.Mobility.ConnMode.NR.A5MeasureCtrl.1.MaxReportCells</t>
  </si>
  <si>
    <t>Device.Services.FAPService.{i}.CellConfig.{i}.NR.RAN.Mobility.ConnMode.NR.A5MeasureCtrl.1.MeasurePurpose</t>
  </si>
  <si>
    <t>Device.Services.FAPService.{i}.CellConfig.{i}.NR.RAN.Mobility.ConnMode.NR.A5MeasureCtrl.1.ReportAmount</t>
  </si>
  <si>
    <t>Device.Services.FAPService.{i}.CellConfig.{i}.NR.RAN.Mobility.ConnMode.NR.A5MeasureCtrl.1.ReportInterval</t>
  </si>
  <si>
    <t>Device.Services.FAPService.{i}.CellConfig.{i}.NR.RAN.Mobility.ConnMode.NR.A5MeasureCtrl.1.ReportQuantityCell</t>
  </si>
  <si>
    <t>Device.Services.FAPService.{i}.CellConfig.{i}.NR.RAN.Mobility.ConnMode.NR.A5MeasureCtrl.1.TimeToTrigger</t>
  </si>
  <si>
    <t>Device.Services.FAPService.{i}.CellConfig.{i}.NR.RAN.Mobility.ConnMode.NR.A5MeasureCtrl.1.UseWhiteCellList</t>
  </si>
  <si>
    <t>Device.Services.FAPService.{i}.CellConfig.{i}.NR.RAN.Mobility.ConnMode.NR.A5MeasureCtrl.1.RsType</t>
  </si>
  <si>
    <t>Device.Services.FAPService.{i}.CellConfig.{i}.NR.RAN.Mobility.ConnMode.NR.A5MeasureCtrl.{i}.Enable</t>
  </si>
  <si>
    <t>Device.Services.FAPService.{i}.CellConfig.{i}.NR.RAN.Mobility.ConnMode.NR.A5MeasureCtrl.{i}.A5Threshold1RSRP</t>
  </si>
  <si>
    <t>Device.Services.FAPService.{i}.CellConfig.{i}.NR.RAN.Mobility.ConnMode.NR.A5MeasureCtrl.{i}.A5Threshold1RSRQ</t>
  </si>
  <si>
    <t>Device.Services.FAPService.{i}.CellConfig.{i}.NR.RAN.Mobility.ConnMode.NR.A5MeasureCtrl.{i}.A5Threshold1SINR</t>
  </si>
  <si>
    <t>Device.Services.FAPService.{i}.CellConfig.{i}.NR.RAN.Mobility.ConnMode.NR.A5MeasureCtrl.{i}.A5Threshold2RSRP</t>
  </si>
  <si>
    <t>Device.Services.FAPService.{i}.CellConfig.{i}.NR.RAN.Mobility.ConnMode.NR.A5MeasureCtrl.{i}.A5Threshold2RSRQ</t>
  </si>
  <si>
    <t>Device.Services.FAPService.{i}.CellConfig.{i}.NR.RAN.Mobility.ConnMode.NR.A5MeasureCtrl.{i}.A5Threshold2SINR</t>
  </si>
  <si>
    <t>Device.Services.FAPService.{i}.CellConfig.{i}.NR.RAN.Mobility.ConnMode.NR.A5MeasureCtrl.{i}.Hysteresis</t>
  </si>
  <si>
    <t>Device.Services.FAPService.{i}.CellConfig.{i}.NR.RAN.Mobility.ConnMode.NR.A5MeasureCtrl.{i}.MaxReportCells</t>
  </si>
  <si>
    <t>Device.Services.FAPService.{i}.CellConfig.{i}.NR.RAN.Mobility.ConnMode.NR.A5MeasureCtrl.{i}.MeasurePurpose</t>
  </si>
  <si>
    <t>Device.Services.FAPService.{i}.CellConfig.{i}.NR.RAN.Mobility.ConnMode.NR.A5MeasureCtrl.{i}.ReportAmount</t>
  </si>
  <si>
    <t>Device.Services.FAPService.{i}.CellConfig.{i}.NR.RAN.Mobility.ConnMode.NR.A5MeasureCtrl.{i}.ReportInterval</t>
  </si>
  <si>
    <t>Device.Services.FAPService.{i}.CellConfig.{i}.NR.RAN.Mobility.ConnMode.NR.A5MeasureCtrl.{i}.ReportQuantityCell</t>
  </si>
  <si>
    <t>Device.Services.FAPService.{i}.CellConfig.{i}.NR.RAN.Mobility.ConnMode.NR.A5MeasureCtrl.{i}.TimeToTrigger</t>
  </si>
  <si>
    <t>Device.Services.FAPService.{i}.CellConfig.{i}.NR.RAN.Mobility.ConnMode.NR.A5MeasureCtrl.{i}.UseWhiteCellList</t>
  </si>
  <si>
    <t>Device.Services.FAPService.{i}.CellConfig.{i}.NR.RAN.Mobility.ConnMode.NR.A5MeasureCtrl.{i}.RsType</t>
  </si>
  <si>
    <t>Device.Services.FAPService.{i}.CellConfig.{i}.NR.RAN.Mobility.ConnMode.NR.A5MeasureCtrl.{i}.IncludeBeamMeasurements</t>
  </si>
  <si>
    <t>B1事件测量控制参数</t>
  </si>
  <si>
    <t>Device.Services.FAPService.{i}.CellConfig.{i}.NR.RAN.Mobility.ConnMode.IRAT.B1MeasureCtrl.1.Enable</t>
  </si>
  <si>
    <t>参数路径中最后一个多实例节点（{i}）序号1～10为系统保留段，若厂商对B1测量事件有其它用途，则从B1MeasureCtrl.11.开始定义</t>
  </si>
  <si>
    <t>Device.Services.FAPService.{i}.CellConfig.{i}.NR.RAN.Mobility.ConnMode.IRAT.B1MeasureCtrl.1.B1ThresholdEUTRARsrp</t>
  </si>
  <si>
    <t>B1ThresholdEUTRARsrp</t>
  </si>
  <si>
    <t xml:space="preserve">B1事件RSRP门限(EUTRA-rsrp)
</t>
  </si>
  <si>
    <t>unsignedInt[0:97]</t>
  </si>
  <si>
    <t>NR测量中,B1事件触发条
件的RSRP绝对门限</t>
  </si>
  <si>
    <t>Device.Services.FAPService.{i}.CellConfig.{i}.NR.RAN.Mobility.ConnMode.IRAT.B1MeasureCtrl.1.B1ThresholdEUTRARsrq</t>
  </si>
  <si>
    <t>B1ThresholdEUTRARsrq</t>
  </si>
  <si>
    <t xml:space="preserve">B1事件RSRQ门限(EUTRA-rsrq)
</t>
  </si>
  <si>
    <t>NR测量中,B1事件触发条
件的RSRQ绝对门限</t>
  </si>
  <si>
    <t>Device.Services.FAPService.{i}.CellConfig.{i}.NR.RAN.Mobility.ConnMode.IRAT.B1MeasureCtrl.1.B1ThresholdEUTRASinr</t>
  </si>
  <si>
    <t>B1ThresholdEUTRASinr</t>
  </si>
  <si>
    <t xml:space="preserve">B1事件SINR门限(EUTRA-sinr)
</t>
  </si>
  <si>
    <t>NR测量中,B1事件触发条
件的SINR绝对门限</t>
  </si>
  <si>
    <t>Device.Services.FAPService.{i}.CellConfig.{i}.NR.RAN.Mobility.ConnMode.IRAT.B1MeasureCtrl.1.Hysteresis</t>
  </si>
  <si>
    <t>进入和离开IRAT上报触发事件条件的滞后值;</t>
  </si>
  <si>
    <t>Device.Services.FAPService.{i}.CellConfig.{i}.NR.RAN.Mobility.ConnMode.IRAT.B1MeasureCtrl.1.MaxReportCells</t>
  </si>
  <si>
    <t>测量报告中包含IRAT小区的最大数目</t>
  </si>
  <si>
    <t>Device.Services.FAPService.{i}.CellConfig.{i}.NR.RAN.Mobility.ConnMode.IRAT.B1MeasureCtrl.1.MeasurePurpose</t>
  </si>
  <si>
    <t>用于表明当前配置事件的使用目的，本字段取值固定为：
(1=异系统EUTRA测量)</t>
  </si>
  <si>
    <t>Device.Services.FAPService.{i}.CellConfig.{i}.NR.RAN.Mobility.ConnMode.IRAT.B1MeasureCtrl.1.ReportAmount</t>
  </si>
  <si>
    <t>Device.Services.FAPService.{i}.CellConfig.{i}.NR.RAN.Mobility.ConnMode.IRAT.B1MeasureCtrl.1.ReportInterval</t>
  </si>
  <si>
    <t>连续IRAT测量报告之间的间隔，单位ms</t>
  </si>
  <si>
    <t>Device.Services.FAPService.{i}.CellConfig.{i}.NR.RAN.Mobility.ConnMode.IRAT.B1MeasureCtrl.1.TimeToTrigger</t>
  </si>
  <si>
    <t>满足触发IRAT测量报告触发条件持续的时间，单位ms</t>
  </si>
  <si>
    <t>Device.Services.FAPService.{i}.CellConfig.{i}.NR.RAN.Mobility.ConnMode.IRAT.B1MeasureCtrl.1.ReportQuantity</t>
  </si>
  <si>
    <t>ReportQuantity</t>
  </si>
  <si>
    <t>Device.Services.FAPService.{i}.CellConfig.{i}.NR.RAN.Mobility.ConnMode.IRAT.B1MeasureCtrl.1.ReportOnLeave</t>
  </si>
  <si>
    <t>B1事件离开上报指示</t>
  </si>
  <si>
    <t>Device.Services.FAPService.{i}.CellConfig.{i}.NR.RAN.Mobility.ConnMode.IRAT.B1MeasureCtrl.{i}.Enable</t>
  </si>
  <si>
    <t>Device.Services.FAPService.{i}.CellConfig.{i}.NR.RAN.Mobility.ConnMode.IRAT.B1MeasureCtrl.{i}.B1ThresholdEUTRARsrp</t>
  </si>
  <si>
    <t>Device.Services.FAPService.{i}.CellConfig.{i}.NR.RAN.Mobility.ConnMode.IRAT.B1MeasureCtrl.{i}.B1ThresholdEUTRARsrq</t>
  </si>
  <si>
    <t>Device.Services.FAPService.{i}.CellConfig.{i}.NR.RAN.Mobility.ConnMode.IRAT.B1MeasureCtrl.{i}.B1ThresholdEUTRASinr</t>
  </si>
  <si>
    <t>Device.Services.FAPService.{i}.CellConfig.{i}.NR.RAN.Mobility.ConnMode.IRAT.B1MeasureCtrl.{i}.Hysteresis</t>
  </si>
  <si>
    <t>Device.Services.FAPService.{i}.CellConfig.{i}.NR.RAN.Mobility.ConnMode.IRAT.B1MeasureCtrl.{i}.MeasurePurpose</t>
  </si>
  <si>
    <t>Device.Services.FAPService.{i}.CellConfig.{i}.NR.RAN.Mobility.ConnMode.IRAT.B1MeasureCtrl.{i}.ReportAmount</t>
  </si>
  <si>
    <t>Device.Services.FAPService.{i}.CellConfig.{i}.NR.RAN.Mobility.ConnMode.IRAT.B1MeasureCtrl.{i}.ReportInterval</t>
  </si>
  <si>
    <t>Device.Services.FAPService.{i}.CellConfig.{i}.NR.RAN.Mobility.ConnMode.IRAT.B1MeasureCtrl.{i}.TimeToTrigger</t>
  </si>
  <si>
    <t>Device.Services.FAPService.{i}.CellConfig.{i}.NR.RAN.Mobility.ConnMode.IRAT.B1MeasureCtrl.{i}.ReportQuantity</t>
  </si>
  <si>
    <t>Device.Services.FAPService.{i}.CellConfig.{i}.NR.RAN.Mobility.ConnMode.IRAT.B1MeasureCtrl.{i}.ReportOnLeave</t>
  </si>
  <si>
    <t>B2事件测量控制参数</t>
  </si>
  <si>
    <t>Device.Services.FAPService.{i}.CellConfig.{i}.NR.RAN.Mobility.ConnMode.IRAT.B2MeasureCtrl.1.Enable</t>
  </si>
  <si>
    <t>参数路径中最后一个多实例节点（{i}）序号1～10为系统保留段，若厂商对B2测量事件有其它用途，则从B2MeasureCtrl.11.开始定义</t>
  </si>
  <si>
    <t>Device.Services.FAPService.{i}.CellConfig.{i}.NR.RAN.Mobility.ConnMode.IRAT.B2MeasureCtrl.1.B2Threshold1RSRP</t>
  </si>
  <si>
    <t>B2Threshold1RSRP</t>
  </si>
  <si>
    <t>B2事件RSRP门限(NR-rsrp)</t>
  </si>
  <si>
    <t>NR触发量为RSRP时,B2事件触发条件的绝对门限1</t>
  </si>
  <si>
    <t>Device.Services.FAPService.{i}.CellConfig.{i}.NR.RAN.Mobility.ConnMode.IRAT.B2MeasureCtrl.1.B2Threshold1RSRQ</t>
  </si>
  <si>
    <t>B2Threshold1RSRQ</t>
  </si>
  <si>
    <t>B2事件RSRQ门限(NR-rsrq)</t>
  </si>
  <si>
    <t>NR触发量为RSRQ时,B2事件触发条件的绝对门限1</t>
  </si>
  <si>
    <t>Device.Services.FAPService.{i}.CellConfig.{i}.NR.RAN.Mobility.ConnMode.IRAT.B2MeasureCtrl.1.B2Threshold1SINR</t>
  </si>
  <si>
    <t>B2Threshold1SINR</t>
  </si>
  <si>
    <t>B2事件RSRQ门限(NR-sinr)</t>
  </si>
  <si>
    <t>NR触发量为SINR时,B2事件触发条件的绝对门限1</t>
  </si>
  <si>
    <t>B2Threshold2EUTRARSRP</t>
  </si>
  <si>
    <t>B2事件门限(EUTRA-RSRP)</t>
  </si>
  <si>
    <t>测量对象为EUTRA RSRP时,B2事件触发条件的绝对门限2</t>
  </si>
  <si>
    <t>B2Threshold2EUTRARSRQ</t>
  </si>
  <si>
    <t>B2事件门限(EUTRA-RSRQ)</t>
  </si>
  <si>
    <t>测量对象为EUTRA RSRQ时,B2事件触发条件的绝对门限2</t>
  </si>
  <si>
    <t>B2Threshold2EUTRASINR</t>
  </si>
  <si>
    <t>B2事件门限(EUTRA-SINR)</t>
  </si>
  <si>
    <t>测量对象为EUTRA SINR时,B2事件触发条件的绝对门限2</t>
  </si>
  <si>
    <t>Device.Services.FAPService.{i}.CellConfig.{i}.NR.RAN.Mobility.ConnMode.IRAT.B2MeasureCtrl.1.Hysteresis</t>
  </si>
  <si>
    <t>进入和离开IRAT上报触发事件条件的;</t>
  </si>
  <si>
    <t>Device.Services.FAPService.{i}.CellConfig.{i}.NR.RAN.Mobility.ConnMode.IRAT.B2MeasureCtrl.1.MaxReportCells</t>
  </si>
  <si>
    <t>Device.Services.FAPService.{i}.CellConfig.{i}.NR.RAN.Mobility.ConnMode.IRAT.B2MeasureCtrl.1.MeasurePurpose</t>
  </si>
  <si>
    <t>Device.Services.FAPService.{i}.CellConfig.{i}.NR.RAN.Mobility.ConnMode.IRAT.B2MeasureCtrl.1.ReportAmount</t>
  </si>
  <si>
    <t>Device.Services.FAPService.{i}.CellConfig.{i}.NR.RAN.Mobility.ConnMode.IRAT.B2MeasureCtrl.1.ReportInterval</t>
  </si>
  <si>
    <t>连续IRAT测量报告之间的间隔</t>
  </si>
  <si>
    <t>Device.Services.FAPService.{i}.CellConfig.{i}.NR.RAN.Mobility.ConnMode.IRAT.B2MeasureCtrl.1.TimeToTrigger</t>
  </si>
  <si>
    <t>Device.Services.FAPService.{i}.CellConfig.{i}.NR.RAN.Mobility.ConnMode.IRAT.B2MeasureCtrl.1.ReportQuantity</t>
  </si>
  <si>
    <t>Device.Services.FAPService.{i}.CellConfig.{i}.NR.RAN.Mobility.ConnMode.IRAT.B2MeasureCtrl.1.ReportOnLeave</t>
  </si>
  <si>
    <t>B2事件离开上报指示</t>
  </si>
  <si>
    <t>Device.Services.FAPService.{i}.CellConfig.{i}.NR.RAN.Mobility.ConnMode.IRAT.B2MeasureCtrl.{i}.Enable</t>
  </si>
  <si>
    <t>Device.Services.FAPService.{i}.CellConfig.{i}.NR.RAN.Mobility.ConnMode.IRAT.B2MeasureCtrl.{i}.B2Threshold1RSRP</t>
  </si>
  <si>
    <t>Device.Services.FAPService.{i}.CellConfig.{i}.NR.RAN.Mobility.ConnMode.IRAT.B2MeasureCtrl.{i}.B2Threshold1RSRQ</t>
  </si>
  <si>
    <t>Device.Services.FAPService.{i}.CellConfig.{i}.NR.RAN.Mobility.ConnMode.IRAT.B2MeasureCtrl.{i}.B2Threshold1SINR</t>
  </si>
  <si>
    <t>Device.Services.FAPService.{i}.CellConfig.{i}.NR.RAN.Mobility.ConnMode.IRAT.B2MeasureCtrl.{i}.MaxReportCells</t>
  </si>
  <si>
    <t>Device.Services.FAPService.{i}.CellConfig.{i}.NR.RAN.Mobility.ConnMode.IRAT.B2MeasureCtrl.{i}.MeasurePurpose</t>
  </si>
  <si>
    <t>Device.Services.FAPService.{i}.CellConfig.{i}.NR.RAN.Mobility.ConnMode.IRAT.B2MeasureCtrl.{i}.ReportAmount</t>
  </si>
  <si>
    <t>Device.Services.FAPService.{i}.CellConfig.{i}.NR.RAN.Mobility.ConnMode.IRAT.B2MeasureCtrl.{i}.ReportInterval</t>
  </si>
  <si>
    <t>Device.Services.FAPService.{i}.CellConfig.{i}.NR.RAN.Mobility.ConnMode.IRAT.B2MeasureCtrl.{i}.TimeToTrigger</t>
  </si>
  <si>
    <t>Device.Services.FAPService.{i}.CellConfig.{i}.NR.RAN.Mobility.ConnMode.IRAT.B2MeasureCtrl.{i}.ReportQuantity</t>
  </si>
  <si>
    <t>Device.Services.FAPService.{i}.CellConfig.{i}.NR.RAN.Mobility.ConnMode.IRAT.B2MeasureCtrl.{i}.ReportOnLeave</t>
  </si>
  <si>
    <t>Device.Services.FAPService.{i}.CellConfig.{i}.NR.RAN.Mobility.IdleMode.Common.NrofSSBlocksToAverage</t>
  </si>
  <si>
    <t>NrofSSBlocksToAverage</t>
  </si>
  <si>
    <t>小区测量平均SSB数</t>
  </si>
  <si>
    <t xml:space="preserve">IntraFreqReselection                </t>
  </si>
  <si>
    <t>同频重选指示</t>
  </si>
  <si>
    <t>同频重选指示，(0=允许,1=不允许)</t>
  </si>
  <si>
    <t xml:space="preserve">ThresholdRSRP </t>
  </si>
  <si>
    <t>RSRP门限值</t>
  </si>
  <si>
    <t xml:space="preserve">取值范围：[0~127]和0x00000FFF
0x00000FFF代表无效
</t>
  </si>
  <si>
    <t>ThresholdRSRQ</t>
  </si>
  <si>
    <t>RSRQ门限值</t>
  </si>
  <si>
    <t>ThresholdSINR</t>
  </si>
  <si>
    <t>SINR门限值</t>
  </si>
  <si>
    <t>Qhyst</t>
  </si>
  <si>
    <t>服务小区重选迟滞值</t>
  </si>
  <si>
    <t>Device.Services.FAPService.{i}.CellConfig.{i}.NR.RAN.Mobility.IdleMode.Common.TEvaluation</t>
  </si>
  <si>
    <t>Tevaluation</t>
  </si>
  <si>
    <t xml:space="preserve">允许小区重选的间隔时间
</t>
  </si>
  <si>
    <t xml:space="preserve">指定进入移动状态时，评估允许小区
重选数目的间隔时间。以秒为单位。
S30对应30秒，依次类推。对应对应TS38.331 中SIB2定义的t-Evalua tion，取值范围：[0~4]分别代表{s30,s60,s120,s180,s240}
</t>
  </si>
  <si>
    <t>Device.Services.FAPService.{i}.CellConfig.{i}.NR.RAN.Mobility.IdleMode.Common.THystNormal</t>
  </si>
  <si>
    <t>THystNormal</t>
  </si>
  <si>
    <t>正常状态附加判决时长</t>
  </si>
  <si>
    <t xml:space="preserve">指定进入正常移动状态时，评估标准
的时间间隔。以秒为单位，s30对应30秒，依次类推。对应TS 38.331中
SIB2定义的t-HystNormal，取值范围：[0~4]分别代表{s30,s60, s120,s180,s240}
</t>
  </si>
  <si>
    <t>QRxLevMinSIB1</t>
  </si>
  <si>
    <t>服务小区最小接收电平</t>
  </si>
  <si>
    <t>QRxLevMin</t>
  </si>
  <si>
    <t>int[-70:-22]</t>
  </si>
  <si>
    <t>小区选择时，服务小区的最小RSRP接收电平，用来控制小区选择的难易程度,单位：dBm</t>
  </si>
  <si>
    <t>QRxLevMinSIB2</t>
  </si>
  <si>
    <t>同频邻区最小接收电平</t>
  </si>
  <si>
    <t>同频小区重选时，邻区的最小RSRP接收电平,单位：dBm</t>
  </si>
  <si>
    <t>Qqualminoffset</t>
  </si>
  <si>
    <t>小区选择最低接入信号质量偏移值</t>
  </si>
  <si>
    <t xml:space="preserve">小区选择时,相对Qqualmin的偏移值，当驻留在VPLMN中周期性搜索更高优先级的PLMN时用于计算S准则，对应IE为q-QualMinOffset
注：当缺省配置时，UE默认为该值为0dB；
</t>
  </si>
  <si>
    <t>QRxLevMinOffset</t>
  </si>
  <si>
    <t>最小接收电平偏移量</t>
  </si>
  <si>
    <t>小区选择时，相对Qrxlevmin的偏移值，当驻留在VPLMN中周期性搜索更高优先级的PLMN时用于计算S准则, 对应IE为q-RxLevMinOffset。</t>
  </si>
  <si>
    <t>Device.Services.FAPService.{i}.CellConfig.{i}.NR.RAN.Mobility.IdleMode.IntraFreq.Qoffsettemp</t>
  </si>
  <si>
    <t>QOffsettemp</t>
  </si>
  <si>
    <t>小区临时偏移量</t>
  </si>
  <si>
    <t>unsignedInt[1:15]</t>
  </si>
  <si>
    <t>Device.Services.FAPService.{i}.CellConfig.{i}.NR.RAN.Mobility.IdleMode.IntraFreq.SIntraSearchP</t>
  </si>
  <si>
    <t>SIntraSearchP</t>
  </si>
  <si>
    <t>同频测量启动门限RSRP</t>
  </si>
  <si>
    <t>unsignedInt[0:31]</t>
  </si>
  <si>
    <t xml:space="preserve">频率内测量值门限。实际值为该值乘以2得到，以dB为单位。对应TS 38.331定义的s-IntraSearchP，
取值范围[0..31]
</t>
  </si>
  <si>
    <t>Device.Services.FAPService.{i}.CellConfig.{i}.NR.RAN.Mobility.IdleMode.IntraFreq.SIntraSearchQ</t>
  </si>
  <si>
    <t>SIntraSearchQ</t>
  </si>
  <si>
    <t>同频测量启动门限RSRQ</t>
  </si>
  <si>
    <t>TReselectionNR</t>
  </si>
  <si>
    <t>同频小区重选时间</t>
  </si>
  <si>
    <t xml:space="preserve">频率内NR小区重选定时器。以秒为单位。对应TS 38.331定义的t-ReselectionNR，
取值范围：{0..7]
</t>
  </si>
  <si>
    <t>CellReselectionPriority</t>
  </si>
  <si>
    <t>同频小区重选优先级</t>
  </si>
  <si>
    <t xml:space="preserve">频率间和RAT间小区重选过程中，
E-UTRAN服务载频的决定优先级。对
应TS 38.331中SIB2的Cell Resel ectionPriority，取值范围：[0..7] 
</t>
  </si>
  <si>
    <t>CellReselectionSubPriority</t>
  </si>
  <si>
    <t xml:space="preserve">取值范围：[0..3] 和0x0FFFFFFF
分别代表{ oDot2, oDot4, oDot6, oDot8}和0x0FFFFFFF代表这个参数不存在
</t>
  </si>
  <si>
    <t>Device.Services.FAPService.{i}.CellConfig.{i}.NR.RAN.Mobility.IdleMode.IntraFreq.Pmax</t>
  </si>
  <si>
    <t>Pmax</t>
  </si>
  <si>
    <t>UE允许最大发射功率</t>
  </si>
  <si>
    <t>int[-30:33]</t>
  </si>
  <si>
    <t>ThreshServingLowP</t>
  </si>
  <si>
    <t>低优先级重选门限</t>
  </si>
  <si>
    <t>ThreshServingLowQ</t>
  </si>
  <si>
    <t>服务频点低优先级RSRQ重选门限</t>
  </si>
  <si>
    <t>Device.Services.FAPService.{i}.CellConfig.{i}.NR.RAN.Mobility.IdleMode.IntraFreq.QQualMinSIB2</t>
  </si>
  <si>
    <t>QQualMinSIB2</t>
  </si>
  <si>
    <t>小区重选最低接入信号质量</t>
  </si>
  <si>
    <t>int[-34:-3]</t>
  </si>
  <si>
    <t>Device.Services.FAPService.{i}.CellConfig.{i}.NR.RAN.Mobility.IdleMode.IntraFreq.QQualMinSIB1</t>
  </si>
  <si>
    <t>QQualMinSIB1</t>
  </si>
  <si>
    <t>小区选择最低接入信号质量</t>
  </si>
  <si>
    <t>Device.Services.FAPService.{i}.CellConfig.{i}.NR.RAN.Mobility.IdleMode.IntraFreq.DeriveSSBIndexFromCell</t>
  </si>
  <si>
    <t>DeriveSSBIndexFromCell</t>
  </si>
  <si>
    <t>指示UE能否根据服务小区来获取邻小区的SSB索引号</t>
  </si>
  <si>
    <t>取值范围：{0~1]</t>
  </si>
  <si>
    <t>Device.Services.FAPService.{i}.CellConfig.{i}.NR.RAN.Mobility.IdleMode.IntraFreq.BlackPhysCellIdStart</t>
  </si>
  <si>
    <t>BlackPhysCellIdStart</t>
  </si>
  <si>
    <t>物理小区ID起始位置</t>
  </si>
  <si>
    <t xml:space="preserve">协议里表示为： startPhysCellId物理小区ID起始，
取值范围：0~1007 
</t>
  </si>
  <si>
    <t>Device.Services.FAPService.{i}.CellConfig.{i}.NR.RAN.Mobility.IdleMode.IntraFreq.BlackPhysCellIdRange</t>
  </si>
  <si>
    <t>BlackPhysCellIdRange</t>
  </si>
  <si>
    <t>物理小区ID步进</t>
  </si>
  <si>
    <t xml:space="preserve">物理小区ID步进，
取值范围：[0~14，0x0FFFFFFF]
分别对应{ n4, n8, n12, n16, n24, n32, n48, n64, n84, n96, n128, n168, n252, n504, n1008，不存在 }
</t>
  </si>
  <si>
    <t>Device.Services.FAPService.{i}.CellConfig.{i}.NR.RAN.Mobility.IdleMode.InterFreq.Carrier.{i}.DlCarrierFreq</t>
  </si>
  <si>
    <t>DlCarrierFreq</t>
  </si>
  <si>
    <t>载波频率</t>
  </si>
  <si>
    <t xml:space="preserve">Device.Services.FAPService.{i}.CellConfig.{i}.NR.RAN.Mobility.IdleMode.InterFreq.Carrier.{i}.NrofSSBlocksToAverage
</t>
  </si>
  <si>
    <t>SNonIntraSearchP</t>
  </si>
  <si>
    <t>SNonIntraSearchQ</t>
  </si>
  <si>
    <t>Device.Services.FAPService.{i}.CellConfig.{i}.NR.RAN.Mobility.IdleMode.InterFreq.Carrier.{i}.AbsThreshSSBlocksConsolidation</t>
  </si>
  <si>
    <t>Device.Services.FAPService.{i}.CellConfig.{i}.NR.RAN.Mobility.IdleMode.InterFreq.Carrier.{i}.ThresholdRSRQ</t>
  </si>
  <si>
    <t>Device.Services.FAPService.{i}.CellConfig.{i}.NR.RAN.Mobility.IdleMode.InterFreq.Carrier.{i}.ThresholdSINR</t>
  </si>
  <si>
    <t>Device.Services.FAPService.{i}.CellConfig.{i}.NR.RAN.Mobility.IdleMode.InterFreq.Carrier.{i}.SsbSubcarrierSpacing</t>
  </si>
  <si>
    <t>SsbSubcarrierSpacing</t>
  </si>
  <si>
    <t xml:space="preserve">0代表kHz15，1代表kHz30，2代表kHz60，3代表kHz120，4代表kHz240.
&lt;6GHz:15 kHzor 30 kHz;
&gt;6GHz:120 kHz or 240 kHz </t>
  </si>
  <si>
    <t>Device.Services.FAPService.{i}.CellConfig.{i}.NR.RAN.Mobility.IdleMode.InterFreq.Carrier.{i}.DeriveSSBIndexFromCell</t>
  </si>
  <si>
    <t>通过SSB获取定时指示</t>
  </si>
  <si>
    <t>异频小区重选时，最小接
收电平。</t>
  </si>
  <si>
    <t xml:space="preserve">异频小区重选时，最小RSRP接
收级别。实际值为该值乘以2得到。以dBm
为单位。对应TS 38.331[3]中SIB4的q-rxLevMin，
取值范围：[-70..-22]
</t>
  </si>
  <si>
    <t>Device.Services.FAPService.{i}.CellConfig.{i}.NR.RAN.Mobility.IdleMode.InterFreq.Carrier.{i}.QQualMin</t>
  </si>
  <si>
    <t>QQualMin</t>
  </si>
  <si>
    <t>异频小区重选时，最低接入信号质量</t>
  </si>
  <si>
    <t>Device.Services.FAPService.{i}.CellConfig.{i}.NR.RAN.Mobility.IdleMode.InterFreq.Carrier.{i}.Pmax</t>
  </si>
  <si>
    <t>PMax</t>
  </si>
  <si>
    <t>Device.Services.FAPService.{i}.CellConfig.{i}.NR.RAN.Mobility.IdleMode.InterFreq.Carrier.{i}.TReselectionNR</t>
  </si>
  <si>
    <t>异频小区重选时间</t>
  </si>
  <si>
    <t>频率内NR小区重选定时器。以秒为单位。对应TS 38.331定义的t-ReselectionNR，
取值范围：{0..7]</t>
  </si>
  <si>
    <t xml:space="preserve">ThreshXHighP </t>
  </si>
  <si>
    <t>高优先级重选门限</t>
  </si>
  <si>
    <t>ThreshXLowP</t>
  </si>
  <si>
    <t xml:space="preserve">ThreshXHighQ </t>
  </si>
  <si>
    <t>ThreshXLowQ</t>
  </si>
  <si>
    <t>Device.Services.FAPService.{i}.CellConfig.{i}.NR.RAN.Mobility.IdleMode.InterFreq.Carrier.{i}.CellReselectionPriority</t>
  </si>
  <si>
    <t>重选优先级</t>
  </si>
  <si>
    <t>INTEGER (0..7)</t>
  </si>
  <si>
    <t>Device.Services.FAPService.{i}.CellConfig.{i}.NR.RAN.Mobility.IdleMode.InterFreq.Carrier.{i}.CellReselectionSubPriority</t>
  </si>
  <si>
    <t>异频重选优先级附加值</t>
  </si>
  <si>
    <t>Device.Services.FAPService.{i}.CellConfig.{i}.NR.RAN.Mobility.IdleMode.InterFreq.Carrier.{i}.QOffsetFreq</t>
  </si>
  <si>
    <t>QOffsetFreq</t>
  </si>
  <si>
    <t>重选专用偏移量</t>
  </si>
  <si>
    <t>Device.Services.FAPService.{i}.CellConfig.{i}.NR.RAN.Mobility.IdleMode.InterFreq.Carrier.{i}.BlackPhysCellIdStart</t>
  </si>
  <si>
    <t>Device.Services.FAPService.{i}.CellConfig.{i}.NR.RAN.Mobility.IdleMode.InterFreq.Carrier.{i}.BlackPhysCellIdRange</t>
  </si>
  <si>
    <t>TReselectionEUTRA</t>
  </si>
  <si>
    <t>EUTRA小区重选时间</t>
  </si>
  <si>
    <t xml:space="preserve">异系统小区重选定时器。以秒为单位。对应TS 38.331定义的t-ReselectionEUTRA，
取值范围：{0..7]
</t>
  </si>
  <si>
    <t>EUTRAN频点重选优先级</t>
  </si>
  <si>
    <t>ThreshXHigh</t>
  </si>
  <si>
    <t>EUTRAN频点高优先级重选门限</t>
  </si>
  <si>
    <t>ThreshXLow</t>
  </si>
  <si>
    <t>EUTRAN频点低优先级重选门限</t>
  </si>
  <si>
    <t>EUTRAN最低接收电平</t>
  </si>
  <si>
    <t xml:space="preserve">异系统小区重选时，最小RSRP接
收级别。实际值为该值乘以2得到。以dBm
为单位。对应TS 38.331[3]中SIB5的q-rxLevMin，
取值范围：[-70..-22]
</t>
  </si>
  <si>
    <t>EUTRAN最低接入信号质量</t>
  </si>
  <si>
    <t xml:space="preserve">异系统小区重选时，最小RSRQ接收级别。对应TS 38.331[3]中SIB5的q-QualMin，取值范围：[-34..-3]
</t>
  </si>
  <si>
    <t>PMaxEUTRA</t>
  </si>
  <si>
    <t>EUTRAN最大允许发射功率</t>
  </si>
  <si>
    <t>ThreshXHighQ</t>
  </si>
  <si>
    <t>AllowedMeasBandwidth</t>
  </si>
  <si>
    <t>最大允许测量带宽</t>
  </si>
  <si>
    <t>PresenceAntennaPort1</t>
  </si>
  <si>
    <t>指示是否所有邻小区使用天线端口1</t>
  </si>
  <si>
    <t xml:space="preserve">协议里表示为： startPhysCellId物理小区ID起始，
取值范围：0~503 
</t>
  </si>
  <si>
    <t xml:space="preserve">物理小区ID步进，
取值范围：[0~13，0x0FFFFFFF]
分别对应{ n4, n8, n12, n16, n24, n32, n48, n64, n84, n96, n128, n168, n252, n504不存在 }
</t>
  </si>
  <si>
    <t>Device.Services.FAPService.{i}.CellConfig.{i}.NR.RAN.Mobility.ConnMode.NR.PeriodMeasCtrl.{i}.MaxReportCells</t>
  </si>
  <si>
    <t>小区的最大数目</t>
  </si>
  <si>
    <t>Device.Services.FAPService.{i}.CellConfig.{i}.NR.RAN.Mobility.ConnMode.NR.PeriodMeasCtrl.{i}.ReportInterval</t>
  </si>
  <si>
    <t>周期性测量报告</t>
  </si>
  <si>
    <t>unsignedInt[120, 240, 480, 640, 1024, 2048, 5120, 10240,60000,360000, 720000,1800000]</t>
  </si>
  <si>
    <t>Device.Services.FAPService.{i}.CellConfig.{i}.NR.RAN.Mobility.ConnMode.NR.PeriodMeasCtrl.{i}.ReportAmount</t>
  </si>
  <si>
    <t>测量报告次数</t>
  </si>
  <si>
    <t>测量报告发送的次数，0表示无限次
参见36.331协议中测量章节描述，在reportCGI时，此参数ReportAmount=1</t>
  </si>
  <si>
    <t>PhysCellId</t>
  </si>
  <si>
    <t>小区ID</t>
  </si>
  <si>
    <t>标识物理层小区ID（PCI值）</t>
  </si>
  <si>
    <r>
      <rPr>
        <b/>
        <sz val="9"/>
        <color indexed="8"/>
        <rFont val="宋体"/>
        <family val="3"/>
        <charset val="134"/>
      </rPr>
      <t>北向I</t>
    </r>
    <r>
      <rPr>
        <b/>
        <sz val="9"/>
        <color indexed="8"/>
        <rFont val="宋体"/>
        <family val="3"/>
        <charset val="134"/>
      </rPr>
      <t>ndex</t>
    </r>
  </si>
  <si>
    <t>Device.Services.FAPService.{i}.FAPControl.NR.SelfConfig.SONConfigParam.SONSysMode</t>
  </si>
  <si>
    <t>SONSysMode</t>
  </si>
  <si>
    <t>SON系统模式</t>
  </si>
  <si>
    <t>SON系统模式（分布式，集中式）,{Distributed，Centralized}</t>
  </si>
  <si>
    <t>Device.Services.FAPService.{i}.FAPControl.NR.SelfConfig.SONConfigParam.SONWorkMode</t>
  </si>
  <si>
    <t>SONWorkMode</t>
  </si>
  <si>
    <t>SON模式设置</t>
  </si>
  <si>
    <t>自优化模式（自由模式，受控模式）,{Free，Control}，自由模式下系统给出的参数优化建议无需人工确认，可直接执行；受控模式下系统给出的参数优化建议需要人工确认同意才可执行，否则（不同意或超时）不执行优化，保持原参数配置不变。</t>
  </si>
  <si>
    <t>Device.Services.FAPService.{i}.FAPControl.NR.SelfConfig.SONConfigParam.PCIOptEnable</t>
  </si>
  <si>
    <t>PCIOptEnable</t>
  </si>
  <si>
    <t>PCI自优化算法开关,(0=false,1=true)</t>
  </si>
  <si>
    <t>PCIReconfigWaitTime</t>
  </si>
  <si>
    <t>表征PCI重配置等待时间，在PCI自优化阶段，该计时器超时后使用新的PCI</t>
  </si>
  <si>
    <t>CandidateARFCNList</t>
  </si>
  <si>
    <t>候选频点列表</t>
  </si>
  <si>
    <t>Device.Services.FAPService.{i}.FAPControl.NR.SelfConfig.SONConfigParam.CandidatePCIList</t>
  </si>
  <si>
    <t>CandidatePCIList</t>
  </si>
  <si>
    <t>候选PCI列表</t>
  </si>
  <si>
    <t>(0=false,1=true)，ANR算法总开关</t>
  </si>
  <si>
    <t>NR异频ANR算法开关</t>
  </si>
  <si>
    <t>(0=false,1=true)，NR异频ANR算法开关</t>
  </si>
  <si>
    <t>E-UTRAN异系统ANR算法开关</t>
  </si>
  <si>
    <t>Device.Services.FAPService.{i}.FAPControl.NR.SelfConfig.SONConfigParam.ARFCNEnable</t>
  </si>
  <si>
    <t>ARFCNEnable</t>
  </si>
  <si>
    <t>频点自配置算法开关</t>
  </si>
  <si>
    <t>(0=false,1=true)，频点自配置算法开关</t>
  </si>
  <si>
    <t>Device.Services.FAPService.{i}.FAPControl.NR.SelfConfig.SONConfigParam.MaxNRNeighbourCellNum</t>
  </si>
  <si>
    <t>MaxNRNeighbourCellNum</t>
  </si>
  <si>
    <t>最大NR邻区数</t>
  </si>
  <si>
    <t>Device.Services.FAPService.{i}.FAPControl.NR.SelfConfig.SONConfigParam.MaxLTENeighbourCellNum</t>
  </si>
  <si>
    <t>MaxLTENeighbourCellNum</t>
  </si>
  <si>
    <t>最大LTE邻区数</t>
  </si>
  <si>
    <t>Device.Services.FAPService.{i}.FAPControl.NR.SelfConfig.SONConfigParam.ReSynCellEnable</t>
  </si>
  <si>
    <t>ReSynCellEnable</t>
  </si>
  <si>
    <t>重新同步小区使能开关</t>
  </si>
  <si>
    <t>(0=false,1=true),手动触发重新同步小区使能开关，取值为true时立即执行小区重新同步流程</t>
  </si>
  <si>
    <t>Device.Services.FAPService.{i}.FAPControl.NR.SelfConfig.SONConfigParam.PowerEnable</t>
  </si>
  <si>
    <t>PowerEnable</t>
  </si>
  <si>
    <t>功率自配置算法开关</t>
  </si>
  <si>
    <t>(0=false,1=true),基站发射功率自配值算法开关</t>
  </si>
  <si>
    <t>Device.Services.FAPService.{i}.FAPControl.NR.SelfConfig.SONConfigParam.NRSnifferFreqBandList</t>
  </si>
  <si>
    <t>NRSnifferFreqBandList</t>
  </si>
  <si>
    <t>NR侦听频段列表</t>
  </si>
  <si>
    <t>NR侦听频段列表（NRSnifferFreqBandList和NRSnifferChannelList二选一）</t>
  </si>
  <si>
    <t>NRSnifferChannelList</t>
  </si>
  <si>
    <t>NR侦听频点列表</t>
  </si>
  <si>
    <t>Device.Services.FAPService.{i}.FAPControl.NR.SelfConfig.SONConfigParam.LTESnifferFreqBandList</t>
  </si>
  <si>
    <t>LTESnifferFreqBandList</t>
  </si>
  <si>
    <t>LTE侦听频段列表</t>
  </si>
  <si>
    <t>Device.Services.FAPService.{i}.FAPControl.NR.SelfConfig.SONConfigParam.LTESnifferChannelList</t>
  </si>
  <si>
    <t>LTESnifferChannelList</t>
  </si>
  <si>
    <t>LTE侦听频点列表</t>
  </si>
  <si>
    <t>LTE侦听频点列表（ARFCN格式列表）（LTESnifferFreqBandList和LTESnifferChannelList二选一）</t>
  </si>
  <si>
    <t>MROEnable</t>
  </si>
  <si>
    <t>邻区鲁棒性优化功能开关</t>
  </si>
  <si>
    <t>Device.Services.FAPService.{i}.FAPControl.NR.SelfConfig.SONConfigParam.SHEnable</t>
  </si>
  <si>
    <t>SHEnable</t>
  </si>
  <si>
    <t>自治愈功能开关</t>
  </si>
  <si>
    <t>SyncMode</t>
  </si>
  <si>
    <t>时钟同步模式</t>
  </si>
  <si>
    <t>时钟同步模式，取值范围：
GNSS
IEEE1588V2
Sniffer
Freedom</t>
  </si>
  <si>
    <t>Name</t>
  </si>
  <si>
    <t>端口名称</t>
  </si>
  <si>
    <t>MACAddress</t>
  </si>
  <si>
    <t>string(17)</t>
  </si>
  <si>
    <t>TR系列规范(TR098/TR181)//NRM数据配置要求</t>
  </si>
  <si>
    <t>PortRate</t>
  </si>
  <si>
    <t>SignTransMedia</t>
  </si>
  <si>
    <t>DuplexMode</t>
  </si>
  <si>
    <t>该连接使用的双工模式</t>
  </si>
  <si>
    <t>"Half","Full","Auto"</t>
  </si>
  <si>
    <t>IPAddress</t>
  </si>
  <si>
    <t>IP 地址</t>
  </si>
  <si>
    <t>IpAddressList/LocIpAddrList</t>
  </si>
  <si>
    <t>string(15)</t>
  </si>
  <si>
    <t>Device.Ethernet.Interface.{i}.IPv4Address.{i}.DefaultGateway</t>
  </si>
  <si>
    <t>DefaultGateway</t>
  </si>
  <si>
    <t>WAN 接口的默认网关</t>
  </si>
  <si>
    <t>WAN 接口的子网掩码</t>
  </si>
  <si>
    <t>Device.Ethernet.Interface.{i}.IPv4Address.{i}.AddressingType</t>
  </si>
  <si>
    <t>AddressingType</t>
  </si>
  <si>
    <t>PortType</t>
  </si>
  <si>
    <t>端口类型</t>
  </si>
  <si>
    <t>Device.Time.Enable</t>
  </si>
  <si>
    <t>Device.Time.NTPServer1</t>
  </si>
  <si>
    <t>NTPServer1</t>
  </si>
  <si>
    <t>NTP服务器1</t>
  </si>
  <si>
    <t>Device.Time.NTPServer2</t>
  </si>
  <si>
    <t>NTPServer2</t>
  </si>
  <si>
    <t>Device.Time.NTPServer3</t>
  </si>
  <si>
    <t>NTPServer3</t>
  </si>
  <si>
    <t>NTP服务器3</t>
  </si>
  <si>
    <t>Device.Time.NTPServer4</t>
  </si>
  <si>
    <t>NTPServer4</t>
  </si>
  <si>
    <t>NTP服务器4</t>
  </si>
  <si>
    <t>Device.Time.NTPServer5</t>
  </si>
  <si>
    <t>NTPServer5</t>
  </si>
  <si>
    <t>NTP服务器5</t>
  </si>
  <si>
    <t>Device.Time.CurrentLocalTime</t>
  </si>
  <si>
    <t>CurrentLocalTime</t>
  </si>
  <si>
    <t>本地时间</t>
  </si>
  <si>
    <t>参考TR系列规范(TR181/TR098)规范修改为只读</t>
  </si>
  <si>
    <t>本地时区</t>
  </si>
  <si>
    <t>GPS 经纬度信息</t>
  </si>
  <si>
    <t>LockedLatitude</t>
  </si>
  <si>
    <t>纬度</t>
  </si>
  <si>
    <t>int[-90000000:90000000]</t>
  </si>
  <si>
    <t>TR系列规范(TR098/TR181/TR262)</t>
  </si>
  <si>
    <t>Device.FAP.GPS.LockedLongitude</t>
  </si>
  <si>
    <t>LockedLongitude</t>
  </si>
  <si>
    <t>经度</t>
  </si>
  <si>
    <t>int[-180000000:180000000]</t>
  </si>
  <si>
    <t>Device.FAP.GPS.NumberOfSatellites</t>
  </si>
  <si>
    <t>NumberOfSatellites</t>
  </si>
  <si>
    <t>星个数</t>
  </si>
  <si>
    <t>北向index</t>
  </si>
  <si>
    <t>MrEnable</t>
  </si>
  <si>
    <t>MR开关</t>
  </si>
  <si>
    <r>
      <rPr>
        <sz val="9"/>
        <color theme="1"/>
        <rFont val="宋体"/>
        <family val="3"/>
        <charset val="134"/>
      </rPr>
      <t>开启或关闭</t>
    </r>
    <r>
      <rPr>
        <sz val="9"/>
        <color theme="1"/>
        <rFont val="Times New Roman"/>
        <family val="1"/>
      </rPr>
      <t>NanoCell</t>
    </r>
    <r>
      <rPr>
        <sz val="9"/>
        <color theme="1"/>
        <rFont val="宋体"/>
        <family val="3"/>
        <charset val="134"/>
      </rPr>
      <t>基站周期性上传</t>
    </r>
    <r>
      <rPr>
        <sz val="9"/>
        <color theme="1"/>
        <rFont val="Times New Roman"/>
        <family val="1"/>
      </rPr>
      <t>MR</t>
    </r>
    <r>
      <rPr>
        <sz val="9"/>
        <color theme="1"/>
        <rFont val="宋体"/>
        <family val="3"/>
        <charset val="134"/>
      </rPr>
      <t>数据文件到指定文件服务器的能力，</t>
    </r>
    <r>
      <rPr>
        <sz val="9"/>
        <color theme="1"/>
        <rFont val="Times New Roman"/>
        <family val="1"/>
      </rPr>
      <t>(0=false,1=true)</t>
    </r>
    <r>
      <rPr>
        <sz val="9"/>
        <color theme="1"/>
        <rFont val="宋体"/>
        <family val="3"/>
        <charset val="134"/>
      </rPr>
      <t>。</t>
    </r>
  </si>
  <si>
    <t>南向接口规范</t>
  </si>
  <si>
    <t>MrUrl</t>
  </si>
  <si>
    <t>Url地址</t>
  </si>
  <si>
    <t>Device.FAP.MRMgmt.Config.{i}.MrUsername</t>
  </si>
  <si>
    <t>MrUsername</t>
  </si>
  <si>
    <t>用户名</t>
  </si>
  <si>
    <r>
      <rPr>
        <sz val="9"/>
        <color theme="1"/>
        <rFont val="宋体"/>
        <family val="3"/>
        <charset val="134"/>
      </rPr>
      <t>用户名用于</t>
    </r>
    <r>
      <rPr>
        <sz val="9"/>
        <color theme="1"/>
        <rFont val="Times New Roman"/>
        <family val="1"/>
      </rPr>
      <t>NanoCell</t>
    </r>
    <r>
      <rPr>
        <sz val="9"/>
        <color theme="1"/>
        <rFont val="宋体"/>
        <family val="3"/>
        <charset val="134"/>
      </rPr>
      <t>基站到文件服务器的鉴权，如果不需要鉴权，此字符串为空</t>
    </r>
  </si>
  <si>
    <t>Device.FAP.MRMgmt.Config.{i}.MrPassword</t>
  </si>
  <si>
    <t>MrPassword</t>
  </si>
  <si>
    <t>密码</t>
  </si>
  <si>
    <r>
      <rPr>
        <sz val="9"/>
        <color theme="1"/>
        <rFont val="宋体"/>
        <family val="3"/>
        <charset val="134"/>
      </rPr>
      <t>密码用于</t>
    </r>
    <r>
      <rPr>
        <sz val="9"/>
        <color theme="1"/>
        <rFont val="Times New Roman"/>
        <family val="1"/>
      </rPr>
      <t xml:space="preserve"> NanoCell</t>
    </r>
    <r>
      <rPr>
        <sz val="9"/>
        <color theme="1"/>
        <rFont val="宋体"/>
        <family val="3"/>
        <charset val="134"/>
      </rPr>
      <t>基站到文件服务器的鉴权，如果不需要鉴权，此字符串为空当为读时，该参数返回一个空字符串，而不是一个实际的值。</t>
    </r>
  </si>
  <si>
    <t>Device.FAP.MRMgmt.Config.{i}.MeasureType</t>
  </si>
  <si>
    <t>MeasureType</t>
  </si>
  <si>
    <t>MR文件类型</t>
  </si>
  <si>
    <t>OmcName</t>
  </si>
  <si>
    <t>OMC-R名称</t>
  </si>
  <si>
    <r>
      <rPr>
        <sz val="9"/>
        <color theme="1"/>
        <rFont val="Times New Roman"/>
        <family val="1"/>
      </rPr>
      <t>OMC-R</t>
    </r>
    <r>
      <rPr>
        <sz val="9"/>
        <color theme="1"/>
        <rFont val="宋体"/>
        <family val="3"/>
        <charset val="134"/>
      </rPr>
      <t>名称，用与基站生成的</t>
    </r>
    <r>
      <rPr>
        <sz val="9"/>
        <color theme="1"/>
        <rFont val="Times New Roman"/>
        <family val="1"/>
      </rPr>
      <t>MR</t>
    </r>
    <r>
      <rPr>
        <sz val="9"/>
        <color theme="1"/>
        <rFont val="宋体"/>
        <family val="3"/>
        <charset val="134"/>
      </rPr>
      <t>文件命名</t>
    </r>
  </si>
  <si>
    <t>Device.FAP.MRMgmt.Config.{i}.SamplePeriod</t>
  </si>
  <si>
    <t>SamplePeriod</t>
  </si>
  <si>
    <t>MR采样周期</t>
  </si>
  <si>
    <t>Device.FAP.MRMgmt.Config.{i}.UploadPeriod</t>
  </si>
  <si>
    <t>UploadPeriod</t>
  </si>
  <si>
    <t>MR采集周期</t>
  </si>
  <si>
    <t>Device.FAP.MRMgmt.Config.{i}.SampleBeginTime</t>
  </si>
  <si>
    <t>SampleBeginTime</t>
  </si>
  <si>
    <t>绝对时间参考</t>
  </si>
  <si>
    <r>
      <rPr>
        <sz val="9"/>
        <color theme="1"/>
        <rFont val="宋体"/>
        <family val="3"/>
        <charset val="134"/>
      </rPr>
      <t>是</t>
    </r>
    <r>
      <rPr>
        <sz val="9"/>
        <color theme="1"/>
        <rFont val="Times New Roman"/>
        <family val="1"/>
      </rPr>
      <t>UTC</t>
    </r>
    <r>
      <rPr>
        <sz val="9"/>
        <color theme="1"/>
        <rFont val="宋体"/>
        <family val="3"/>
        <charset val="134"/>
      </rPr>
      <t>中的一个绝对时间参考，用于决定</t>
    </r>
    <r>
      <rPr>
        <sz val="9"/>
        <color theme="1"/>
        <rFont val="Times New Roman"/>
        <family val="1"/>
      </rPr>
      <t>NanoCell</t>
    </r>
    <r>
      <rPr>
        <sz val="9"/>
        <color theme="1"/>
        <rFont val="宋体"/>
        <family val="3"/>
        <charset val="134"/>
      </rPr>
      <t>基站何时开始测量任务，当任务开始后，将周期文件上载</t>
    </r>
    <r>
      <rPr>
        <sz val="9"/>
        <color theme="1"/>
        <rFont val="Times New Roman"/>
        <family val="1"/>
      </rPr>
      <t>;</t>
    </r>
    <r>
      <rPr>
        <sz val="9"/>
        <color theme="1"/>
        <rFont val="宋体"/>
        <family val="3"/>
        <charset val="134"/>
      </rPr>
      <t>参考时间，或未知的时间，值定义为</t>
    </r>
    <r>
      <rPr>
        <sz val="9"/>
        <color theme="1"/>
        <rFont val="Times New Roman"/>
        <family val="1"/>
      </rPr>
      <t>0001-01-01T00:00:00Z</t>
    </r>
    <r>
      <rPr>
        <sz val="9"/>
        <color theme="1"/>
        <rFont val="宋体"/>
        <family val="3"/>
        <charset val="134"/>
      </rPr>
      <t>，表明没有指定精确的时间参考。</t>
    </r>
  </si>
  <si>
    <t>Device.FAP.MRMgmt.Config.{i}.SampleEndTime</t>
  </si>
  <si>
    <t>SampleEndTime</t>
  </si>
  <si>
    <t>PrbNum</t>
  </si>
  <si>
    <t>子帧的PRB</t>
  </si>
  <si>
    <t>Device.FAP.MRMgmt.Config.{i}.SubFrameNum</t>
  </si>
  <si>
    <t>SubFrameNum</t>
  </si>
  <si>
    <t>子帧数</t>
  </si>
  <si>
    <r>
      <rPr>
        <sz val="9"/>
        <color theme="1"/>
        <rFont val="宋体"/>
        <family val="3"/>
        <charset val="134"/>
      </rPr>
      <t>需要开启接收干扰功率测量的上行子帧。如选择多个，需要用</t>
    </r>
    <r>
      <rPr>
        <sz val="9"/>
        <color theme="1"/>
        <rFont val="Times New Roman"/>
        <family val="1"/>
      </rPr>
      <t>“,”</t>
    </r>
    <r>
      <rPr>
        <sz val="9"/>
        <color theme="1"/>
        <rFont val="宋体"/>
        <family val="3"/>
        <charset val="134"/>
      </rPr>
      <t>进行分隔；</t>
    </r>
    <r>
      <rPr>
        <sz val="9"/>
        <color theme="1"/>
        <rFont val="Times New Roman"/>
        <family val="1"/>
      </rPr>
      <t>{2,3,4,7,8,9}</t>
    </r>
  </si>
  <si>
    <t>北向PM参数映射</t>
  </si>
  <si>
    <t xml:space="preserve">Enable </t>
  </si>
  <si>
    <t>文件周期上传使能开关</t>
  </si>
  <si>
    <t>Alias</t>
  </si>
  <si>
    <t>别名</t>
  </si>
  <si>
    <t>文件管理URL</t>
  </si>
  <si>
    <t xml:space="preserve">Username </t>
  </si>
  <si>
    <t>文件管理用户名</t>
  </si>
  <si>
    <t xml:space="preserve">Password </t>
  </si>
  <si>
    <t>文件管理密码</t>
  </si>
  <si>
    <t xml:space="preserve">PeriodicUploadInterval </t>
  </si>
  <si>
    <t>文件周期上传时间间隔</t>
  </si>
  <si>
    <t>(300,600,900,1800,3600)</t>
  </si>
  <si>
    <t>文件上传时间</t>
  </si>
  <si>
    <t>yyyy-mm-ddThh:mm:ss</t>
  </si>
  <si>
    <t>Device.Services.FAPService.{i}.FAPControl.LocalBreakout.Enable</t>
  </si>
  <si>
    <t>本地分流规则总开关</t>
  </si>
  <si>
    <t>IP五元组规则开关</t>
  </si>
  <si>
    <t>SourceIP</t>
  </si>
  <si>
    <t>源端IP地址</t>
  </si>
  <si>
    <t>Device.Services.FAPService.{i}.FAPControl.LocalBreakout.IpRules.RuleList.{i}.SourceMask</t>
  </si>
  <si>
    <t>SourceMask</t>
  </si>
  <si>
    <t>源端子网掩码</t>
  </si>
  <si>
    <t>Device.Services.FAPService.{i}.FAPControl.LocalBreakout.IpRules.RuleList.{i}.SourcePort</t>
  </si>
  <si>
    <t>SourcePort</t>
  </si>
  <si>
    <t>源端端口</t>
  </si>
  <si>
    <t>Device.Services.FAPService.{i}.FAPControl.LocalBreakout.IpRules.RuleList.{i}.TargetIP</t>
  </si>
  <si>
    <t>TargetIP</t>
  </si>
  <si>
    <t>目的端IP地址</t>
  </si>
  <si>
    <t>Device.Services.FAPService.{i}.FAPControl.LocalBreakout.IpRules.RuleList.{i}.TargetMask</t>
  </si>
  <si>
    <t>TargetMask</t>
  </si>
  <si>
    <t>目的端子网掩码</t>
  </si>
  <si>
    <t>Device.Services.FAPService.{i}.FAPControl.LocalBreakout.IpRules.RuleList.{i}.TargetPort</t>
  </si>
  <si>
    <t>TargetPort</t>
  </si>
  <si>
    <t>目的端端口</t>
  </si>
  <si>
    <t>Device.Services.FAPService.{i}.FAPControl.LocalBreakout.IpRules.RuleList.{i}.ProtocolType</t>
  </si>
  <si>
    <t>ProtocolType</t>
  </si>
  <si>
    <t>传输协议</t>
  </si>
  <si>
    <t>DNS规则开关</t>
  </si>
  <si>
    <t>DomainName</t>
  </si>
  <si>
    <t>域名</t>
  </si>
  <si>
    <t>DomainIp</t>
  </si>
  <si>
    <t>IP地址</t>
  </si>
  <si>
    <t>string(40)</t>
  </si>
  <si>
    <t>PLMN规则开关</t>
  </si>
  <si>
    <t>NSSAI规则开关</t>
  </si>
  <si>
    <t>软采参数管理</t>
  </si>
  <si>
    <t>SCPassword</t>
  </si>
  <si>
    <t>UuEnable</t>
  </si>
  <si>
    <t>Uu口软采开关</t>
  </si>
  <si>
    <t>X2Enable</t>
  </si>
  <si>
    <t>X2口软采开关</t>
  </si>
  <si>
    <t>XnEnable</t>
  </si>
  <si>
    <t>SC采样周期</t>
  </si>
  <si>
    <t>Device.FAP.SCMgmt.Config.{i}.MaxUEs</t>
  </si>
  <si>
    <t>MaxUEs</t>
  </si>
  <si>
    <t>SC采集最大UE数</t>
  </si>
  <si>
    <t>采集最大用户数</t>
  </si>
  <si>
    <t>SCDatePeriod</t>
  </si>
  <si>
    <t>SCTimePeriod1</t>
  </si>
  <si>
    <t>Device.FAP.SCMgmt.Config.{i}.SCTimePeriod2</t>
  </si>
  <si>
    <t>SCTimePeriod2</t>
  </si>
  <si>
    <t>Device.FAP.SCMgmt.Config.{i}.SCTimePeriod3</t>
  </si>
  <si>
    <t>SCTimePeriod3</t>
  </si>
  <si>
    <t>Device.FAP.SCMgmt.Config.{i}.SCTimePeriod4</t>
  </si>
  <si>
    <t>SCTimePeriod4</t>
  </si>
  <si>
    <t>Device.FAP.SCMgmt.Config.{i}.SCTimePeriod5</t>
  </si>
  <si>
    <t>SCTimePeriod5</t>
  </si>
  <si>
    <t>TR系列规范(TR098/TR181/TR069/TR196)协议</t>
  </si>
  <si>
    <t>A2测量实例节点</t>
  </si>
  <si>
    <t>A3测量实例节点</t>
  </si>
  <si>
    <t>A4测量实例节点</t>
  </si>
  <si>
    <t>A5测量实例节点</t>
  </si>
  <si>
    <t>B1测量实例节点</t>
  </si>
  <si>
    <t>B2测量实例节点</t>
  </si>
  <si>
    <t>异频重选实例节点</t>
  </si>
  <si>
    <t>支持告警实例节点</t>
  </si>
  <si>
    <t>当前告警实例节点</t>
  </si>
  <si>
    <t>历史告警实例节点</t>
  </si>
  <si>
    <t>Device.FaultMgmt.ExpeditedEvent.{i}.</t>
  </si>
  <si>
    <t>实时告警实例节点</t>
  </si>
  <si>
    <t>Device.FaultMgmt.QueuedEvent.{i}</t>
  </si>
  <si>
    <t>队列告警实例节点</t>
  </si>
  <si>
    <t>Device.FAP.MRMgmt.Config.{i}.</t>
  </si>
  <si>
    <t>MR实例节点</t>
  </si>
  <si>
    <t>Device.FAP.PerfMgmt.Config.{i}.</t>
  </si>
  <si>
    <t>PM实例节点</t>
  </si>
  <si>
    <t>EU实例节点</t>
  </si>
  <si>
    <t>RU实例节点</t>
  </si>
  <si>
    <t>多载波数据模型备注</t>
  </si>
  <si>
    <t>Services.FAPService.{i}.FAPControl.LocalBreakout</t>
    <phoneticPr fontId="53" type="noConversion"/>
  </si>
  <si>
    <t>本地分流规则</t>
    <phoneticPr fontId="53" type="noConversion"/>
  </si>
  <si>
    <r>
      <t>S</t>
    </r>
    <r>
      <rPr>
        <sz val="10"/>
        <rFont val="宋体"/>
        <family val="3"/>
        <charset val="134"/>
        <scheme val="minor"/>
      </rPr>
      <t>O</t>
    </r>
    <phoneticPr fontId="53" type="noConversion"/>
  </si>
  <si>
    <r>
      <t>S</t>
    </r>
    <r>
      <rPr>
        <sz val="10"/>
        <rFont val="宋体"/>
        <family val="3"/>
        <charset val="134"/>
        <scheme val="minor"/>
      </rPr>
      <t>P</t>
    </r>
    <phoneticPr fontId="53" type="noConversion"/>
  </si>
  <si>
    <r>
      <t>S</t>
    </r>
    <r>
      <rPr>
        <sz val="10"/>
        <rFont val="宋体"/>
        <family val="3"/>
        <charset val="134"/>
        <scheme val="minor"/>
      </rPr>
      <t>Q</t>
    </r>
    <phoneticPr fontId="53" type="noConversion"/>
  </si>
  <si>
    <r>
      <t>S</t>
    </r>
    <r>
      <rPr>
        <sz val="10"/>
        <rFont val="宋体"/>
        <family val="3"/>
        <charset val="134"/>
        <scheme val="minor"/>
      </rPr>
      <t>R</t>
    </r>
    <phoneticPr fontId="53" type="noConversion"/>
  </si>
  <si>
    <r>
      <t>S</t>
    </r>
    <r>
      <rPr>
        <sz val="10"/>
        <rFont val="宋体"/>
        <family val="3"/>
        <charset val="134"/>
        <scheme val="minor"/>
      </rPr>
      <t>S</t>
    </r>
    <phoneticPr fontId="53" type="noConversion"/>
  </si>
  <si>
    <t>FAP.SCMgmt</t>
    <phoneticPr fontId="53" type="noConversion"/>
  </si>
  <si>
    <t>软采规则</t>
    <phoneticPr fontId="53" type="noConversion"/>
  </si>
  <si>
    <t>B类属性数</t>
    <phoneticPr fontId="53" type="noConversion"/>
  </si>
  <si>
    <t>Device.FaultMgmt.CurrentAlarm.{i}.AlarmIdentifier</t>
    <phoneticPr fontId="53" type="noConversion"/>
  </si>
  <si>
    <t>Device.FaultMgmt.CurrentAlarm.{i}.ManagedObjectInstance</t>
    <phoneticPr fontId="53" type="noConversion"/>
  </si>
  <si>
    <t>Services.FAPService.{i}.FAPControl.SelfConfig.SONConfigParam</t>
    <phoneticPr fontId="53" type="noConversion"/>
  </si>
  <si>
    <t>Device.DeviceInfo.MU.{i}.Slot.{i}.EU.{i}.ULCRCSum</t>
    <phoneticPr fontId="53" type="noConversion"/>
  </si>
  <si>
    <t>(0=false,1=true)，立即激活目标升级版本使能开关，当为true时，设备下载成功目标升级版本后立即激活版本，当为flase时，需要和ActivateTime这两个参数一起使用。</t>
    <phoneticPr fontId="53" type="noConversion"/>
  </si>
  <si>
    <t>系统备份版本，新下载的或以前使用的版本。</t>
    <phoneticPr fontId="53" type="noConversion"/>
  </si>
  <si>
    <t>(0=false,1=true)激活备份版本使能开关，当为true时立即激活备份版本。</t>
    <phoneticPr fontId="53" type="noConversion"/>
  </si>
  <si>
    <t>激活备份版本使能开关</t>
    <phoneticPr fontId="53" type="noConversion"/>
  </si>
  <si>
    <t>CB</t>
    <phoneticPr fontId="53" type="noConversion"/>
  </si>
  <si>
    <t>ActivateEnable</t>
    <phoneticPr fontId="53" type="noConversion"/>
  </si>
  <si>
    <t>Device.Services.FAPService.{i}.CellConfig.{i}.NR.RAN.PHY.TddULDLConfigurationCommon.pattern2.NrofUplinkSlots</t>
    <phoneticPr fontId="53" type="noConversion"/>
  </si>
  <si>
    <t>CB</t>
    <phoneticPr fontId="53" type="noConversion"/>
  </si>
  <si>
    <t>SCMS用于识别实例</t>
    <phoneticPr fontId="53" type="noConversion"/>
  </si>
  <si>
    <t>SG</t>
    <phoneticPr fontId="53" type="noConversion"/>
  </si>
  <si>
    <r>
      <t>S</t>
    </r>
    <r>
      <rPr>
        <sz val="10"/>
        <rFont val="宋体"/>
        <family val="3"/>
        <charset val="134"/>
        <scheme val="minor"/>
      </rPr>
      <t>H</t>
    </r>
    <phoneticPr fontId="53" type="noConversion"/>
  </si>
  <si>
    <t>SI</t>
    <phoneticPr fontId="53" type="noConversion"/>
  </si>
  <si>
    <t>SJ</t>
    <phoneticPr fontId="53" type="noConversion"/>
  </si>
  <si>
    <t>SK</t>
    <phoneticPr fontId="53" type="noConversion"/>
  </si>
  <si>
    <t>SL</t>
    <phoneticPr fontId="53" type="noConversion"/>
  </si>
  <si>
    <t>SM</t>
    <phoneticPr fontId="53" type="noConversion"/>
  </si>
  <si>
    <t>SN</t>
    <phoneticPr fontId="53" type="noConversion"/>
  </si>
  <si>
    <r>
      <t>S</t>
    </r>
    <r>
      <rPr>
        <sz val="10"/>
        <rFont val="宋体"/>
        <family val="3"/>
        <charset val="134"/>
        <scheme val="minor"/>
      </rPr>
      <t>T</t>
    </r>
    <phoneticPr fontId="53" type="noConversion"/>
  </si>
  <si>
    <t>Device.Services.FAPService.{i}.CellConfig.{i}.NR.RAN.RF.FreqBandIndicator</t>
    <phoneticPr fontId="53" type="noConversion"/>
  </si>
  <si>
    <t>CellReservedForOtherUse</t>
  </si>
  <si>
    <t>Ranac</t>
  </si>
  <si>
    <t>A</t>
    <phoneticPr fontId="53" type="noConversion"/>
  </si>
  <si>
    <t>苏翰、张欢、赫祎诺</t>
    <phoneticPr fontId="53" type="noConversion"/>
  </si>
  <si>
    <r>
      <t>2020-9-25--2020-1</t>
    </r>
    <r>
      <rPr>
        <sz val="11"/>
        <color indexed="8"/>
        <rFont val="宋体"/>
        <family val="3"/>
        <charset val="134"/>
      </rPr>
      <t>1</t>
    </r>
    <r>
      <rPr>
        <sz val="11"/>
        <color indexed="8"/>
        <rFont val="宋体"/>
        <family val="3"/>
        <charset val="134"/>
      </rPr>
      <t>--</t>
    </r>
    <r>
      <rPr>
        <sz val="11"/>
        <color indexed="8"/>
        <rFont val="宋体"/>
        <family val="3"/>
        <charset val="134"/>
      </rPr>
      <t>05</t>
    </r>
    <phoneticPr fontId="53" type="noConversion"/>
  </si>
  <si>
    <t>网管读写权限</t>
    <phoneticPr fontId="53" type="noConversion"/>
  </si>
  <si>
    <t>SCEnable</t>
    <phoneticPr fontId="24" type="noConversion"/>
  </si>
  <si>
    <t>软采功能开关</t>
    <phoneticPr fontId="24" type="noConversion"/>
  </si>
  <si>
    <t>A</t>
    <phoneticPr fontId="24" type="noConversion"/>
  </si>
  <si>
    <r>
      <t>开启或关闭Small</t>
    </r>
    <r>
      <rPr>
        <sz val="9"/>
        <color theme="1"/>
        <rFont val="Times New Roman"/>
        <family val="1"/>
      </rPr>
      <t>Cell</t>
    </r>
    <r>
      <rPr>
        <sz val="9"/>
        <color theme="1"/>
        <rFont val="宋体"/>
        <family val="3"/>
        <charset val="134"/>
      </rPr>
      <t>基站上传软采数据到指定服务器的能力，</t>
    </r>
    <r>
      <rPr>
        <sz val="9"/>
        <color theme="1"/>
        <rFont val="Times New Roman"/>
        <family val="1"/>
      </rPr>
      <t>(0=false,1=true)</t>
    </r>
    <r>
      <rPr>
        <sz val="9"/>
        <color theme="1"/>
        <rFont val="宋体"/>
        <family val="3"/>
        <charset val="134"/>
      </rPr>
      <t>。</t>
    </r>
    <phoneticPr fontId="24" type="noConversion"/>
  </si>
  <si>
    <t>信令软采设备规范-Small Cell NR分册</t>
  </si>
  <si>
    <t>SCNCGIList</t>
    <phoneticPr fontId="24" type="noConversion"/>
  </si>
  <si>
    <t>软采开关小区列表</t>
    <phoneticPr fontId="24" type="noConversion"/>
  </si>
  <si>
    <t>RW</t>
    <phoneticPr fontId="24" type="noConversion"/>
  </si>
  <si>
    <t>软采对等网元采集模式</t>
    <phoneticPr fontId="24" type="noConversion"/>
  </si>
  <si>
    <t>Device.FAP.SCMgmt.Config.{i}.P2PNEMode</t>
    <phoneticPr fontId="24" type="noConversion"/>
  </si>
  <si>
    <t>P2PNEMode</t>
    <phoneticPr fontId="24" type="noConversion"/>
  </si>
  <si>
    <t>对等网元采集模式</t>
    <phoneticPr fontId="24" type="noConversion"/>
  </si>
  <si>
    <t>unsignedInt[0:2]</t>
    <phoneticPr fontId="24" type="noConversion"/>
  </si>
  <si>
    <r>
      <t>对等网元接口指</t>
    </r>
    <r>
      <rPr>
        <sz val="9"/>
        <color theme="1"/>
        <rFont val="Times New Roman"/>
        <family val="1"/>
      </rPr>
      <t>X2</t>
    </r>
    <r>
      <rPr>
        <sz val="9"/>
        <color theme="1"/>
        <rFont val="宋体"/>
        <family val="3"/>
        <charset val="134"/>
      </rPr>
      <t>、</t>
    </r>
    <r>
      <rPr>
        <sz val="9"/>
        <color theme="1"/>
        <rFont val="Times New Roman"/>
        <family val="1"/>
      </rPr>
      <t>Xn</t>
    </r>
    <r>
      <rPr>
        <sz val="9"/>
        <color theme="1"/>
        <rFont val="宋体"/>
        <family val="3"/>
        <charset val="134"/>
      </rPr>
      <t>、</t>
    </r>
    <r>
      <rPr>
        <sz val="9"/>
        <color theme="1"/>
        <rFont val="Times New Roman"/>
        <family val="1"/>
      </rPr>
      <t>E1</t>
    </r>
    <r>
      <rPr>
        <sz val="9"/>
        <color theme="1"/>
        <rFont val="宋体"/>
        <family val="3"/>
        <charset val="134"/>
      </rPr>
      <t>、</t>
    </r>
    <r>
      <rPr>
        <sz val="9"/>
        <color theme="1"/>
        <rFont val="Times New Roman"/>
        <family val="1"/>
      </rPr>
      <t>F1</t>
    </r>
    <r>
      <rPr>
        <sz val="9"/>
        <color theme="1"/>
        <rFont val="宋体"/>
        <family val="3"/>
        <charset val="134"/>
      </rPr>
      <t>等接口，若对等网元均采集输出接口数据，存在触发端和被触发的数据重复的现象。</t>
    </r>
    <r>
      <rPr>
        <sz val="9"/>
        <color theme="1"/>
        <rFont val="Times New Roman"/>
        <family val="1"/>
      </rPr>
      <t>(0=</t>
    </r>
    <r>
      <rPr>
        <sz val="9"/>
        <color theme="1"/>
        <rFont val="宋体"/>
        <family val="3"/>
        <charset val="134"/>
      </rPr>
      <t>触发端</t>
    </r>
    <r>
      <rPr>
        <sz val="9"/>
        <color theme="1"/>
        <rFont val="Times New Roman"/>
        <family val="1"/>
      </rPr>
      <t>,1=</t>
    </r>
    <r>
      <rPr>
        <sz val="9"/>
        <color theme="1"/>
        <rFont val="宋体"/>
        <family val="3"/>
        <charset val="134"/>
      </rPr>
      <t>被触发端</t>
    </r>
    <r>
      <rPr>
        <sz val="9"/>
        <color theme="1"/>
        <rFont val="Times New Roman"/>
        <family val="1"/>
      </rPr>
      <t>,2=</t>
    </r>
    <r>
      <rPr>
        <sz val="9"/>
        <color theme="1"/>
        <rFont val="宋体"/>
        <family val="3"/>
        <charset val="134"/>
      </rPr>
      <t>触发端和被触发端都上报</t>
    </r>
    <r>
      <rPr>
        <sz val="9"/>
        <color theme="1"/>
        <rFont val="Times New Roman"/>
        <family val="1"/>
      </rPr>
      <t>)</t>
    </r>
    <r>
      <rPr>
        <sz val="9"/>
        <color theme="1"/>
        <rFont val="宋体"/>
        <family val="3"/>
        <charset val="134"/>
      </rPr>
      <t>。</t>
    </r>
    <phoneticPr fontId="24" type="noConversion"/>
  </si>
  <si>
    <t>Uu-extend参数采集周期</t>
    <phoneticPr fontId="24" type="noConversion"/>
  </si>
  <si>
    <t>Device.FAP.SCMgmt.Config.{i}.SamplePeriod</t>
    <phoneticPr fontId="24" type="noConversion"/>
  </si>
  <si>
    <t>unsignedInt</t>
    <phoneticPr fontId="24" type="noConversion"/>
  </si>
  <si>
    <t>软采采集用户配置策略</t>
    <phoneticPr fontId="24" type="noConversion"/>
  </si>
  <si>
    <t>采集时间配置策略</t>
    <phoneticPr fontId="24" type="noConversion"/>
  </si>
  <si>
    <t>Device.FAP.SCMgmt.Config.{i}.SCSamplingTimeType</t>
    <phoneticPr fontId="24" type="noConversion"/>
  </si>
  <si>
    <t>SCSamplingTimeType</t>
  </si>
  <si>
    <t>软采采集时间类型</t>
    <phoneticPr fontId="24" type="noConversion"/>
  </si>
  <si>
    <t>信令采集时间类型,0：连续软采；1：周期软采；2：同时支持连续和周期的采集时间</t>
    <phoneticPr fontId="24" type="noConversion"/>
  </si>
  <si>
    <t>SCSamplingBeginTime</t>
    <phoneticPr fontId="24" type="noConversion"/>
  </si>
  <si>
    <t>连续软采开始时间</t>
    <phoneticPr fontId="24" type="noConversion"/>
  </si>
  <si>
    <t>是UTC中的一个绝对时间参考，用于决定NanoCell基站何时开始信令软采任务，当任务开始后，根据使能开关上报信令软采;参考时间，或未知的时间，值定义为0001-01-01T00:00:00Z，表明没有指定精确的时间参考。</t>
    <phoneticPr fontId="24" type="noConversion"/>
  </si>
  <si>
    <t>Device.FAP.SCMgmt.Config.{i}.SCSamplingEndTime</t>
    <phoneticPr fontId="24" type="noConversion"/>
  </si>
  <si>
    <t>SCSamplingEndTime</t>
    <phoneticPr fontId="24" type="noConversion"/>
  </si>
  <si>
    <t>连续软采结束时间</t>
    <phoneticPr fontId="24" type="noConversion"/>
  </si>
  <si>
    <t>是UTC中的一个绝对时间参考，用于决定NanoCell基站何时停止信令软采任务，当任务停止后，停止上报信令软采;参考时间，或未知的时间，值定义为0001-01-01T00:00:01Z，表明没有指定精确的时间参考。</t>
    <phoneticPr fontId="24" type="noConversion"/>
  </si>
  <si>
    <t>Device.FAP.SCMgmt.Config.{i}.SCDatePeriod</t>
    <phoneticPr fontId="24" type="noConversion"/>
  </si>
  <si>
    <t>周期软采起止日期</t>
    <phoneticPr fontId="24" type="noConversion"/>
  </si>
  <si>
    <t>年/月/日-年/月/日,如: 2020/11/3-2020/11/5</t>
    <phoneticPr fontId="24" type="noConversion"/>
  </si>
  <si>
    <t>Device.FAP.SCMgmt.Config.{i}.SCTimePeriod1</t>
    <phoneticPr fontId="24" type="noConversion"/>
  </si>
  <si>
    <t>周期软采起止时间1</t>
    <phoneticPr fontId="24" type="noConversion"/>
  </si>
  <si>
    <t>时:分:秒-时:分:秒,如: 07:20:00-08:20:00</t>
    <phoneticPr fontId="24" type="noConversion"/>
  </si>
  <si>
    <t>周期软采起止时间2</t>
    <phoneticPr fontId="24" type="noConversion"/>
  </si>
  <si>
    <t>周期软采起止时间3</t>
    <phoneticPr fontId="24" type="noConversion"/>
  </si>
  <si>
    <t>周期软采起止时间4</t>
    <phoneticPr fontId="24" type="noConversion"/>
  </si>
  <si>
    <t>周期软采起止时间5</t>
    <phoneticPr fontId="24" type="noConversion"/>
  </si>
  <si>
    <t>Uu口采集配置策略</t>
    <phoneticPr fontId="24" type="noConversion"/>
  </si>
  <si>
    <t>Device.FAP.SCMgmt.Config.{i}.UuEnable</t>
    <phoneticPr fontId="24" type="noConversion"/>
  </si>
  <si>
    <t>boolean</t>
    <phoneticPr fontId="24" type="noConversion"/>
  </si>
  <si>
    <t>开启或关闭SmallCell基站上传Uu口软采数据到指定服务器的能力，(0=false,1=true)。</t>
    <phoneticPr fontId="24" type="noConversion"/>
  </si>
  <si>
    <t>UuAllEnable</t>
    <phoneticPr fontId="24" type="noConversion"/>
  </si>
  <si>
    <t>Uu口软采开启所有信令消息</t>
    <phoneticPr fontId="24" type="noConversion"/>
  </si>
  <si>
    <t>Uu口所有信令都采集的策略，仅标识采集配置策略，不标识采集开启。(0=false,1=true)。</t>
    <phoneticPr fontId="24" type="noConversion"/>
  </si>
  <si>
    <t>UuRRCSetupRequestEnable</t>
    <phoneticPr fontId="24" type="noConversion"/>
  </si>
  <si>
    <t>UuRRCSetupRequest信令软采开关</t>
    <phoneticPr fontId="24" type="noConversion"/>
  </si>
  <si>
    <t>Uu口RRCSetupRequest信令采集的策略，仅标识采集配置策略，不标识采集开启。(0=false,1=true)。</t>
  </si>
  <si>
    <t>Device.FAP.SCMgmt.Config.{i}.UuRRCSetupEnable</t>
  </si>
  <si>
    <t>UuRRCSetupEnable</t>
  </si>
  <si>
    <t>UuRRCSetup信令软采开关</t>
    <phoneticPr fontId="24" type="noConversion"/>
  </si>
  <si>
    <t>Uu口RRCSetup信令采集的策略，仅标识采集配置策略，不标识采集开启。(0=false,1=true)。</t>
  </si>
  <si>
    <t>Device.FAP.SCMgmt.Config.{i}.UuRRCSetupCompleteEnable</t>
  </si>
  <si>
    <t>UuRRCSetupCompleteEnable</t>
  </si>
  <si>
    <t>UuRRCSetupComplete信令软采开关</t>
    <phoneticPr fontId="24" type="noConversion"/>
  </si>
  <si>
    <t>Uu口RRCSetupComplete信令采集的策略，仅标识采集配置策略，不标识采集开启。(0=false,1=true)。</t>
  </si>
  <si>
    <t>Device.FAP.SCMgmt.Config.{i}.UuRRCRejectEnable</t>
  </si>
  <si>
    <t>UuRRCRejectEnable</t>
  </si>
  <si>
    <t>UuRRCReject信令软采开关</t>
    <phoneticPr fontId="24" type="noConversion"/>
  </si>
  <si>
    <t>Device.FAP.SCMgmt.Config.{i}.UuSecurityModeCommandEnable</t>
    <phoneticPr fontId="24" type="noConversion"/>
  </si>
  <si>
    <t>UuSecurityModeCommandEnable</t>
    <phoneticPr fontId="24" type="noConversion"/>
  </si>
  <si>
    <t>UuSecurityModeCommand信令软采开关</t>
    <phoneticPr fontId="24" type="noConversion"/>
  </si>
  <si>
    <t>Uu口SecurityModeCommand信令采集的策略，仅标识采集配置策略，不标识采集开启。(0=false,1=true)。</t>
  </si>
  <si>
    <t>Device.FAP.SCMgmt.Config.{i}.UuSecurityModeCompleteEnable</t>
    <phoneticPr fontId="24" type="noConversion"/>
  </si>
  <si>
    <t>UuSecurityModeCompleteEnable</t>
    <phoneticPr fontId="24" type="noConversion"/>
  </si>
  <si>
    <t>UuSecurityModeComplete信令软采开关</t>
    <phoneticPr fontId="24" type="noConversion"/>
  </si>
  <si>
    <t>Uu口SecurityModeComplete信令采集的策略，仅标识采集配置策略，不标识采集开启。(0=false,1=true)。</t>
  </si>
  <si>
    <t>Device.FAP.SCMgmt.Config.{i}.UuSecurityModeFailureEnable</t>
    <phoneticPr fontId="24" type="noConversion"/>
  </si>
  <si>
    <t>UuSecurityModeFailureEnable</t>
    <phoneticPr fontId="24" type="noConversion"/>
  </si>
  <si>
    <t>UuSecurityModeFailure信令软采开关</t>
    <phoneticPr fontId="24" type="noConversion"/>
  </si>
  <si>
    <t>Uu口SecurityMode Failure信令采集的策略，仅标识采集配置策略，不标识采集开启。(0=false,1=true)。</t>
  </si>
  <si>
    <t>Device.FAP.SCMgmt.Config.{i}.UuRRCReconfigurationEnable</t>
  </si>
  <si>
    <t>UuRRCReconfigurationEnable</t>
  </si>
  <si>
    <t>UuRRCReconfiguration信令软采开关</t>
    <phoneticPr fontId="24" type="noConversion"/>
  </si>
  <si>
    <t>Uu口RRCReconfiguration信令采集的策略，仅标识采集配置策略，不标识采集开启。(0=false,1=true)。</t>
  </si>
  <si>
    <t>Device.FAP.SCMgmt.Config.{i}.UuRRCReconfigurationCompleteEnable</t>
    <phoneticPr fontId="24" type="noConversion"/>
  </si>
  <si>
    <t>UuRRCReconfigurationCompleteEnable</t>
    <phoneticPr fontId="24" type="noConversion"/>
  </si>
  <si>
    <t>UuRRCReconfiguration Complete信令软采开关</t>
    <phoneticPr fontId="24" type="noConversion"/>
  </si>
  <si>
    <t>Device.FAP.SCMgmt.Config.{i}.UuCounterCheckEnable</t>
  </si>
  <si>
    <t>UuCounterCheckEnable</t>
  </si>
  <si>
    <t>UuCounterCheck信令软采开关</t>
    <phoneticPr fontId="24" type="noConversion"/>
  </si>
  <si>
    <t>Uu口CounterCheck信令采集的策略，仅标识采集配置策略，不标识采集开启。(0=false,1=true)。</t>
  </si>
  <si>
    <t>Device.FAP.SCMgmt.Config.{i}.UuCounterCheckResponseEnable</t>
  </si>
  <si>
    <t>UuCounterCheckResponseEnable</t>
  </si>
  <si>
    <t>UuCounterCheckResponse信令软采开关</t>
    <phoneticPr fontId="24" type="noConversion"/>
  </si>
  <si>
    <t>Uu口CounterCheckResponse信令采集的策略，仅标识采集配置策略，不标识采集开启。(0=false,1=true)。</t>
  </si>
  <si>
    <t>Device.FAP.SCMgmt.Config.{i}.UuRRCReestablishmentRequestEnable</t>
  </si>
  <si>
    <t>UuRRCReestablishmentRequestEnable</t>
  </si>
  <si>
    <t>UuRRCReestablishmentRequest信令软采开关</t>
    <phoneticPr fontId="24" type="noConversion"/>
  </si>
  <si>
    <t>Uu口RRCReestablishmentRequest信令采集的策略，仅标识采集配置策略，不标识采集开启。(0=false,1=true)。</t>
  </si>
  <si>
    <t>Device.FAP.SCMgmt.Config.{i}.UuRRCReestablishmentEnable</t>
  </si>
  <si>
    <t>UuRRCReestablishmentEnable</t>
  </si>
  <si>
    <t>UuRRCReestablishment信令软采开关</t>
    <phoneticPr fontId="24" type="noConversion"/>
  </si>
  <si>
    <t>Uu口RRCReestablishment信令采集的策略，仅标识采集配置策略，不标识采集开启。(0=false,1=true)。</t>
  </si>
  <si>
    <t>Device.FAP.SCMgmt.Config.{i}.UuRRCReestablishmentCompleteEnable</t>
    <phoneticPr fontId="24" type="noConversion"/>
  </si>
  <si>
    <t>UuRRCReestablishmentCompleteEnable</t>
  </si>
  <si>
    <t>UuRRCReestablishmentComplete信令软采开关</t>
    <phoneticPr fontId="24" type="noConversion"/>
  </si>
  <si>
    <t>Uu口RRCReestablishmentComplete信令采集的策略，仅标识采集配置策略，不标识采集开启。(0=false,1=true)。</t>
  </si>
  <si>
    <t>Device.FAP.SCMgmt.Config.{i}.UuRRCReleaseEnable</t>
  </si>
  <si>
    <t>UuRRCReleaseEnable</t>
  </si>
  <si>
    <t>UuRRCRelease信令软采开关</t>
    <phoneticPr fontId="24" type="noConversion"/>
  </si>
  <si>
    <t>Uu口RRCRelease信令采集的策略，仅标识采集配置策略，不标识采集开启。(0=false,1=true)。</t>
  </si>
  <si>
    <t>Device.FAP.SCMgmt.Config.{i}.UuRRCResumeRequestEnable</t>
  </si>
  <si>
    <t>UuRRCResumeRequestEnable</t>
  </si>
  <si>
    <t>UuRRCResumeRequest信令软采开关</t>
    <phoneticPr fontId="24" type="noConversion"/>
  </si>
  <si>
    <t>Uu口RRCResumeRequest信令采集的策略，仅标识采集配置策略，不标识采集开启。(0=false,1=true)。</t>
  </si>
  <si>
    <t>Device.FAP.SCMgmt.Config.{i}.UuRRCResumeEnable</t>
  </si>
  <si>
    <t>UuRRCResumeEnable</t>
  </si>
  <si>
    <t>UuRRCResume信令软采开关</t>
    <phoneticPr fontId="24" type="noConversion"/>
  </si>
  <si>
    <t>Uu口RRCResume信令采集的策略，仅标识采集配置策略，不标识采集开启。(0=false,1=true)。</t>
  </si>
  <si>
    <t>Device.FAP.SCMgmt.Config.{i}.UuRRCResumeCompleteEnable</t>
  </si>
  <si>
    <t>UuRRCResumeCompleteEnable</t>
  </si>
  <si>
    <t>UuRRCResumeComplete信令软采开关</t>
    <phoneticPr fontId="24" type="noConversion"/>
  </si>
  <si>
    <t>Uu口RRCResumeComplete信令采集的策略，仅标识采集配置策略，不标识采集开启。(0=false,1=true)。</t>
  </si>
  <si>
    <t>Device.FAP.SCMgmt.Config.{i}.UuMobilityFromNRCommandEnable</t>
    <phoneticPr fontId="24" type="noConversion"/>
  </si>
  <si>
    <t>UuMobilityFromNRCommandEnable</t>
    <phoneticPr fontId="24" type="noConversion"/>
  </si>
  <si>
    <t>UuMobilityFromNRCommand 信令软采开关</t>
    <phoneticPr fontId="24" type="noConversion"/>
  </si>
  <si>
    <t>Uu口MobilityFromNRCommand 信令采集的策略，仅标识采集配置策略，不标识采集开启。(0=false,1=true)。</t>
  </si>
  <si>
    <t>Device.FAP.SCMgmt.Config.{i}.UuMeasurementReportEnable</t>
  </si>
  <si>
    <t>UuMeasurementReportEnable</t>
  </si>
  <si>
    <t>UuMeasurementReport信令软采开关</t>
    <phoneticPr fontId="24" type="noConversion"/>
  </si>
  <si>
    <t>Uu口MeasurementReport信令采集的策略，仅标识采集配置策略，不标识采集开启。(0=false,1=true)。</t>
  </si>
  <si>
    <t>Device.FAP.SCMgmt.Config.{i}.UuLocationMeasurementIndicationEnable</t>
  </si>
  <si>
    <t>UuLocationMeasurementIndicationEnable</t>
  </si>
  <si>
    <t>UuLocationMeasurementIndication信令软采开关</t>
    <phoneticPr fontId="24" type="noConversion"/>
  </si>
  <si>
    <t>Uu口LocationMeasurementIndication信令采集的策略，仅标识采集配置策略，不标识采集开启。(0=false,1=true)。</t>
  </si>
  <si>
    <t>Device.FAP.SCMgmt.Config.{i}.UuUECapabilityEnquiryEnable</t>
  </si>
  <si>
    <t>UuUECapabilityEnquiryEnable</t>
  </si>
  <si>
    <t>UuUECapabilityEnquiry信令软采开关</t>
    <phoneticPr fontId="24" type="noConversion"/>
  </si>
  <si>
    <t>Uu口UECapabilityEnquiry信令采集的策略，仅标识采集配置策略，不标识采集开启。(0=false,1=true)。</t>
  </si>
  <si>
    <t>Device.FAP.SCMgmt.Config.{i}.UuUECapabilityInformationEnable</t>
  </si>
  <si>
    <t>UuUECapabilityInformationEnable</t>
  </si>
  <si>
    <t>UuUECapabilityInformation信令软采开关</t>
    <phoneticPr fontId="24" type="noConversion"/>
  </si>
  <si>
    <t>Uu口UECapabilityInformation信令采集的策略，仅标识采集配置策略，不标识采集开启。(0=false,1=true)。</t>
  </si>
  <si>
    <t>Device.FAP.SCMgmt.Config.{i}.UuDLInformationTransferEnable</t>
  </si>
  <si>
    <t>UuDLInformationTransferEnable</t>
  </si>
  <si>
    <t>UuDLInformationTransfer信令软采开关</t>
    <phoneticPr fontId="24" type="noConversion"/>
  </si>
  <si>
    <t>Uu口DLInformationTransfer信令采集的策略，仅标识采集配置策略，不标识采集开启。(0=false,1=true)。</t>
  </si>
  <si>
    <t>Device.FAP.SCMgmt.Config.{i}.UuULInformationTransferEnable</t>
  </si>
  <si>
    <t>UuULInformationTransferEnable</t>
  </si>
  <si>
    <t>UuULInformationTransfer信令软采开关</t>
    <phoneticPr fontId="24" type="noConversion"/>
  </si>
  <si>
    <t>Uu口ULInformationTransfer信令采集的策略，仅标识采集配置策略，不标识采集开启。(0=false,1=true)。</t>
  </si>
  <si>
    <t>Device.FAP.SCMgmt.Config.{i}.UuSCGFailureInformationNREnable</t>
  </si>
  <si>
    <t>UuSCGFailureInformationNREnable</t>
  </si>
  <si>
    <t>UuSCGFailureInformationNR信令软采开关</t>
    <phoneticPr fontId="24" type="noConversion"/>
  </si>
  <si>
    <t>Uu口SCGFailureInformationNR信令采集的策略，仅标识采集配置策略，不标识采集开启。(0=false,1=true)。</t>
  </si>
  <si>
    <t>Device.FAP.SCMgmt.Config.{i}.UuUEAssistanceInformationEnable</t>
  </si>
  <si>
    <t>UuUEAssistanceInformationEnable</t>
  </si>
  <si>
    <t>UuUEAssistanceInformation信令软采开关</t>
    <phoneticPr fontId="24" type="noConversion"/>
  </si>
  <si>
    <t>Uu口UEAssistanceInformation信令采集的策略，仅标识采集配置策略，不标识采集开启。(0=false,1=true)。</t>
  </si>
  <si>
    <t>X2口采集配置策略</t>
    <phoneticPr fontId="24" type="noConversion"/>
  </si>
  <si>
    <t>Device.FAP.SCMgmt.Config.{i}.X2Enable</t>
    <phoneticPr fontId="24" type="noConversion"/>
  </si>
  <si>
    <r>
      <t>开启或关闭Small</t>
    </r>
    <r>
      <rPr>
        <sz val="9"/>
        <color theme="1"/>
        <rFont val="Times New Roman"/>
        <family val="1"/>
      </rPr>
      <t>Cell</t>
    </r>
    <r>
      <rPr>
        <sz val="9"/>
        <color theme="1"/>
        <rFont val="宋体"/>
        <family val="3"/>
        <charset val="134"/>
      </rPr>
      <t>基站上传</t>
    </r>
    <r>
      <rPr>
        <sz val="9"/>
        <color theme="1"/>
        <rFont val="Times New Roman"/>
        <family val="1"/>
      </rPr>
      <t>X2</t>
    </r>
    <r>
      <rPr>
        <sz val="9"/>
        <color theme="1"/>
        <rFont val="宋体"/>
        <family val="3"/>
        <charset val="134"/>
      </rPr>
      <t>口软采数据到指定服务器的能力，</t>
    </r>
    <r>
      <rPr>
        <sz val="9"/>
        <color theme="1"/>
        <rFont val="Times New Roman"/>
        <family val="1"/>
      </rPr>
      <t>(0=false,1=true)</t>
    </r>
    <r>
      <rPr>
        <sz val="9"/>
        <color theme="1"/>
        <rFont val="宋体"/>
        <family val="3"/>
        <charset val="134"/>
      </rPr>
      <t>。</t>
    </r>
    <phoneticPr fontId="24" type="noConversion"/>
  </si>
  <si>
    <t>Device.FAP.SCMgmt.Config.{i}.X2AllEnable</t>
    <phoneticPr fontId="24" type="noConversion"/>
  </si>
  <si>
    <t>X2AllEnable</t>
  </si>
  <si>
    <t>X2口软采开启所有信令消息</t>
    <phoneticPr fontId="24" type="noConversion"/>
  </si>
  <si>
    <t>X2口所有信令都采集的策略，仅标识采集配置策略，不标识采集开启。(0=false,1=true)。</t>
    <phoneticPr fontId="24" type="noConversion"/>
  </si>
  <si>
    <t>Device.FAP.SCMgmt.Config.{i}.X2EN-DCX2SETUPREQUESTEnable</t>
  </si>
  <si>
    <t>X2EN-DCX2SETUPREQUESTEnable</t>
  </si>
  <si>
    <t>X2EN-DCX2SETUPREQUEST信令软采开关</t>
    <phoneticPr fontId="24" type="noConversion"/>
  </si>
  <si>
    <t>X2口EN-DCX2SETUPREQUEST信令采集的策略，仅标识采集配置策略，不标识采集开启。(0=false,1=true)。</t>
  </si>
  <si>
    <t>Device.FAP.SCMgmt.Config.{i}.X2EN-DCX2SETUPRESPONSEEnable</t>
  </si>
  <si>
    <t>X2EN-DCX2SETUPRESPONSEEnable</t>
  </si>
  <si>
    <t>X2EN-DCX2SETUPRESPONSE信令软采开关</t>
    <phoneticPr fontId="24" type="noConversion"/>
  </si>
  <si>
    <t>X2口EN-DCX2SETUPRESPONSE信令采集的策略，仅标识采集配置策略，不标识采集开启。(0=false,1=true)。</t>
  </si>
  <si>
    <t>Device.FAP.SCMgmt.Config.{i}.X2EN-DCX2SETUPFAILUREEnable</t>
  </si>
  <si>
    <t>X2EN-DCX2SETUPFAILUREEnable</t>
  </si>
  <si>
    <t>X2EN-DCX2SETUPFAILURE信令软采开关</t>
    <phoneticPr fontId="24" type="noConversion"/>
  </si>
  <si>
    <t>X2口EN-DCX2SETUPFAILURE信令采集的策略，仅标识采集配置策略，不标识采集开启。(0=false,1=true)。</t>
  </si>
  <si>
    <t>Device.FAP.SCMgmt.Config.{i}.X2EN-DCCONFIGURATIONUPDATEEnable</t>
  </si>
  <si>
    <t>X2EN-DCCONFIGURATIONUPDATEEnable</t>
  </si>
  <si>
    <t>X2EN-DCCONFIGURATIONUPDATE信令软采开关</t>
    <phoneticPr fontId="24" type="noConversion"/>
  </si>
  <si>
    <t>X2口EN-DCCONFIGURATIONUPDATE信令采集的策略，仅标识采集配置策略，不标识采集开启。(0=false,1=true)。</t>
  </si>
  <si>
    <t>Device.FAP.SCMgmt.Config.{i}.X2EN-DCCONFIGURATIONUPDATEACKNOWLEDGEEnable</t>
  </si>
  <si>
    <t>X2EN-DCCONFIGURATIONUPDATEACKNOWLEDGEEnable</t>
  </si>
  <si>
    <t>X2EN-DCCONFIGURATIONUPDATEACKNOWLEDGE信令软采开关</t>
    <phoneticPr fontId="24" type="noConversion"/>
  </si>
  <si>
    <t>X2口EN-DCCONFIGURATIONUPDATEACKNOWLEDGE信令采集的策略，仅标识采集配置策略，不标识采集开启。(0=false,1=true)。</t>
  </si>
  <si>
    <t>Device.FAP.SCMgmt.Config.{i}.X2EN-DCCONFIGURATIONUPDATEFAILUREEnable</t>
  </si>
  <si>
    <t>X2EN-DCCONFIGURATIONUPDATEFAILUREEnable</t>
  </si>
  <si>
    <t>X2EN-DCCONFIGURATIONUPDATEFAILURE信令软采开关</t>
    <phoneticPr fontId="24" type="noConversion"/>
  </si>
  <si>
    <t>X2口EN-DCCONFIGURATIONUPDATEFAILURE信令采集的策略，仅标识采集配置策略，不标识采集开启。(0=false,1=true)。</t>
  </si>
  <si>
    <t>Device.FAP.SCMgmt.Config.{i}.X2EN-DCCELLACTIVATIONREQUESTEnable</t>
  </si>
  <si>
    <t>X2EN-DCCELLACTIVATIONREQUESTEnable</t>
  </si>
  <si>
    <t>X2EN-DCCELLACTIVATIONREQUEST信令软采开关</t>
    <phoneticPr fontId="24" type="noConversion"/>
  </si>
  <si>
    <t>X2口EN-DCCELLACTIVATIONREQUEST信令采集的策略，仅标识采集配置策略，不标识采集开启。(0=false,1=true)。</t>
  </si>
  <si>
    <t>Device.FAP.SCMgmt.Config.{i}.X2EN-DCCELLACTIVATIONRESPONSEEnable</t>
  </si>
  <si>
    <t>X2EN-DCCELLACTIVATIONRESPONSEEnable</t>
  </si>
  <si>
    <t>X2EN-DCCELLACTIVATIONRESPONSE信令软采开关</t>
    <phoneticPr fontId="24" type="noConversion"/>
  </si>
  <si>
    <t>X2口EN-DCCELLACTIVATIONRESPONSE信令采集的策略，仅标识采集配置策略，不标识采集开启。(0=false,1=true)。</t>
  </si>
  <si>
    <t>Device.FAP.SCMgmt.Config.{i}.X2EN-DCCELLACTIVATIONFAILUREEnable</t>
  </si>
  <si>
    <t>X2EN-DCCELLACTIVATIONFAILUREEnable</t>
  </si>
  <si>
    <t>X2EN-DCCELLACTIVATIONFAILURE信令软采开关</t>
    <phoneticPr fontId="24" type="noConversion"/>
  </si>
  <si>
    <t>X2口EN-DCCELLACTIVATIONFAILURE信令采集的策略，仅标识采集配置策略，不标识采集开启。(0=false,1=true)。</t>
  </si>
  <si>
    <t>Device.FAP.SCMgmt.Config.{i}.X2SGNBADDITIONREQUESTEnable</t>
  </si>
  <si>
    <t>X2SGNBADDITIONREQUESTEnable</t>
  </si>
  <si>
    <t>X2SGNBADDITIONREQUEST信令软采开关</t>
    <phoneticPr fontId="24" type="noConversion"/>
  </si>
  <si>
    <t>X2口SGNBADDITIONREQUEST信令采集的策略，仅标识采集配置策略，不标识采集开启。(0=false,1=true)。</t>
  </si>
  <si>
    <t>Device.FAP.SCMgmt.Config.{i}.X2SGNBADDITIONREQUESTACKNOWLEDGEEnable</t>
  </si>
  <si>
    <t>X2SGNBADDITIONREQUESTACKNOWLEDGEEnable</t>
  </si>
  <si>
    <t>X2SGNBADDITIONREQUESTACKNOWLEDGE信令软采开关</t>
    <phoneticPr fontId="24" type="noConversion"/>
  </si>
  <si>
    <t>X2口SGNBADDITIONREQUESTACKNOWLEDGE信令采集的策略，仅标识采集配置策略，不标识采集开启。(0=false,1=true)。</t>
  </si>
  <si>
    <t>Device.FAP.SCMgmt.Config.{i}.X2SGNBADDITIONREQUESTREJECTEnable</t>
  </si>
  <si>
    <t>X2SGNBADDITIONREQUESTREJECTEnable</t>
  </si>
  <si>
    <t>X2SGNBADDITIONREQUESTREJECT信令软采开关</t>
    <phoneticPr fontId="24" type="noConversion"/>
  </si>
  <si>
    <t>X2口SGNBADDITIONREQUESTREJECT信令采集的策略，仅标识采集配置策略，不标识采集开启。(0=false,1=true)。</t>
  </si>
  <si>
    <t>Device.FAP.SCMgmt.Config.{i}.X2SGNBRECONFIGURATIONCOMPLETEEnable</t>
  </si>
  <si>
    <t>X2SGNBRECONFIGURATIONCOMPLETEEnable</t>
  </si>
  <si>
    <t>X2SGNBRECONFIGURATIONCOMPLETE信令软采开关</t>
    <phoneticPr fontId="24" type="noConversion"/>
  </si>
  <si>
    <t>X2口SGNBRECONFIGURATIONCOMPLETE信令采集的策略，仅标识采集配置策略，不标识采集开启。(0=false,1=true)。</t>
  </si>
  <si>
    <t>Device.FAP.SCMgmt.Config.{i}.X2SGNBMODIFICATIONREQUESTEnable</t>
  </si>
  <si>
    <t>X2SGNBMODIFICATIONREQUESTEnable</t>
  </si>
  <si>
    <t>X2SGNBMODIFICATIONREQUEST信令软采开关</t>
    <phoneticPr fontId="24" type="noConversion"/>
  </si>
  <si>
    <t>X2口SGNBMODIFICATIONREQUEST信令采集的策略，仅标识采集配置策略，不标识采集开启。(0=false,1=true)。</t>
  </si>
  <si>
    <t>Device.FAP.SCMgmt.Config.{i}.X2SGNBMODIFICATIONREQUESTACKNOWLEDGEEnable</t>
  </si>
  <si>
    <t>X2SGNBMODIFICATIONREQUESTACKNOWLEDGEEnable</t>
  </si>
  <si>
    <t>X2SGNBMODIFICATIONREQUESTACKNOWLEDGE信令软采开关</t>
    <phoneticPr fontId="24" type="noConversion"/>
  </si>
  <si>
    <t>X2口SGNBMODIFICATIONREQUESTACKNOWLEDGE信令采集的策略，仅标识采集配置策略，不标识采集开启。(0=false,1=true)。</t>
  </si>
  <si>
    <t>Device.FAP.SCMgmt.Config.{i}.X2SGNBMODIFICATIONREQUESTREJECTEnable</t>
  </si>
  <si>
    <t>X2SGNBMODIFICATIONREQUESTREJECTEnable</t>
  </si>
  <si>
    <t>X2SGNBMODIFICATIONREQUESTREJECT信令软采开关</t>
    <phoneticPr fontId="24" type="noConversion"/>
  </si>
  <si>
    <t>X2口SGNBMODIFICATIONREQUESTREJECT信令采集的策略，仅标识采集配置策略，不标识采集开启。(0=false,1=true)。</t>
  </si>
  <si>
    <t>Device.FAP.SCMgmt.Config.{i}.X2SGNBMODIFICATIONREQUIREDEnable</t>
  </si>
  <si>
    <t>X2SGNBMODIFICATIONREQUIREDEnable</t>
  </si>
  <si>
    <t>X2SGNBMODIFICATIONREQUIRED信令软采开关</t>
    <phoneticPr fontId="24" type="noConversion"/>
  </si>
  <si>
    <t>X2口SGNBMODIFICATIONREQUIRED信令采集的策略，仅标识采集配置策略，不标识采集开启。(0=false,1=true)。</t>
  </si>
  <si>
    <t>Device.FAP.SCMgmt.Config.{i}.X2SGNBMODIFICATIONCONFIRMEnable</t>
  </si>
  <si>
    <t>X2SGNBMODIFICATIONCONFIRMEnable</t>
  </si>
  <si>
    <t>X2SGNBMODIFICATIONCONFIRM信令软采开关</t>
    <phoneticPr fontId="24" type="noConversion"/>
  </si>
  <si>
    <t>X2口SGNBMODIFICATIONCONFIRM信令采集的策略，仅标识采集配置策略，不标识采集开启。(0=false,1=true)。</t>
  </si>
  <si>
    <t>Device.FAP.SCMgmt.Config.{i}.X2SGNBMODIFICATIONREFUSEEnable</t>
  </si>
  <si>
    <t>X2SGNBMODIFICATIONREFUSEEnable</t>
  </si>
  <si>
    <t>X2SGNBMODIFICATIONREFUSE信令软采开关</t>
    <phoneticPr fontId="24" type="noConversion"/>
  </si>
  <si>
    <t>X2口SGNBMODIFICATIONREFUSE信令采集的策略，仅标识采集配置策略，不标识采集开启。(0=false,1=true)。</t>
  </si>
  <si>
    <t>Device.FAP.SCMgmt.Config.{i}.X2SGNBCHANGEREQUIREDEnable</t>
  </si>
  <si>
    <t>X2SGNBCHANGEREQUIREDEnable</t>
  </si>
  <si>
    <t>X2SGNBCHANGEREQUIRED信令软采开关</t>
    <phoneticPr fontId="24" type="noConversion"/>
  </si>
  <si>
    <t>X2口SGNBCHANGEREQUIRED信令采集的策略，仅标识采集配置策略，不标识采集开启。(0=false,1=true)。</t>
  </si>
  <si>
    <t>Device.FAP.SCMgmt.Config.{i}.X2SGNBCHANGECONFIRMEnable</t>
  </si>
  <si>
    <t>X2SGNBCHANGECONFIRMEnable</t>
  </si>
  <si>
    <t>X2SGNBCHANGECONFIRM信令软采开关</t>
    <phoneticPr fontId="24" type="noConversion"/>
  </si>
  <si>
    <t>X2口SGNBCHANGECONFIRM信令采集的策略，仅标识采集配置策略，不标识采集开启。(0=false,1=true)。</t>
  </si>
  <si>
    <t>Device.FAP.SCMgmt.Config.{i}.X2SGNBCHANGEREFUSEEnable</t>
  </si>
  <si>
    <t>X2SGNBCHANGEREFUSEEnable</t>
  </si>
  <si>
    <t>X2SGNBCHANGEREFUSE信令软采开关</t>
    <phoneticPr fontId="24" type="noConversion"/>
  </si>
  <si>
    <t>X2口SGNBCHANGEREFUSE信令采集的策略，仅标识采集配置策略，不标识采集开启。(0=false,1=true)。</t>
  </si>
  <si>
    <t>Device.FAP.SCMgmt.Config.{i}.X2SGNBRELEASEREQUESTEnable</t>
  </si>
  <si>
    <t>X2SGNBRELEASEREQUESTEnable</t>
  </si>
  <si>
    <t>X2SGNBRELEASEREQUEST信令软采开关</t>
    <phoneticPr fontId="24" type="noConversion"/>
  </si>
  <si>
    <t>X2口SGNBRELEASEREQUEST信令采集的策略，仅标识采集配置策略，不标识采集开启。(0=false,1=true)。</t>
  </si>
  <si>
    <t>Device.FAP.SCMgmt.Config.{i}.X2SGNBRELEASEREQUESTACKNOWLEDGEEnable</t>
  </si>
  <si>
    <t>X2SGNBRELEASEREQUESTACKNOWLEDGEEnable</t>
  </si>
  <si>
    <t>X2SGNBRELEASEREQUESTACKNOWLEDGE信令软采开关</t>
    <phoneticPr fontId="24" type="noConversion"/>
  </si>
  <si>
    <t>X2口SGNBRELEASEREQUESTACKNOWLEDGE信令采集的策略，仅标识采集配置策略，不标识采集开启。(0=false,1=true)。</t>
  </si>
  <si>
    <t>Device.FAP.SCMgmt.Config.{i}.X2SGNBRELEASEREQUESTREJECTEnable</t>
  </si>
  <si>
    <t>X2SGNBRELEASEREQUESTREJECTEnable</t>
  </si>
  <si>
    <t>X2SGNBRELEASEREQUESTREJECT信令软采开关</t>
    <phoneticPr fontId="24" type="noConversion"/>
  </si>
  <si>
    <t>X2口SGNBRELEASEREQUESTREJECT信令采集的策略，仅标识采集配置策略，不标识采集开启。(0=false,1=true)。</t>
  </si>
  <si>
    <t>Device.FAP.SCMgmt.Config.{i}.X2SGNBRELEASEREQUIREDEnable</t>
  </si>
  <si>
    <t>X2SGNBRELEASEREQUIREDEnable</t>
  </si>
  <si>
    <t>X2SGNBRELEASEREQUIRED信令软采开关</t>
    <phoneticPr fontId="24" type="noConversion"/>
  </si>
  <si>
    <t>X2口SGNBRELEASEREQUIRED信令采集的策略，仅标识采集配置策略，不标识采集开启。(0=false,1=true)。</t>
  </si>
  <si>
    <t>Device.FAP.SCMgmt.Config.{i}.X2SGNBRELEASECONFIRMEnable</t>
  </si>
  <si>
    <t>X2SGNBRELEASECONFIRMEnable</t>
  </si>
  <si>
    <t>X2SGNBRELEASECONFIRM信令软采开关</t>
    <phoneticPr fontId="24" type="noConversion"/>
  </si>
  <si>
    <t>X2口SGNBRELEASECONFIRM信令采集的策略，仅标识采集配置策略，不标识采集开启。(0=false,1=true)。</t>
  </si>
  <si>
    <t>Device.FAP.SCMgmt.Config.{i}.X2SGNBCOUNTERCHECKREQUESTEnable</t>
  </si>
  <si>
    <t>X2SGNBCOUNTERCHECKREQUESTEnable</t>
  </si>
  <si>
    <t>X2SGNBCOUNTERCHECKREQUEST信令软采开关</t>
    <phoneticPr fontId="24" type="noConversion"/>
  </si>
  <si>
    <t>X2口SGNBCOUNTERCHECKREQUEST信令采集的策略，仅标识采集配置策略，不标识采集开启。(0=false,1=true)。</t>
  </si>
  <si>
    <t>Device.FAP.SCMgmt.Config.{i}.X2RRCTRANSFEREnable</t>
  </si>
  <si>
    <t>X2RRCTRANSFEREnable</t>
  </si>
  <si>
    <t>X2RRCTRANSFER信令软采开关</t>
    <phoneticPr fontId="24" type="noConversion"/>
  </si>
  <si>
    <t>X2口RRCTRANSFER信令采集的策略，仅标识采集配置策略，不标识采集开启。(0=false,1=true)。</t>
  </si>
  <si>
    <t>Device.FAP.SCMgmt.Config.{i}.X2SECONDARYRATDATAUSAGEREPORTEnable</t>
  </si>
  <si>
    <t>X2SECONDARYRATDATAUSAGEREPORTEnable</t>
  </si>
  <si>
    <t>X2SECONDARYRATDATAUSAGEREPORT信令软采开关</t>
    <phoneticPr fontId="24" type="noConversion"/>
  </si>
  <si>
    <t>X2口SECONDARYRATDATAUSAGEREPORT信令采集的策略，仅标识采集配置策略，不标识采集开启。(0=false,1=true)。</t>
  </si>
  <si>
    <t>Device.FAP.SCMgmt.Config.{i}.X2PARTIALRESETREQUIREDEnable</t>
  </si>
  <si>
    <t>X2PARTIALRESETREQUIREDEnable</t>
  </si>
  <si>
    <t>X2PARTIALRESETREQUIRED信令软采开关</t>
    <phoneticPr fontId="24" type="noConversion"/>
  </si>
  <si>
    <t>X2口PARTIALRESETREQUIRED信令采集的策略，仅标识采集配置策略，不标识采集开启。(0=false,1=true)。</t>
  </si>
  <si>
    <t>Device.FAP.SCMgmt.Config.{i}.X2PARTIALRESETCONFIRMEnable</t>
  </si>
  <si>
    <t>X2PARTIALRESETCONFIRMEnable</t>
  </si>
  <si>
    <t>X2PARTIALRESETCONFIRM信令软采开关</t>
    <phoneticPr fontId="24" type="noConversion"/>
  </si>
  <si>
    <t>X2口PARTIALRESETCONFIRM信令采集的策略，仅标识采集配置策略，不标识采集开启。(0=false,1=true)。</t>
  </si>
  <si>
    <t>X2E-UTRA-NRCELLRESOURCECOORDINATIONREQUESTEnable</t>
  </si>
  <si>
    <t>X2E-UTRA-NRCELLRESOURCECOORDINATIONREQUEST信令软采开关</t>
    <phoneticPr fontId="24" type="noConversion"/>
  </si>
  <si>
    <t>X2口E-UTRA-NRCELLRESOURCECOORDINATIONREQUEST信令采集的策略，仅标识采集配置策略，不标识采集开启。(0=false,1=true)。</t>
  </si>
  <si>
    <t>X2口E-UTRA-NRCELLRESOURCECOORDINATIONRESPONSE信令采集的策略，仅标识采集配置策略，不标识采集开启。(0=false,1=true)。</t>
  </si>
  <si>
    <t>Device.FAP.SCMgmt.Config.{i}.X2SGNBACTIVITYNOTIFICATIONEnable</t>
  </si>
  <si>
    <t>X2SGNBACTIVITYNOTIFICATIONEnable</t>
    <phoneticPr fontId="24" type="noConversion"/>
  </si>
  <si>
    <t>X2SGNBACTIVITYNOTIFICATION信令软采开关</t>
    <phoneticPr fontId="24" type="noConversion"/>
  </si>
  <si>
    <t>X2口SGNBACTIVITYNOTIFICATIONEnable信令采集的策略，仅标识采集配置策略，不标识采集开启。(0=false,1=true)。</t>
  </si>
  <si>
    <t>Xn口采集配置策略</t>
    <phoneticPr fontId="24" type="noConversion"/>
  </si>
  <si>
    <t>Device.FAP.SCMgmt.Config.{i}.XnEnable</t>
    <phoneticPr fontId="24" type="noConversion"/>
  </si>
  <si>
    <t>Xn口软采开关</t>
    <phoneticPr fontId="24" type="noConversion"/>
  </si>
  <si>
    <r>
      <t>开启或关闭Small</t>
    </r>
    <r>
      <rPr>
        <sz val="9"/>
        <color theme="1"/>
        <rFont val="Times New Roman"/>
        <family val="1"/>
      </rPr>
      <t>Cell</t>
    </r>
    <r>
      <rPr>
        <sz val="9"/>
        <color theme="1"/>
        <rFont val="宋体"/>
        <family val="3"/>
        <charset val="134"/>
      </rPr>
      <t>基站上传</t>
    </r>
    <r>
      <rPr>
        <sz val="9"/>
        <color theme="1"/>
        <rFont val="Times New Roman"/>
        <family val="1"/>
      </rPr>
      <t>Xn</t>
    </r>
    <r>
      <rPr>
        <sz val="9"/>
        <color theme="1"/>
        <rFont val="宋体"/>
        <family val="3"/>
        <charset val="134"/>
      </rPr>
      <t>口软采数据到指定服务器的能力，</t>
    </r>
    <r>
      <rPr>
        <sz val="9"/>
        <color theme="1"/>
        <rFont val="Times New Roman"/>
        <family val="1"/>
      </rPr>
      <t>(0=false,1=true)</t>
    </r>
    <r>
      <rPr>
        <sz val="9"/>
        <color theme="1"/>
        <rFont val="宋体"/>
        <family val="3"/>
        <charset val="134"/>
      </rPr>
      <t>。</t>
    </r>
    <phoneticPr fontId="24" type="noConversion"/>
  </si>
  <si>
    <t>Device.FAP.SCMgmt.Config.{i}.XnAllEnable</t>
    <phoneticPr fontId="24" type="noConversion"/>
  </si>
  <si>
    <t>XnAllEnable</t>
  </si>
  <si>
    <t>Xn口软采开启所有信令消息</t>
    <phoneticPr fontId="24" type="noConversion"/>
  </si>
  <si>
    <t>Xn口所有信令都采集的策略，仅标识采集配置策略，不标识采集开启。(0=false,1=true)。</t>
    <phoneticPr fontId="24" type="noConversion"/>
  </si>
  <si>
    <t>Device.FAP.SCMgmt.Config.{i}.XnHANDOVERREQUESTEnable</t>
  </si>
  <si>
    <t>XnHANDOVERREQUESTEnable</t>
  </si>
  <si>
    <t>XnHANDOVERREQUEST信令软采开关</t>
    <phoneticPr fontId="24" type="noConversion"/>
  </si>
  <si>
    <t>Xn口HANDOVERREQUEST信令采集的策略，仅标识采集配置策略，不标识采集开启。(0=false,1=true)。</t>
  </si>
  <si>
    <t>Device.FAP.SCMgmt.Config.{i}.XnHANDOVERREQUESTACKNOWLEDGEEnable</t>
  </si>
  <si>
    <t>XnHANDOVERREQUESTACKNOWLEDGEEnable</t>
  </si>
  <si>
    <t>XnHANDOVERREQUESTACKNOWLEDGE信令软采开关</t>
    <phoneticPr fontId="24" type="noConversion"/>
  </si>
  <si>
    <t>Xn口HANDOVERREQUESTACKNOWLEDGE信令采集的策略，仅标识采集配置策略，不标识采集开启。(0=false,1=true)。</t>
  </si>
  <si>
    <t>Device.FAP.SCMgmt.Config.{i}.XnHANDOVERPREPARATIONFAILUREEnable</t>
  </si>
  <si>
    <t>XnHANDOVERPREPARATIONFAILUREEnable</t>
  </si>
  <si>
    <t>XnHANDOVERPREPARATIONFAILURE信令软采开关</t>
    <phoneticPr fontId="24" type="noConversion"/>
  </si>
  <si>
    <t>Xn口HANDOVERPREPARATIONFAILURE信令采集的策略，仅标识采集配置策略，不标识采集开启。(0=false,1=true)。</t>
  </si>
  <si>
    <t>Device.FAP.SCMgmt.Config.{i}.XnSNSTATUSTRANSFEREnable</t>
  </si>
  <si>
    <t>XnSNSTATUSTRANSFEREnable</t>
  </si>
  <si>
    <t>XnSNSTATUSTRANSFER信令软采开关</t>
    <phoneticPr fontId="24" type="noConversion"/>
  </si>
  <si>
    <t>Xn口SNSTATUSTRANSFER信令采集的策略，仅标识采集配置策略，不标识采集开启。(0=false,1=true)。</t>
  </si>
  <si>
    <t>Device.FAP.SCMgmt.Config.{i}.XnHANDOVERCANCELEnable</t>
  </si>
  <si>
    <t>XnHANDOVERCANCELEnable</t>
  </si>
  <si>
    <t>XnHANDOVERCANCEL信令软采开关</t>
    <phoneticPr fontId="24" type="noConversion"/>
  </si>
  <si>
    <t>Xn口HANDOVERCANCEL信令采集的策略，仅标识采集配置策略，不标识采集开启。(0=false,1=true)。</t>
  </si>
  <si>
    <t>Device.FAP.SCMgmt.Config.{i}.XnRETRIEVEUECONTEXTRESPONSEEnable</t>
  </si>
  <si>
    <t>XnRETRIEVEUECONTEXTRESPONSEEnable</t>
  </si>
  <si>
    <t>XnRETRIEVEUECONTEXTRESPONSE信令软采开关</t>
    <phoneticPr fontId="24" type="noConversion"/>
  </si>
  <si>
    <t>Xn口RETRIEVEUECONTEXTRESPONSE信令采集的策略，仅标识采集配置策略，不标识采集开启。(0=false,1=true)。</t>
  </si>
  <si>
    <t>Device.FAP.SCMgmt.Config.{i}.XnRETRIEVEUECONTEXTFAILUREEnable</t>
  </si>
  <si>
    <t>XnRETRIEVEUECONTEXTFAILUREEnable</t>
  </si>
  <si>
    <t>XnRETRIEVEUECONTEXTFAILURE信令软采开关</t>
    <phoneticPr fontId="24" type="noConversion"/>
  </si>
  <si>
    <t>Xn口RETRIEVEUECONTEXTFAILURE信令采集的策略，仅标识采集配置策略，不标识采集开启。(0=false,1=true)。</t>
  </si>
  <si>
    <t>Device.FAP.SCMgmt.Config.{i}.XnRANPAGINGEnable</t>
  </si>
  <si>
    <t>XnRANPAGINGEnable</t>
  </si>
  <si>
    <t>XnRANPAGING信令软采开关</t>
    <phoneticPr fontId="24" type="noConversion"/>
  </si>
  <si>
    <t>Xn口RANPAGING信令采集的策略，仅标识采集配置策略，不标识采集开启。(0=false,1=true)。</t>
  </si>
  <si>
    <t>Device.FAP.SCMgmt.Config.{i}.XnUEContextReleaseEnable</t>
  </si>
  <si>
    <t>XnUEContextReleaseEnable</t>
  </si>
  <si>
    <t>XnUEContextRelease信令软采开关</t>
    <phoneticPr fontId="24" type="noConversion"/>
  </si>
  <si>
    <t>Xn口UEContextRelease信令采集的策略，仅标识采集配置策略，不标识采集开启。(0=false,1=true)。</t>
  </si>
  <si>
    <t>Device.FAP.SCMgmt.Config.{i}.XnS-NODEADDITIONREQUESTEnable</t>
  </si>
  <si>
    <t>XnS-NODEADDITIONREQUESTEnable</t>
  </si>
  <si>
    <t>XnS-NODEADDITIONREQUEST信令软采开关</t>
    <phoneticPr fontId="24" type="noConversion"/>
  </si>
  <si>
    <t>Xn口S-NODEADDITIONREQUEST信令采集的策略，仅标识采集配置策略，不标识采集开启。(0=false,1=true)。</t>
  </si>
  <si>
    <t>Device.FAP.SCMgmt.Config.{i}.XnS-NODEADDITIONREQUESTACKNOWLEDGEEnable</t>
  </si>
  <si>
    <t>XnS-NODEADDITIONREQUESTACKNOWLEDGEEnable</t>
  </si>
  <si>
    <t>XnS-NODEADDITIONREQUESTACKNOWLEDGE信令软采开关</t>
    <phoneticPr fontId="24" type="noConversion"/>
  </si>
  <si>
    <t>Xn口S-NODEADDITIONREQUESTACKNOWLEDGE信令采集的策略，仅标识采集配置策略，不标识采集开启。(0=false,1=true)。</t>
  </si>
  <si>
    <t>Device.FAP.SCMgmt.Config.{i}.XnS-NODEADDITIONREQUESTREJECTEnable</t>
  </si>
  <si>
    <t>XnS-NODEADDITIONREQUESTREJECTEnable</t>
  </si>
  <si>
    <t>XnS-NODEADDITIONREQUESTREJECT信令软采开关</t>
    <phoneticPr fontId="24" type="noConversion"/>
  </si>
  <si>
    <t>Xn口S-NODEADDITIONREQUESTREJECT信令采集的策略，仅标识采集配置策略，不标识采集开启。(0=false,1=true)。</t>
  </si>
  <si>
    <t>Device.FAP.SCMgmt.Config.{i}.XnSENBRECONFIGURATIONCOMPLETEEnable</t>
  </si>
  <si>
    <t>XnSENBRECONFIGURATIONCOMPLETEEnable</t>
  </si>
  <si>
    <t>XnSENBRECONFIGURATIONCOMPLETE信令软采开关</t>
    <phoneticPr fontId="24" type="noConversion"/>
  </si>
  <si>
    <t>Xn口SENBRECONFIGURATIONCOMPLETE信令采集的策略，仅标识采集配置策略，不标识采集开启。(0=false,1=true)。</t>
  </si>
  <si>
    <t>Device.FAP.SCMgmt.Config.{i}.XnS-NODEMODIFICATIONREQUESTEnable</t>
  </si>
  <si>
    <t>XnS-NODEMODIFICATIONREQUESTEnable</t>
  </si>
  <si>
    <t>XnS-NODEMODIFICATIONREQUEST信令软采开关</t>
    <phoneticPr fontId="24" type="noConversion"/>
  </si>
  <si>
    <t>Xn口S-NODEMODIFICATIONREQUEST信令采集的策略，仅标识采集配置策略，不标识采集开启。(0=false,1=true)。</t>
  </si>
  <si>
    <t>Device.FAP.SCMgmt.Config.{i}.XnS-NODEMODIFICATIONREQUESTREJECTEnable</t>
  </si>
  <si>
    <t>XnS-NODEMODIFICATIONREQUESTREJECTEnable</t>
  </si>
  <si>
    <t>XnS-NODEMODIFICATIONREQUESTREJECT信令软采开关</t>
    <phoneticPr fontId="24" type="noConversion"/>
  </si>
  <si>
    <t>Xn口S-NODEMODIFICATIONREQUESTREJECT信令采集的策略，仅标识采集配置策略，不标识采集开启。(0=false,1=true)。</t>
  </si>
  <si>
    <t>Device.FAP.SCMgmt.Config.{i}.XnS-NODEMODIFICATIONREQUIREDEnable</t>
  </si>
  <si>
    <t>XnS-NODEMODIFICATIONREQUIREDEnable</t>
  </si>
  <si>
    <t>XnS-NODEMODIFICATIONREQUIRED信令软采开关</t>
    <phoneticPr fontId="24" type="noConversion"/>
  </si>
  <si>
    <t>Xn口S-NODEMODIFICATIONREQUIRED信令采集的策略，仅标识采集配置策略，不标识采集开启。(0=false,1=true)。</t>
  </si>
  <si>
    <t>Device.FAP.SCMgmt.Config.{i}.XnS-NODEMODIFICATIONCONFIRMEnable</t>
  </si>
  <si>
    <t>XnS-NODEMODIFICATIONCONFIRMEnable</t>
  </si>
  <si>
    <t>XnS-NODEMODIFICATIONCONFIRM信令软采开关</t>
    <phoneticPr fontId="24" type="noConversion"/>
  </si>
  <si>
    <t>Xn口S-NODEMODIFICATIONCONFIRM信令采集的策略，仅标识采集配置策略，不标识采集开启。(0=false,1=true)。</t>
  </si>
  <si>
    <t>Device.FAP.SCMgmt.Config.{i}.XnS-NODEMODIFICATIONREFUSEEnable</t>
  </si>
  <si>
    <t>XnS-NODEMODIFICATIONREFUSEEnable</t>
  </si>
  <si>
    <t>XnS-NODEMODIFICATIONREFUSE信令软采开关</t>
    <phoneticPr fontId="24" type="noConversion"/>
  </si>
  <si>
    <t>Xn口S-NODEMODIFICATIONREFUSE信令采集的策略，仅标识采集配置策略，不标识采集开启。(0=false,1=true)。</t>
  </si>
  <si>
    <t>Device.FAP.SCMgmt.Config.{i}.XnS-NODECHANGEREQUIREDEnable</t>
  </si>
  <si>
    <t>XnS-NODECHANGEREQUIREDEnable</t>
  </si>
  <si>
    <t>XnS-NODECHANGEREQUIRED信令软采开关</t>
    <phoneticPr fontId="24" type="noConversion"/>
  </si>
  <si>
    <t>Xn口S-NODECHANGEREQUIRED信令采集的策略，仅标识采集配置策略，不标识采集开启。(0=false,1=true)。</t>
  </si>
  <si>
    <t>Device.FAP.SCMgmt.Config.{i}.XnS-NODECHANGECONFIRMEnable</t>
  </si>
  <si>
    <t>XnS-NODECHANGECONFIRMEnable</t>
  </si>
  <si>
    <t>XnS-NODECHANGECONFIRM信令软采开关</t>
    <phoneticPr fontId="24" type="noConversion"/>
  </si>
  <si>
    <t>Xn口S-NODECHANGECONFIRM信令采集的策略，仅标识采集配置策略，不标识采集开启。(0=false,1=true)。</t>
  </si>
  <si>
    <t>Device.FAP.SCMgmt.Config.{i}.XnS-NODECHANGEREFUSEEnable</t>
  </si>
  <si>
    <t>XnS-NODECHANGEREFUSEEnable</t>
  </si>
  <si>
    <t>XnS-NODECHANGEREFUSE信令软采开关</t>
    <phoneticPr fontId="24" type="noConversion"/>
  </si>
  <si>
    <t>Xn口S-NODECHANGEREFUSE信令采集的策略，仅标识采集配置策略，不标识采集开启。(0=false,1=true)。</t>
  </si>
  <si>
    <t>Device.FAP.SCMgmt.Config.{i}.XnS-NODERELEASEREQUESTEnable</t>
  </si>
  <si>
    <t>XnS-NODERELEASEREQUESTEnable</t>
  </si>
  <si>
    <t>XnS-NODERELEASEREQUEST信令软采开关</t>
    <phoneticPr fontId="24" type="noConversion"/>
  </si>
  <si>
    <t>Xn口S-NODERELEASEREQUEST信令采集的策略，仅标识采集配置策略，不标识采集开启。(0=false,1=true)。</t>
  </si>
  <si>
    <t>Device.FAP.SCMgmt.Config.{i}.XnS-NODERELEASEREQUESTACKNOWLEDGEEnable</t>
  </si>
  <si>
    <t>XnS-NODERELEASEREQUESTACKNOWLEDGEEnable</t>
  </si>
  <si>
    <t>XnS-NODERELEASEREQUESTACKNOWLEDGE信令软采开关</t>
    <phoneticPr fontId="24" type="noConversion"/>
  </si>
  <si>
    <t>Xn口S-NODERELEASEREQUESTACKNOWLEDGE信令采集的策略，仅标识采集配置策略，不标识采集开启。(0=false,1=true)。</t>
  </si>
  <si>
    <t>Device.FAP.SCMgmt.Config.{i}.XnS-NODERELEASEREJECTEnable</t>
  </si>
  <si>
    <t>XnS-NODERELEASEREJECTEnable</t>
  </si>
  <si>
    <t>XnS-NODERELEASEREJECT信令软采开关</t>
    <phoneticPr fontId="24" type="noConversion"/>
  </si>
  <si>
    <t>Xn口S-NODERELEASEREJECT信令采集的策略，仅标识采集配置策略，不标识采集开启。(0=false,1=true)。</t>
  </si>
  <si>
    <t>Device.FAP.SCMgmt.Config.{i}.XnS-NODERELEASEREQUIREDEnable</t>
  </si>
  <si>
    <t>XnS-NODERELEASEREQUIREDEnable</t>
  </si>
  <si>
    <t>XnS-NODERELEASEREQUIRED信令软采开关</t>
    <phoneticPr fontId="24" type="noConversion"/>
  </si>
  <si>
    <t>Xn口S-NODERELEASEREQUIRED信令采集的策略，仅标识采集配置策略，不标识采集开启。(0=false,1=true)。</t>
  </si>
  <si>
    <t>Device.FAP.SCMgmt.Config.{i}.XnS-NODERELEASECONFIRMEnable</t>
  </si>
  <si>
    <t>XnS-NODERELEASECONFIRMEnable</t>
  </si>
  <si>
    <t>XnS-NODERELEASECONFIRM信令软采开关</t>
    <phoneticPr fontId="24" type="noConversion"/>
  </si>
  <si>
    <t>Xn口S-NODERELEASECONFIRM信令采集的策略，仅标识采集配置策略，不标识采集开启。(0=false,1=true)。</t>
  </si>
  <si>
    <t>Device.FAP.SCMgmt.Config.{i}.XnS-NODECOUNTERCHECKREQUESTEnable</t>
  </si>
  <si>
    <t>XnS-NODECOUNTERCHECKREQUESTEnable</t>
  </si>
  <si>
    <t>XnS-NODECOUNTERCHECKREQUEST信令软采开关</t>
    <phoneticPr fontId="24" type="noConversion"/>
  </si>
  <si>
    <t>Xn口S-NODECOUNTERCHECKREQUEST信令采集的策略，仅标识采集配置策略，不标识采集开启。(0=false,1=true)。</t>
  </si>
  <si>
    <t>Device.FAP.SCMgmt.Config.{i}.XnRRCTRANSFEREnable</t>
  </si>
  <si>
    <t>XnRRCTRANSFEREnable</t>
  </si>
  <si>
    <t>XnRRCTRANSFER信令软采开关</t>
    <phoneticPr fontId="24" type="noConversion"/>
  </si>
  <si>
    <t>Xn口RRCTRANSFER信令采集的策略，仅标识采集配置策略，不标识采集开启。(0=false,1=true)。</t>
  </si>
  <si>
    <t>Device.FAP.SCMgmt.Config.{i}.XnNOTIFICATIONCONTROLINDICATIONEnable</t>
  </si>
  <si>
    <t>XnNOTIFICATIONCONTROLINDICATIONEnable</t>
  </si>
  <si>
    <t>XnNOTIFICATIONCONTROLINDICATION信令软采开关</t>
    <phoneticPr fontId="24" type="noConversion"/>
  </si>
  <si>
    <t>Xn口NOTIFICATIONCONTROLINDICATION信令采集的策略，仅标识采集配置策略，不标识采集开启。(0=false,1=true)。</t>
  </si>
  <si>
    <t>Device.FAP.SCMgmt.Config.{i}.XnACTIVITYNOTIFICATIONEnable</t>
  </si>
  <si>
    <t>XnACTIVITYNOTIFICATIONEnable</t>
  </si>
  <si>
    <t>XnACTIVITYNOTIFICATION信令软采开关</t>
    <phoneticPr fontId="24" type="noConversion"/>
  </si>
  <si>
    <t>Xn口ACTIVITYNOTIFICATION信令采集的策略，仅标识采集配置策略，不标识采集开启。(0=false,1=true)。</t>
  </si>
  <si>
    <t>Device.FAP.SCMgmt.Config.{i}.XnXNSETUPREQUESTEnable</t>
  </si>
  <si>
    <t>XnXNSETUPREQUESTEnable</t>
  </si>
  <si>
    <t>XnXNSETUPREQUEST信令软采开关</t>
    <phoneticPr fontId="24" type="noConversion"/>
  </si>
  <si>
    <t>Xn口XNSETUPREQUEST信令采集的策略，仅标识采集配置策略，不标识采集开启。(0=false,1=true)。</t>
  </si>
  <si>
    <t>Device.FAP.SCMgmt.Config.{i}.XnXNSETUPRESPONSEEnable</t>
  </si>
  <si>
    <t>XnXNSETUPRESPONSEEnable</t>
  </si>
  <si>
    <t>XnXNSETUPRESPONSE信令软采开关</t>
    <phoneticPr fontId="24" type="noConversion"/>
  </si>
  <si>
    <t>Xn口XNSETUPRESPONSE信令采集的策略，仅标识采集配置策略，不标识采集开启。(0=false,1=true)。</t>
  </si>
  <si>
    <t>Device.FAP.SCMgmt.Config.{i}.XnXNSETUPFAILUREEnable</t>
  </si>
  <si>
    <t>XnXNSETUPFAILUREEnable</t>
  </si>
  <si>
    <t>XnXNSETUPFAILURE信令软采开关</t>
    <phoneticPr fontId="24" type="noConversion"/>
  </si>
  <si>
    <t>Xn口XNSETUPFAILURE信令采集的策略，仅标识采集配置策略，不标识采集开启。(0=false,1=true)。</t>
  </si>
  <si>
    <t>Device.FAP.SCMgmt.Config.{i}.XnNG-RANNODECONFIGURATIONUPDATEEnable</t>
  </si>
  <si>
    <t>XnNG-RANNODECONFIGURATIONUPDATEEnable</t>
  </si>
  <si>
    <t>XnNG-RANNODECONFIGURATIONUPDATE信令软采开关</t>
    <phoneticPr fontId="24" type="noConversion"/>
  </si>
  <si>
    <t>Xn口NG-RANNODECONFIGURATIONUPDATE信令采集的策略，仅标识采集配置策略，不标识采集开启。(0=false,1=true)。</t>
  </si>
  <si>
    <t>Device.FAP.SCMgmt.Config.{i}.XnNG-RANNODECONFIGURATIONUPDATEACKNOWLEDGEEnable</t>
  </si>
  <si>
    <t>XnNG-RANNODECONFIGURATIONUPDATEACKNOWLEDGEEnable</t>
  </si>
  <si>
    <t>XnNG-RANNODECONFIGURATIONUPDATEACKNOWLEDGE信令软采开关</t>
    <phoneticPr fontId="24" type="noConversion"/>
  </si>
  <si>
    <t>Xn口NG-RANNODECONFIGURATIONUPDATEACKNOWLEDGE信令采集的策略，仅标识采集配置策略，不标识采集开启。(0=false,1=true)。</t>
  </si>
  <si>
    <t>Device.FAP.SCMgmt.Config.{i}.XnNG-RANNODECONFIGURATIONUPDATEFAILUREEnable</t>
  </si>
  <si>
    <t>XnNG-RANNODECONFIGURATIONUPDATEFAILUREEnable</t>
  </si>
  <si>
    <t>XnNG-RANNODECONFIGURATIONUPDATEFAILURE信令软采开关</t>
    <phoneticPr fontId="24" type="noConversion"/>
  </si>
  <si>
    <t>Xn口NG-RANNODECONFIGURATIONUPDATEFAILURE信令采集的策略，仅标识采集配置策略，不标识采集开启。(0=false,1=true)。</t>
  </si>
  <si>
    <t>Device.FAP.SCMgmt.Config.{i}.XnCELLACTIVATIONREQUESTEnable</t>
  </si>
  <si>
    <t>XnCELLACTIVATIONREQUESTEnable</t>
  </si>
  <si>
    <t>XnCELLACTIVATIONREQUEST信令软采开关</t>
    <phoneticPr fontId="24" type="noConversion"/>
  </si>
  <si>
    <t>Xn口CELLACTIVATIONREQUEST信令采集的策略，仅标识采集配置策略，不标识采集开启。(0=false,1=true)。</t>
  </si>
  <si>
    <t>Device.FAP.SCMgmt.Config.{i}.XnCELLACTIVATIONRESPONSEEnable</t>
  </si>
  <si>
    <t>XnCELLACTIVATIONRESPONSEEnable</t>
  </si>
  <si>
    <t>XnCELLACTIVATIONRESPONSE信令软采开关</t>
    <phoneticPr fontId="24" type="noConversion"/>
  </si>
  <si>
    <t>Xn口CELLACTIVATIONRESPONSE信令采集的策略，仅标识采集配置策略，不标识采集开启。(0=false,1=true)。</t>
  </si>
  <si>
    <t>Device.FAP.SCMgmt.Config.{i}.XnCELLACTIVATIONFAILUREEnable</t>
  </si>
  <si>
    <t>XnCELLACTIVATIONFAILUREEnable</t>
  </si>
  <si>
    <t>XnCELLACTIVATIONFAILURE信令软采开关</t>
    <phoneticPr fontId="24" type="noConversion"/>
  </si>
  <si>
    <t>Xn口CELLACTIVATIONFAILURE信令采集的策略，仅标识采集配置策略，不标识采集开启。(0=false,1=true)。</t>
  </si>
  <si>
    <t>Device.FAP.SCMgmt.Config.{i}.XnRESETREQUESTEnable</t>
  </si>
  <si>
    <t>XnRESETREQUESTEnable</t>
  </si>
  <si>
    <t>XnRESETREQUEST信令软采开关</t>
    <phoneticPr fontId="24" type="noConversion"/>
  </si>
  <si>
    <t>Xn口RESETREQUEST信令采集的策略，仅标识采集配置策略，不标识采集开启。(0=false,1=true)。</t>
  </si>
  <si>
    <t>Device.FAP.SCMgmt.Config.{i}.XnRESETRESPONSEEnable</t>
  </si>
  <si>
    <t>XnRESETRESPONSEEnable</t>
  </si>
  <si>
    <t>XnRESETRESPONSE信令软采开关</t>
    <phoneticPr fontId="24" type="noConversion"/>
  </si>
  <si>
    <t>Xn口RESETRESPONSE信令采集的策略，仅标识采集配置策略，不标识采集开启。(0=false,1=true)。</t>
  </si>
  <si>
    <t>Device.FAP.SCMgmt.Config.{i}.XnERRORINDICATIONEnable</t>
  </si>
  <si>
    <t>XnERRORINDICATIONEnable</t>
  </si>
  <si>
    <t>XnERRORINDICATION信令软采开关</t>
    <phoneticPr fontId="24" type="noConversion"/>
  </si>
  <si>
    <t>Xn口ERRORINDICATION信令采集的策略，仅标识采集配置策略，不标识采集开启。(0=false,1=true)。</t>
  </si>
  <si>
    <t>Device.FAP.SCMgmt.Config.{i}.XnXNREMOVALREQUESTEnable</t>
  </si>
  <si>
    <t>XnXNREMOVALREQUESTEnable</t>
  </si>
  <si>
    <t>XnXNREMOVALREQUEST信令软采开关</t>
    <phoneticPr fontId="24" type="noConversion"/>
  </si>
  <si>
    <t>Xn口XNREMOVALREQUEST信令采集的策略，仅标识采集配置策略，不标识采集开启。(0=false,1=true)。</t>
  </si>
  <si>
    <t>Device.FAP.SCMgmt.Config.{i}.XnXNREMOVALRESPONSEEnable</t>
  </si>
  <si>
    <t>XnXNREMOVALRESPONSEEnable</t>
  </si>
  <si>
    <t>XnXNREMOVALRESPONSE信令软采开关</t>
    <phoneticPr fontId="24" type="noConversion"/>
  </si>
  <si>
    <t>Xn口XNREMOVALRESPONSE信令采集的策略，仅标识采集配置策略，不标识采集开启。(0=false,1=true)。</t>
  </si>
  <si>
    <t>Device.FAP.SCMgmt.Config.{i}.XnXNREMOVALFAILUREEnable</t>
  </si>
  <si>
    <t>XnXNREMOVALFAILUREEnable</t>
  </si>
  <si>
    <t>XnXNREMOVALFAILURE信令软采开关</t>
    <phoneticPr fontId="24" type="noConversion"/>
  </si>
  <si>
    <t>Xn口XNREMOVALFAILURE信令采集的策略，仅标识采集配置策略，不标识采集开启。(0=false,1=true)。</t>
  </si>
  <si>
    <t>Uu-extend口采集配置策略</t>
    <phoneticPr fontId="24" type="noConversion"/>
  </si>
  <si>
    <t>Device.FAP.SCMgmt.Config.{i}.UuExtendEnable</t>
    <phoneticPr fontId="24" type="noConversion"/>
  </si>
  <si>
    <t>UuExtendEnable</t>
  </si>
  <si>
    <t>Uu-Extend口软采开关</t>
    <phoneticPr fontId="24" type="noConversion"/>
  </si>
  <si>
    <r>
      <t>开启或关闭Small</t>
    </r>
    <r>
      <rPr>
        <sz val="9"/>
        <color theme="1"/>
        <rFont val="Times New Roman"/>
        <family val="1"/>
      </rPr>
      <t>Cell</t>
    </r>
    <r>
      <rPr>
        <sz val="9"/>
        <color theme="1"/>
        <rFont val="宋体"/>
        <family val="3"/>
        <charset val="134"/>
      </rPr>
      <t>基站上传</t>
    </r>
    <r>
      <rPr>
        <sz val="9"/>
        <color theme="1"/>
        <rFont val="Times New Roman"/>
        <family val="1"/>
      </rPr>
      <t>Uu-extend</t>
    </r>
    <r>
      <rPr>
        <sz val="9"/>
        <color theme="1"/>
        <rFont val="宋体"/>
        <family val="3"/>
        <charset val="134"/>
      </rPr>
      <t>口软采数据到指定服务器的能力，</t>
    </r>
    <r>
      <rPr>
        <sz val="9"/>
        <color theme="1"/>
        <rFont val="Times New Roman"/>
        <family val="1"/>
      </rPr>
      <t>(0=false,1=true)</t>
    </r>
    <r>
      <rPr>
        <sz val="9"/>
        <color theme="1"/>
        <rFont val="宋体"/>
        <family val="3"/>
        <charset val="134"/>
      </rPr>
      <t>。</t>
    </r>
    <phoneticPr fontId="24" type="noConversion"/>
  </si>
  <si>
    <t>Device.FAP.SCMgmt.Config.{i}.UuExtendAllEnable</t>
    <phoneticPr fontId="24" type="noConversion"/>
  </si>
  <si>
    <t>UuExtendAllEnable</t>
  </si>
  <si>
    <t>Uu-Extend口软采开启所有信令消息</t>
    <phoneticPr fontId="24" type="noConversion"/>
  </si>
  <si>
    <t>Uu-extend口所有信令都采集的策略，仅标识采集配置策略，不标识采集开启。(0=false,1=true)。</t>
    <phoneticPr fontId="24" type="noConversion"/>
  </si>
  <si>
    <t>Device.FAP.SCMgmt.Config.{i}.UuExtendPHREnable</t>
    <phoneticPr fontId="24" type="noConversion"/>
  </si>
  <si>
    <t>UuExtendPHREnable</t>
  </si>
  <si>
    <t>Uu-ExtendPHR信令软采开关</t>
    <phoneticPr fontId="24" type="noConversion"/>
  </si>
  <si>
    <t>Uu-extend口PHR的策略，仅标识采集配置策略，不标识采集开启。(0=false,1=true)。</t>
  </si>
  <si>
    <t>Device.FAP.SCMgmt.Config.{i}.UuExtendULSINREnable</t>
    <phoneticPr fontId="24" type="noConversion"/>
  </si>
  <si>
    <t>UuExtendULSINREnable</t>
  </si>
  <si>
    <t>Uu-ExtendULSINR信令软采开关</t>
    <phoneticPr fontId="24" type="noConversion"/>
  </si>
  <si>
    <t>Uu-extend口ULSINR的策略，仅标识采集配置策略，不标识采集开启。(0=false,1=true)。</t>
  </si>
  <si>
    <t>Device.FAP.SCMgmt.Config.{i}.UuExtendTAEnable</t>
    <phoneticPr fontId="24" type="noConversion"/>
  </si>
  <si>
    <t>UuExtendTAEnable</t>
  </si>
  <si>
    <t>Uu-ExtendTA信令软采开关</t>
    <phoneticPr fontId="24" type="noConversion"/>
  </si>
  <si>
    <t>Uu-extend口TA的策略，仅标识采集配置策略，不标识采集开启。(0=false,1=true)。</t>
  </si>
  <si>
    <t>Device.FAP.SCMgmt.Config.{i}.UuExtendCQIEnable</t>
    <phoneticPr fontId="24" type="noConversion"/>
  </si>
  <si>
    <t>UuExtendCQIEnable</t>
  </si>
  <si>
    <t>Uu-ExtendCQI信令软采开关</t>
    <phoneticPr fontId="24" type="noConversion"/>
  </si>
  <si>
    <t>Uu-extend口CQI的策略，仅标识采集配置策略，不标识采集开启。(0=false,1=true)。</t>
  </si>
  <si>
    <t>Device.FAP.SCMgmt.Config.{i}.UuExtendgNBReceivedInterfereEnable</t>
    <phoneticPr fontId="24" type="noConversion"/>
  </si>
  <si>
    <t>UuExtendgNBReceivedInterfereEnable</t>
  </si>
  <si>
    <t>Uu-ExtendgNBReceivedInterfere信令软采开关</t>
    <phoneticPr fontId="24" type="noConversion"/>
  </si>
  <si>
    <t>Uu-extend口gNBReceivedInterfere的策略，仅标识采集配置策略，不标识采集开启。(0=false,1=true)。</t>
  </si>
  <si>
    <t>Device.FAP.SCMgmt.Config.{i}.UuExtendDtchPrbAssnUlEnable</t>
    <phoneticPr fontId="24" type="noConversion"/>
  </si>
  <si>
    <t>UuExtendDtchPrbAssnUlEnable</t>
  </si>
  <si>
    <t>Uu-ExtendDtchPrbAssnUl信令软采开关</t>
    <phoneticPr fontId="24" type="noConversion"/>
  </si>
  <si>
    <t>Uu-extend口DtchPrbAssnUl的策略，仅标识采集配置策略，不标识采集开启。(0=false,1=true)。</t>
  </si>
  <si>
    <t>Device.FAP.SCMgmt.Config.{i}.UuExtendDtchPrbTotUlEnable</t>
    <phoneticPr fontId="24" type="noConversion"/>
  </si>
  <si>
    <t>UuExtendDtchPrbTotUlEnable</t>
  </si>
  <si>
    <t>Uu-ExtendDtchPrbTotUl信令软采开关</t>
    <phoneticPr fontId="24" type="noConversion"/>
  </si>
  <si>
    <t>Uu-extend口DtchPrbTotUl的策略，仅标识采集配置策略，不标识采集开启。(0=false,1=true)。</t>
  </si>
  <si>
    <t>Device.FAP.SCMgmt.Config.{i}.UuExtendDtchPrbAssnDlEnable</t>
    <phoneticPr fontId="24" type="noConversion"/>
  </si>
  <si>
    <t>UuExtendDtchPrbAssnDlEnable</t>
  </si>
  <si>
    <t>Uu-ExtendDtchPrbAssnDl信令软采开关</t>
    <phoneticPr fontId="24" type="noConversion"/>
  </si>
  <si>
    <t>Uu-extend口DtchPrbAssnDl的策略，仅标识采集配置策略，不标识采集开启。(0=false,1=true)。</t>
  </si>
  <si>
    <t>Device.FAP.SCMgmt.Config.{i}.UuExtendDtchPrbTotDlEnable</t>
    <phoneticPr fontId="24" type="noConversion"/>
  </si>
  <si>
    <t>UuExtendDtchPrbTotDlEnable</t>
  </si>
  <si>
    <t>Uu-ExtendDtchPrbTotDl信令软采开关</t>
    <phoneticPr fontId="24" type="noConversion"/>
  </si>
  <si>
    <t>Uu-extend口DtchPrbTotDl的策略，仅标识采集配置策略，不标识采集开启。(0=false,1=true)。</t>
  </si>
  <si>
    <t>/</t>
    <phoneticPr fontId="53" type="noConversion"/>
  </si>
  <si>
    <t>string(64)</t>
    <phoneticPr fontId="53" type="noConversion"/>
  </si>
  <si>
    <t>string(64)</t>
    <phoneticPr fontId="53" type="noConversion"/>
  </si>
  <si>
    <t>当UE发送RRC恢复请求时开启的定时器。
取值范围：[0~7]
分别代表
{ ms100,ms200,ms300,ms400, ms600,ms1000, ms1500,ms2000}</t>
    <phoneticPr fontId="53" type="noConversion"/>
  </si>
  <si>
    <t>RLF声明定时器，ms0对应0，ms50对应50，依次类推。
取值范围：[0~6]
{ms0,ms50,ms100，ms200,ms500,
ms1000, ms2000}</t>
    <phoneticPr fontId="53" type="noConversion"/>
  </si>
  <si>
    <t>RNAU周期，min5对应5，min10对应10，以此类推。
取值范围[0~7]
{ min5, min10, min20, min30, min60, min120, min360, min720}</t>
    <phoneticPr fontId="53" type="noConversion"/>
  </si>
  <si>
    <t>描述板卡功能类型。List of Enum{ 板卡类型（枚举）}。其中板卡类型的为Enumerate{MainControl，Carrier，Trans，Other}，分别表示主控板、载频板、传输板、其他板卡类型。对跨类型的板卡，列表中应包括该板卡的全部功能类型。（必须上报）</t>
    <phoneticPr fontId="53" type="noConversion"/>
  </si>
  <si>
    <t>日志重要等级：
Enumerate{ASSERT_LOG;ERROR;WARN;INFO;DEBUG;VERBOSE}</t>
    <phoneticPr fontId="53" type="noConversion"/>
  </si>
  <si>
    <t>小区类型,Enumerate{SUB1G,SUB6G,ABOVE6G}</t>
    <phoneticPr fontId="53" type="noConversion"/>
  </si>
  <si>
    <t>供运营商使用的小区预留标志,Enumerate{reserved, notReserved}</t>
    <phoneticPr fontId="53" type="noConversion"/>
  </si>
  <si>
    <t>上行提前量,Enumerate{ms500, ms750, ms1280, ms1920, ms2560, ms5120, ms10240, infinity}</t>
    <phoneticPr fontId="53" type="noConversion"/>
  </si>
  <si>
    <t>Enumerate{oDot2, oDot4, oDot6, oDot8}</t>
    <phoneticPr fontId="53" type="noConversion"/>
  </si>
  <si>
    <t xml:space="preserve">Enumerate{dB-24, dB-22, dB-20, dB-18, dB-16, dB-14, dB-12, dB-10, dB-8, dB-6, dB-5, dB-4, dB-3,dB-2, dB-1, dB0, dB1, dB2, dB3, dB4, dB5, dB6, dB8, dB10, dB12, dB14, dB16, dB18, dB20, dB22, dB24}
</t>
    <phoneticPr fontId="53" type="noConversion"/>
  </si>
  <si>
    <t>最大允许测量带宽，Enumerate
{mbw6, mbw15, mbw25, mbw50, mbw75, mbw100}</t>
    <phoneticPr fontId="53" type="noConversion"/>
  </si>
  <si>
    <t>B</t>
    <phoneticPr fontId="53" type="noConversion"/>
  </si>
  <si>
    <t>RW</t>
    <phoneticPr fontId="53" type="noConversion"/>
  </si>
  <si>
    <t>Device.Services.FAPService.{i}.CellConfig.{i}.NR.RAN.PHY.FrequencyInfoULSIB.ScsSpecificCarrierList.{i}.SCSSpecificCarrier.CarrierBandwidth</t>
    <phoneticPr fontId="53" type="noConversion"/>
  </si>
  <si>
    <t>最大前导发送次数</t>
    <phoneticPr fontId="53" type="noConversion"/>
  </si>
  <si>
    <t>PreambleTransMax</t>
    <phoneticPr fontId="53" type="noConversion"/>
  </si>
  <si>
    <t>Device.Services.FAPService.{i}.CellConfig.{i}.NR.RAN.Mobility.ConnMode.NR.A1MeasureCtrl.1.A1ThresholdSINR</t>
    <phoneticPr fontId="53" type="noConversion"/>
  </si>
  <si>
    <t>Device.Services.FAPService.{i}.CellConfig.{i}.NR.RAN.Mobility.ConnMode.NR.A1MeasureCtrl.1.ReportOnLeave</t>
    <phoneticPr fontId="53" type="noConversion"/>
  </si>
  <si>
    <t>Device.Services.FAPService.{i}.CellConfig.{i}.NR.RAN.Mobility.ConnMode.NR.A1MeasureCtrl.1.IncludeBeamMeasurements</t>
    <phoneticPr fontId="53" type="noConversion"/>
  </si>
  <si>
    <t>Device.Services.FAPService.{i}.CellConfig.{i}.NR.RAN.Mobility.ConnMode.NR.A1MeasureCtrl.2.A1ThresholdSINR</t>
    <phoneticPr fontId="53" type="noConversion"/>
  </si>
  <si>
    <t>参数路径中最后一个多实例节点（{i}）序号1～10为系统保留段，若厂商对A1测量事件有其它用途，则从A1MeasureCtrl.11.开始定义</t>
    <phoneticPr fontId="53" type="noConversion"/>
  </si>
  <si>
    <t>A</t>
    <phoneticPr fontId="53" type="noConversion"/>
  </si>
  <si>
    <t>Device.Services.FAPService.{i}.CellConfig.{i}.NR.RAN.Mobility.ConnMode.IRAT.B2MeasureCtrl.{i}.Hysteresis</t>
    <phoneticPr fontId="53" type="noConversion"/>
  </si>
  <si>
    <t>用于表明当前配置事件的使用目的，本字段取值固定为：
(1=异频测量)</t>
    <phoneticPr fontId="53" type="noConversion"/>
  </si>
  <si>
    <t>用于表明当前配置事件的使用目的，本字段取值固定为：
(2=异系统EUTRA测量)</t>
    <phoneticPr fontId="53" type="noConversion"/>
  </si>
  <si>
    <t>Device.DeviceInfo.MU.{i}</t>
    <phoneticPr fontId="24" type="noConversion"/>
  </si>
  <si>
    <t>MU实例节点</t>
    <phoneticPr fontId="24" type="noConversion"/>
  </si>
  <si>
    <t>添加实例，由基站端上报，不由SCMS下发。
基站端网元离线后，SCMS可以下发指令删除实例</t>
    <phoneticPr fontId="24" type="noConversion"/>
  </si>
  <si>
    <t>Device.DeviceInfo.MU.{i}.Slot.{i}</t>
    <phoneticPr fontId="24" type="noConversion"/>
  </si>
  <si>
    <t>Slot实例节点</t>
    <phoneticPr fontId="24" type="noConversion"/>
  </si>
  <si>
    <t>R</t>
    <phoneticPr fontId="24" type="noConversion"/>
  </si>
  <si>
    <t>Device.DeviceInfo.MU.{i}.Slot.{i}.EU.{i}.RU.{i}</t>
    <phoneticPr fontId="24" type="noConversion"/>
  </si>
  <si>
    <t>Device.Services.FAPService.{i}.FAPControl.NR.AMFPoolConfigParam.{i}.</t>
    <phoneticPr fontId="24" type="noConversion"/>
  </si>
  <si>
    <t>AMFPool实例节点</t>
  </si>
  <si>
    <t>Device.Services.FAPService.{i}.FAPControl.NR.XnIpAddrMapInfo.{i}.</t>
    <phoneticPr fontId="24" type="noConversion"/>
  </si>
  <si>
    <t>Xn实例节点</t>
  </si>
  <si>
    <t>Device.Services.FAPService.{i}.CellConfig.{i}.</t>
  </si>
  <si>
    <t>NR小区实例节点</t>
  </si>
  <si>
    <t>VONR头压缩实例节点</t>
  </si>
  <si>
    <t>Device.Services.FAPService.{i}.CellConfig.{i}.NR.NGC.TA.{i}.</t>
    <phoneticPr fontId="53" type="noConversion"/>
  </si>
  <si>
    <t>Device.Services.FAPService.{i}.CellConfig.{i}.NR.NGC.TA.{i}.PLMNList.{i}.</t>
    <phoneticPr fontId="53" type="noConversion"/>
  </si>
  <si>
    <t>Device.Services.FAPService.{i}.CellConfig.{i}.NR.NGC.TA.{i}.PLMNList.{i}.SliceList.{i}.</t>
    <phoneticPr fontId="53" type="noConversion"/>
  </si>
  <si>
    <t>TA实例节点</t>
    <phoneticPr fontId="53" type="noConversion"/>
  </si>
  <si>
    <t>PLMNID实例节点</t>
    <phoneticPr fontId="53" type="noConversion"/>
  </si>
  <si>
    <t>SliceList实例节点</t>
  </si>
  <si>
    <t>Device.Services.FAPService.{i}.CellConfig.{i}.NR.RAN.PHY.FrequencyInfoDLSIB.MultiFrequencyBandListNRSIB.{i}.</t>
  </si>
  <si>
    <t>MultiFrequencyBandListNRSIB实例节点</t>
    <phoneticPr fontId="53" type="noConversion"/>
  </si>
  <si>
    <t>ScsSpecificCarrierList实例节点</t>
    <phoneticPr fontId="53" type="noConversion"/>
  </si>
  <si>
    <t>PDSCHTimeDomainResourceAllocationList实例节点</t>
    <phoneticPr fontId="53" type="noConversion"/>
  </si>
  <si>
    <t>Device.Services.FAPService.{i}.CellConfig.{i}.NR.RAN.NeighborList.NRCell.{i}.CIO</t>
    <phoneticPr fontId="53" type="noConversion"/>
  </si>
  <si>
    <t>Device.Services.FAPService.{i}.CellConfig.{i}.NR.RAN.NeighborList.NRCell.{i}.</t>
    <phoneticPr fontId="24" type="noConversion"/>
  </si>
  <si>
    <t>5G邻区实例节点</t>
    <phoneticPr fontId="24" type="noConversion"/>
  </si>
  <si>
    <t>TR系列规范(TR098/TR181/TR069/TR196)协议</t>
    <phoneticPr fontId="24" type="noConversion"/>
  </si>
  <si>
    <t>Device.Services.FAPService.{i}.CellConfig.{i}.NR.RAN.NeighborList.LTECell.{i}.</t>
    <phoneticPr fontId="24" type="noConversion"/>
  </si>
  <si>
    <t>LTE邻区实例节点</t>
    <phoneticPr fontId="24" type="noConversion"/>
  </si>
  <si>
    <t>Device.Services.FAPService.{i}.CellConfig.{i}.NR.RAN.Mobility.ConnMode.NR.A1MeasureCtrl.{i}.</t>
    <phoneticPr fontId="24" type="noConversion"/>
  </si>
  <si>
    <t>A1测量实例节点</t>
    <phoneticPr fontId="24" type="noConversion"/>
  </si>
  <si>
    <t>Device.Services.FAPService.{i}.CellConfig.{i}.NR.RAN.Mobility.ConnMode.NR.A2MeasureCtrl.{i}.</t>
    <phoneticPr fontId="24" type="noConversion"/>
  </si>
  <si>
    <t>Device.Services.FAPService.{i}.CellConfig.{i}.NR.RAN.Mobility.ConnMode.NR.A3MeasureCtrl.{i}.</t>
    <phoneticPr fontId="24" type="noConversion"/>
  </si>
  <si>
    <t>Device.Services.FAPService.{i}.CellConfig.{i}.NR.RAN.Mobility.ConnMode.NR.A4MeasureCtrl.{i}.</t>
  </si>
  <si>
    <t>Device.Services.FAPService.{i}.CellConfig.{i}.NR.RAN.Mobility.ConnMode.NR.A5MeasureCtrl.{i}.</t>
  </si>
  <si>
    <t>Device.Services.FAPService.{i}.CellConfig.{i}.NR.RAN.Mobility.ConnMode.IRAT.B1MeasureCtrl.{i}.</t>
    <phoneticPr fontId="24" type="noConversion"/>
  </si>
  <si>
    <t>Device.Services.FAPService.{i}.CellConfig.{i}.NR.RAN.Mobility.ConnMode.IRAT.B2MeasureCtrl.{i}.</t>
    <phoneticPr fontId="24" type="noConversion"/>
  </si>
  <si>
    <t>Device.Services.FAPService.{i}.CellConfig.{i}.NR.RAN.Mobility.IdleMode.InterFreq.Carrier.{i}.</t>
    <phoneticPr fontId="24" type="noConversion"/>
  </si>
  <si>
    <t>Device.Services.FAPService.{i}.CellConfig.{i}.NR.RAN.Mobility.ConnMode.NR.PeriodMeasCtrl.{i}</t>
    <phoneticPr fontId="24" type="noConversion"/>
  </si>
  <si>
    <t>周期性测量实例节点</t>
    <phoneticPr fontId="24" type="noConversion"/>
  </si>
  <si>
    <t>报告CGI的测量节点</t>
    <phoneticPr fontId="24" type="noConversion"/>
  </si>
  <si>
    <t>Device.Ethernet.Interface.{i}.</t>
  </si>
  <si>
    <t>Ethernet接口实例节点</t>
  </si>
  <si>
    <t>Device.Ethernet.Interface.{i}.IPv4Address.{i}.</t>
  </si>
  <si>
    <t>多实例Object个数读写属性</t>
    <phoneticPr fontId="53" type="noConversion"/>
  </si>
  <si>
    <t>R</t>
    <phoneticPr fontId="53" type="noConversion"/>
  </si>
  <si>
    <t>FAPService实例节点</t>
    <phoneticPr fontId="53" type="noConversion"/>
  </si>
  <si>
    <t>Device.Services.FAPService.{i}.</t>
    <phoneticPr fontId="53" type="noConversion"/>
  </si>
  <si>
    <t>Device.FAP.SCMgmt.Config.{i}.SCPassword</t>
    <phoneticPr fontId="24" type="noConversion"/>
  </si>
  <si>
    <t>Device.FAP.SCMgmt.Config.{i}.</t>
    <phoneticPr fontId="53" type="noConversion"/>
  </si>
  <si>
    <t>string</t>
    <phoneticPr fontId="53" type="noConversion"/>
  </si>
  <si>
    <t>Device.Services.FAPService.{i}.CellConfig.{i}.NR.RAN.Mobility.ConnMode.NR.PeriodMeasCtrl.{i}.ReportQuantity</t>
    <phoneticPr fontId="53" type="noConversion"/>
  </si>
  <si>
    <t>ReportQuantity</t>
    <phoneticPr fontId="53" type="noConversion"/>
  </si>
  <si>
    <t>Device.Services.FAPService.{i}.CellConfig.{i}.NR.RAN.Mobility.ConnMode.NR.ReportCGI.{i}.PhysCellId</t>
    <phoneticPr fontId="53" type="noConversion"/>
  </si>
  <si>
    <t xml:space="preserve">Device.Services.FAPService.{i}.CellConfig.{i}.NR.RAN.Mobility.ConnMode.NR.A4MeasureCtrl.1.ReportOnLeave </t>
    <phoneticPr fontId="53" type="noConversion"/>
  </si>
  <si>
    <t xml:space="preserve">ReportOnLeave </t>
  </si>
  <si>
    <t xml:space="preserve">ReportOnLeave </t>
    <phoneticPr fontId="53" type="noConversion"/>
  </si>
  <si>
    <t xml:space="preserve">Device.Services.FAPService.{i}.CellConfig.{i}.NR.RAN.Mobility.ConnMode.NR.A4MeasureCtrl.{i}.ReportOnLeave </t>
    <phoneticPr fontId="53" type="noConversion"/>
  </si>
  <si>
    <t xml:space="preserve">Device.Services.FAPService.{i}.CellConfig.{i}.NR.RAN.Mobility.ConnMode.NR.A5MeasureCtrl.1.ReportOnLeave </t>
  </si>
  <si>
    <t xml:space="preserve">Device.Services.FAPService.{i}.CellConfig.{i}.NR.RAN.Mobility.ConnMode.NR.A5MeasureCtrl.{i}.ReportOnLeave </t>
  </si>
  <si>
    <t>Device.FAP.SCMgmt.Config.{i}.XnS-NODEMODIFICATIONREQUESTACKNOWLEDGEEnable</t>
    <phoneticPr fontId="24" type="noConversion"/>
  </si>
  <si>
    <t>XnS-NODEMODIFICATIONREQUESTACKNOWLEDGEEnable</t>
    <phoneticPr fontId="24" type="noConversion"/>
  </si>
  <si>
    <t>XnS-NODEMODIFICATIONREQUESTACKNOWLEDGEEnableE信令软采开关</t>
    <phoneticPr fontId="24" type="noConversion"/>
  </si>
  <si>
    <t>A</t>
    <phoneticPr fontId="24" type="noConversion"/>
  </si>
  <si>
    <t>Xn口XnS-NODEMODIFICATIONREQUESTACKNOWLEDGEEnable信令采集的策略，仅标识采集配置策略，不标识采集开启。(0=false,1=true)。</t>
    <phoneticPr fontId="24" type="noConversion"/>
  </si>
  <si>
    <t>软采规则实例节点</t>
    <phoneticPr fontId="53" type="noConversion"/>
  </si>
  <si>
    <t>V1.1.1</t>
    <phoneticPr fontId="53" type="noConversion"/>
  </si>
  <si>
    <t>形成V1.1.1版本</t>
    <phoneticPr fontId="53" type="noConversion"/>
  </si>
  <si>
    <t xml:space="preserve"> 中国移动5G一体化皮基站扩展型一体化皮基站网管南向接口技术要求v1.1.1.docx</t>
    <phoneticPr fontId="53" type="noConversion"/>
  </si>
  <si>
    <t>苏翰，马键，李响，杨文英</t>
    <phoneticPr fontId="53" type="noConversion"/>
  </si>
  <si>
    <t>苏瀚，马键，贾辉，李响</t>
    <phoneticPr fontId="53" type="noConversion"/>
  </si>
  <si>
    <t>Services.FAPService.{i}.Transport.SCTP</t>
    <phoneticPr fontId="53" type="noConversion"/>
  </si>
  <si>
    <t>Services.FAPService.{i}.CellConfig.{i}.NR</t>
    <phoneticPr fontId="53" type="noConversion"/>
  </si>
  <si>
    <t>Services.FAPService.{i}.CellConfig.{i}.NR.RAN.Mobility</t>
    <phoneticPr fontId="53" type="noConversion"/>
  </si>
  <si>
    <t>V1.1.1.0</t>
    <phoneticPr fontId="53" type="noConversion"/>
  </si>
  <si>
    <t>Device.DeviceInfo.MU.{i}.Slot.{i}.EU.{i}.RU.{i}.Status</t>
    <phoneticPr fontId="53" type="noConversion"/>
  </si>
  <si>
    <t>定义了承载该对象实例DN时发生的基站告警的信息对象等级的实例</t>
    <phoneticPr fontId="53" type="noConversion"/>
  </si>
  <si>
    <t>Device.Services.FAPService.{i}.FAPControl.LocalBreakout.IpRules.RuleList.{i}.SourceIP</t>
    <phoneticPr fontId="53" type="noConversion"/>
  </si>
  <si>
    <t>Device.Services.FAPService.{i}.FAPControl.LocalBreakout.IpRules.RuleList.{i}.</t>
    <phoneticPr fontId="53" type="noConversion"/>
  </si>
  <si>
    <t>本地分流IP规则RuleList实例节点</t>
    <phoneticPr fontId="53" type="noConversion"/>
  </si>
  <si>
    <t>Device.Services.FAPService.{i}.FAPControl.LocalBreakout.DnsRules.RuleList.{i}.DomainIpList.{i}.DomainIp</t>
    <phoneticPr fontId="53" type="noConversion"/>
  </si>
  <si>
    <t>Device.Services.FAPService.{i}.FAPControl.LocalBreakout.DnsRules.RuleList.{i}.DomainIpList.{i}.</t>
    <phoneticPr fontId="53" type="noConversion"/>
  </si>
  <si>
    <t>本地分流DNS规则RuleList实例节点</t>
    <phoneticPr fontId="53" type="noConversion"/>
  </si>
  <si>
    <t>本地分流DNS规则RuleList实例DomainIpLis节点</t>
    <phoneticPr fontId="53" type="noConversion"/>
  </si>
  <si>
    <t>Device.Services.FAPService.{i}.FAPControl.LocalBreakout.PlmnRules.RuleList.{i}.PLMNID</t>
    <phoneticPr fontId="53" type="noConversion"/>
  </si>
  <si>
    <t>Device.Services.FAPService.{i}.FAPControl.LocalBreakout.PlmnRules.RuleList.{i}.</t>
    <phoneticPr fontId="53" type="noConversion"/>
  </si>
  <si>
    <t>Device.Services.FAPService.{i}.FAPControl.LocalBreakout.NssaiRules.RuleList.{i}.SNSSAI</t>
    <phoneticPr fontId="53" type="noConversion"/>
  </si>
  <si>
    <t>Device.Services.FAPService.{i}.FAPControl.LocalBreakout.NssaiRules.RuleList.{i}.</t>
    <phoneticPr fontId="53" type="noConversion"/>
  </si>
  <si>
    <t>本地分流PLMN规则RuleList实例节点</t>
    <phoneticPr fontId="53" type="noConversion"/>
  </si>
  <si>
    <t>本地分流NSSAI规则RuleList实例节点</t>
    <phoneticPr fontId="53" type="noConversion"/>
  </si>
  <si>
    <t>1.目录页修订SL、SM页路径增加多实例{i}.和NR.
2.SA页增加RU的状态信息Device.DeviceInfo.MU.{i}.Slot.{i}.EU.{i}.RU.{i}.Status
3.多实例页增加本地分流节点</t>
    <phoneticPr fontId="53" type="noConversion"/>
  </si>
  <si>
    <t>李响</t>
    <phoneticPr fontId="53" type="noConversion"/>
  </si>
  <si>
    <t>V1.1.1.0</t>
    <phoneticPr fontId="53" type="noConversion"/>
  </si>
  <si>
    <t>1:正常
2:离线
3:告警</t>
    <phoneticPr fontId="53" type="noConversion"/>
  </si>
  <si>
    <t>TR系列规范(TR098/TR181/TR196)</t>
    <phoneticPr fontId="53" type="noConversion"/>
  </si>
  <si>
    <t>Device.Services.FAPService.{i}.CellConfig.{i}.NR.RAN.Mobility.IdleMode.InterFreq.Carrier.{i}.ThreshXLowP</t>
    <phoneticPr fontId="53" type="noConversion"/>
  </si>
  <si>
    <t>gNB标识</t>
    <phoneticPr fontId="53" type="noConversion"/>
  </si>
  <si>
    <t>小区gNBiD(32bit)</t>
    <phoneticPr fontId="53" type="noConversion"/>
  </si>
  <si>
    <t>FAP.MRMgmt</t>
    <phoneticPr fontId="53" type="noConversion"/>
  </si>
  <si>
    <t>Services.FAPService.{i}.CellConfig.{i}.NR.RAN</t>
    <phoneticPr fontId="53" type="noConversion"/>
  </si>
  <si>
    <t>PCI重配等待定时器</t>
    <phoneticPr fontId="53" type="noConversion"/>
  </si>
  <si>
    <t>ANR算法总开关</t>
    <phoneticPr fontId="53" type="noConversion"/>
  </si>
  <si>
    <r>
      <t>SF页：
1.Device.Services.FAPService.{i}.FAPControl.NR.AdminState，修订备注，删除“射频"，指对小基站的整体使能开关，当"关闭"时，小基站基带、射频都处于关闭状态
2.Device.Services.FAPService.{i}.FAPControl.NR.AdminState修订为Device.Services.FAPService.{i}.FAPControl.NR.CellEnable.{i}.AdminState，指对每个小区的开关操作
3.Device.Services.FAPService.{i}.FAPControl.NR.OpState取值由“禁止/开启"修改为“可用/不可用”
4.Device.Services.FAPService.{i}.FAPControl.NR.OpState指所有小区都不能提供服务的场景，该值为“不可用”
SM页：
1.修订Device.Services.FAPService.{i}.CellConfig.{i}.</t>
    </r>
    <r>
      <rPr>
        <sz val="11"/>
        <color rgb="FFFF0000"/>
        <rFont val="宋体"/>
        <family val="3"/>
        <charset val="134"/>
      </rPr>
      <t>LTE</t>
    </r>
    <r>
      <rPr>
        <sz val="11"/>
        <color indexed="8"/>
        <rFont val="宋体"/>
        <family val="3"/>
        <charset val="134"/>
      </rPr>
      <t>.RAN.Mobility.IdleMode.InterFreq.Carrier.{i}.ThreshXLowP为Device.Services.FAPService.{i}.CellConfig.{i}.</t>
    </r>
    <r>
      <rPr>
        <sz val="11"/>
        <color rgb="FFFF0000"/>
        <rFont val="宋体"/>
        <family val="3"/>
        <charset val="134"/>
      </rPr>
      <t>NR</t>
    </r>
    <r>
      <rPr>
        <sz val="11"/>
        <color indexed="8"/>
        <rFont val="宋体"/>
        <family val="3"/>
        <charset val="134"/>
      </rPr>
      <t>.RAN.Mobility.IdleMode.InterFreq.Carrier.{i}.ThreshXLowP
SJ页：
1.Device.Services.FAPService.{i}.CellConfig.{i}.SysInfoCtrlParam.MultiBandInfoListSIB1修改为Device.Services.FAPService.{i}.CellConfig.{i}</t>
    </r>
    <r>
      <rPr>
        <sz val="11"/>
        <color rgb="FFFF0000"/>
        <rFont val="宋体"/>
        <family val="3"/>
        <charset val="134"/>
      </rPr>
      <t>.NR.RAN.</t>
    </r>
    <r>
      <rPr>
        <sz val="11"/>
        <color indexed="8"/>
        <rFont val="宋体"/>
        <family val="3"/>
        <charset val="134"/>
      </rPr>
      <t>SysInfoCtrlParam.MultiBandInfoListSIB1
2.Device.Services.FAPService.{i}.CellConfig.{i}.SysInfoCtrlParam.MultiBandInfoListSIB5修订为Device.Services.FAPService.{i}.CellConfig.{i}.</t>
    </r>
    <r>
      <rPr>
        <sz val="11"/>
        <color rgb="FFFF0000"/>
        <rFont val="宋体"/>
        <family val="3"/>
        <charset val="134"/>
      </rPr>
      <t>NR.RAN.</t>
    </r>
    <r>
      <rPr>
        <sz val="11"/>
        <color indexed="8"/>
        <rFont val="宋体"/>
        <family val="3"/>
        <charset val="134"/>
      </rPr>
      <t>SysInfoCtrlParam.MultiBandInfoListSIB5</t>
    </r>
    <phoneticPr fontId="53" type="noConversion"/>
  </si>
  <si>
    <t>FAP.Config.{i}.PerfMgmt</t>
    <phoneticPr fontId="53" type="noConversion"/>
  </si>
  <si>
    <t>Device.DeviceInfo.MU.{i}.ModelName</t>
    <phoneticPr fontId="53" type="noConversion"/>
  </si>
  <si>
    <t>Device.DeviceInfo.MU.{i}.ProductClass</t>
    <phoneticPr fontId="53" type="noConversion"/>
  </si>
  <si>
    <t>Device.DeviceInfo.MU.{i}.Slot.{i}.VendorUnitFamilyType</t>
    <phoneticPr fontId="53" type="noConversion"/>
  </si>
  <si>
    <t>Device.DeviceInfo.MU.{i}.Slot.{i}.EU.{i}.ModelName</t>
    <phoneticPr fontId="53" type="noConversion"/>
  </si>
  <si>
    <t>Device.DeviceInfo.MU.{i}.Slot.{i}.EU.{i}.RU.{i}.ModelName</t>
    <phoneticPr fontId="53" type="noConversion"/>
  </si>
  <si>
    <t>Device.DeviceInfo.MU.{i}.HardwareVersion</t>
    <phoneticPr fontId="53" type="noConversion"/>
  </si>
  <si>
    <t>Device.DeviceInfo.MU.{i}.Slot.{i}.Manufacturer</t>
    <phoneticPr fontId="53" type="noConversion"/>
  </si>
  <si>
    <t>小区激活/去激活</t>
    <phoneticPr fontId="53" type="noConversion"/>
  </si>
  <si>
    <t>Device.Services.FAPService.{i}.FAPControl.NR.XnIpAddrMapInfo.{i}.gNBID</t>
    <phoneticPr fontId="53" type="noConversion"/>
  </si>
  <si>
    <t>unsignedInt</t>
    <phoneticPr fontId="53" type="noConversion"/>
  </si>
  <si>
    <t>unsignedInt[0:1007]</t>
    <phoneticPr fontId="53" type="noConversion"/>
  </si>
  <si>
    <t>取值范围：(1..8, 0x0000000F)
0x0000000F代表这个参数不存在</t>
    <phoneticPr fontId="53" type="noConversion"/>
  </si>
  <si>
    <t>取值范围：(1..8,0x0000000F)
0x0000000F代表这个参数不存在</t>
    <phoneticPr fontId="53" type="noConversion"/>
  </si>
  <si>
    <t>AutoActivateEnable</t>
    <phoneticPr fontId="53" type="noConversion"/>
  </si>
  <si>
    <t>ActivateTime</t>
    <phoneticPr fontId="53" type="noConversion"/>
  </si>
  <si>
    <t>V1.1.1.1</t>
  </si>
  <si>
    <t>SF页：
删除Device.Services.FAPService.{i}.FAPControl.NR.CellEnable.{i}.AdminState
SJ页：
增加Device.Services.FAPService.{i}.CellConfig.{i}.NR.RAN.CellEnable.AdminState</t>
    <phoneticPr fontId="53" type="noConversion"/>
  </si>
  <si>
    <t>Services.FAPService.{i}.CellConfig.{i}.NR.RAN.NeighborList</t>
    <phoneticPr fontId="53" type="noConversion"/>
  </si>
  <si>
    <t>Device.DeviceInfo.MU.{i}.Status</t>
    <phoneticPr fontId="53" type="noConversion"/>
  </si>
  <si>
    <t>机框/服务器状态</t>
    <phoneticPr fontId="53" type="noConversion"/>
  </si>
  <si>
    <t>TR系列规范(TR098/TR182)/NRM数据配置要求</t>
  </si>
  <si>
    <t>Device.Services.FAPService.{i}.CellConfig.{i}.NR.RAN.PHY.SSB.SsbSubcarrierOffset</t>
    <phoneticPr fontId="53" type="noConversion"/>
  </si>
  <si>
    <t>SSB的PRB0中子载波0位置与PointA之间偏移值</t>
    <phoneticPr fontId="53" type="noConversion"/>
  </si>
  <si>
    <t>Device.DeviceInfo.MU.{i}.Reboot</t>
    <phoneticPr fontId="53" type="noConversion"/>
  </si>
  <si>
    <t>V1.1.1.2</t>
  </si>
  <si>
    <t>STUN用户名</t>
    <phoneticPr fontId="53" type="noConversion"/>
  </si>
  <si>
    <t>STUN密码</t>
    <phoneticPr fontId="53" type="noConversion"/>
  </si>
  <si>
    <t>URL</t>
    <phoneticPr fontId="53" type="noConversion"/>
  </si>
  <si>
    <t>Device.Services.FAPService.{i}.CellConfig.{i}.NR.RAN.PHY.TddULDLConfigurationCommon.pattern1.DlULTransmissionPeriodicity</t>
    <phoneticPr fontId="53" type="noConversion"/>
  </si>
  <si>
    <t>SA页：
增加MU reboot
SK页：
17&amp;23：Device.Services.FAPService.{i}.CellConfig.{i}.NR.RAN.PHY.TddULDLConfigurationCommon.pattern1.DlULTransmissionPeriodicity删除空格</t>
    <phoneticPr fontId="53" type="noConversion"/>
  </si>
  <si>
    <t>控制资源集ID，取值范围：{0~11}</t>
    <phoneticPr fontId="53" type="noConversion"/>
  </si>
  <si>
    <t xml:space="preserve">取值范围：{0~274,0x00000FFF}
0x00000FFF表示无效；
</t>
    <phoneticPr fontId="53" type="noConversion"/>
  </si>
  <si>
    <t xml:space="preserve">控制资源集的预编码粒度，取值范围：{0，1}
分别对应{ sameAsREG-bundle, allContiguousRBs }；
</t>
    <phoneticPr fontId="53" type="noConversion"/>
  </si>
  <si>
    <t>This IE is used to globally identify a gNB.
Equal to the leftmost bits of the NR Cell Identity IE contained in the NR CGI IE of each cell served by the gNB.</t>
    <phoneticPr fontId="53" type="noConversion"/>
  </si>
  <si>
    <t>TR系列规范(TR098/TR181/TR196)/NRM数据配置要求</t>
    <phoneticPr fontId="53" type="noConversion"/>
  </si>
  <si>
    <t>unsignedInt[0:‭4294967295‬]</t>
    <phoneticPr fontId="53" type="noConversion"/>
  </si>
  <si>
    <t>Device.Services.FAPService.{i}.CellConfig.{i}.NR.RAN.NeighborList.NRCell.{i}.PLMNID</t>
    <phoneticPr fontId="53" type="noConversion"/>
  </si>
  <si>
    <t>Device.Services.FAPService.{i}.CellConfig.{i}.NR.RAN.NeighborList.NRCell.{i}.TAC</t>
    <phoneticPr fontId="53" type="noConversion"/>
  </si>
  <si>
    <t>Device.DeviceInfo.MU.{i}.Slot.{i}.PackPosition</t>
    <phoneticPr fontId="53" type="noConversion"/>
  </si>
  <si>
    <t>V1.1.1.3</t>
  </si>
  <si>
    <t>Device.Services.FAPService.{i}.FAPControl.NR.AMFPoolConfigParam.{i}.RelativeAmfCapacity</t>
    <phoneticPr fontId="53" type="noConversion"/>
  </si>
  <si>
    <t>Device.Services.FAPService.{i}.FAPControl.NR.AMFPoolConfigParam.{i}.PLMNID</t>
    <phoneticPr fontId="53" type="noConversion"/>
  </si>
  <si>
    <t>Device.Services.FAPService.{i}.FAPControl.LocalBreakout.DnsRules.RuleList.{i}.DomainName</t>
    <phoneticPr fontId="53" type="noConversion"/>
  </si>
  <si>
    <t xml:space="preserve">配置PDCCH DMRS加扰ID，取值范围：{0~65535,0x0FFFFFFF}
0x0FFFFFFF表示无效；
</t>
    <phoneticPr fontId="53" type="noConversion"/>
  </si>
  <si>
    <t>配置搜索空间ID</t>
    <phoneticPr fontId="53" type="noConversion"/>
  </si>
  <si>
    <t>unsignedInt[0:65535,0x0FFFFFFF]</t>
    <phoneticPr fontId="53" type="noConversion"/>
  </si>
  <si>
    <t xml:space="preserve">取值范围：{0~32, 0x00000FFF}
0x00000FFF表示无效；
i取值最大16
</t>
    <phoneticPr fontId="53" type="noConversion"/>
  </si>
  <si>
    <t>unsignedInt[0:32, 0x00000FFF]</t>
    <phoneticPr fontId="53" type="noConversion"/>
  </si>
  <si>
    <t xml:space="preserve">取值范围：{-1~6,0x00000FFF}
0x00000FFF表示无效；
</t>
    <phoneticPr fontId="53" type="noConversion"/>
  </si>
  <si>
    <t>unsignedInt[0:15,0x00000FFF]</t>
    <phoneticPr fontId="53" type="noConversion"/>
  </si>
  <si>
    <t>unsignedInt[0:1023,0x00000FFF]</t>
    <phoneticPr fontId="53" type="noConversion"/>
  </si>
  <si>
    <t xml:space="preserve">子载波间隔
取值范围：{0, 1, 2, 3, 4，0x0000000F}
0代表kHz15，1代表kHz30，2代表kHz60，3代表kHz120，4代表kHz240,0x0000000F代表不存在。
</t>
    <phoneticPr fontId="53" type="noConversion"/>
  </si>
  <si>
    <t>unsignedInt[0:4,0x0000000F]</t>
    <phoneticPr fontId="53" type="noConversion"/>
  </si>
  <si>
    <t xml:space="preserve">配置初始BWP的CORESET#0，取值范围：{0~15,0x00000FFF}
0x00000FFF表示无效；初始BWP配置必须有效（即当PdcchId等于1时必须有效）
MIB中pdcch-ConfigSIB1的高四位
</t>
    <phoneticPr fontId="53" type="noConversion"/>
  </si>
  <si>
    <t xml:space="preserve">配置初始BWP的搜索空间#0，取值范围：{0~15,0x00000FFF}
0x00000FFF表示无效；初始BWP配置必须有效（即当PdcchId等于1时必须有效）
MIB中pdcch-ConfigSIB1的低四位
</t>
    <phoneticPr fontId="53" type="noConversion"/>
  </si>
  <si>
    <t xml:space="preserve">SIB1搜索空间的ID，取值范围：{0~39, 0x00000FFF}
0x00000FFF表示无效；
</t>
    <phoneticPr fontId="53" type="noConversion"/>
  </si>
  <si>
    <t>unsignedInt[0:39,0x00000FFF]</t>
    <phoneticPr fontId="53" type="noConversion"/>
  </si>
  <si>
    <t xml:space="preserve">其它SI搜索空间的ID，取值范围：{0~39, 0x00000FFF}
0x00000FFF表示无效；
</t>
    <phoneticPr fontId="53" type="noConversion"/>
  </si>
  <si>
    <t>unsignedInt[0:39, 0x00000FFF]</t>
    <phoneticPr fontId="53" type="noConversion"/>
  </si>
  <si>
    <t xml:space="preserve">寻呼搜索空间的ID，取值范围：{0~39, 0x00000FFF}
0x00000FFF表示无效；
</t>
    <phoneticPr fontId="53" type="noConversion"/>
  </si>
  <si>
    <t xml:space="preserve">随机接入搜索空间的ID，取值范围：{0~39, 0x00000FFF}
0x00000FFF表示无效；
</t>
    <phoneticPr fontId="53" type="noConversion"/>
  </si>
  <si>
    <t>unsignedInt[0:274,0x00000FFF]</t>
    <phoneticPr fontId="53" type="noConversion"/>
  </si>
  <si>
    <t xml:space="preserve">配置搜索空间连续出现的时隙数目。
取值范围：[2~2559,0x00000FFF]
0x00000FFF表示无效
</t>
    <phoneticPr fontId="53" type="noConversion"/>
  </si>
  <si>
    <t>unsignedInt[2:2559,0x00000FFF]</t>
    <phoneticPr fontId="53" type="noConversion"/>
  </si>
  <si>
    <t xml:space="preserve">配置搜索空间在时隙中的起始符号位置。
BIT STRING (SIZE (14))
取值范围：{0~16383, 0x0FFFFFFF}
0x0FFFFFFF表示无效
</t>
    <phoneticPr fontId="53" type="noConversion"/>
  </si>
  <si>
    <t>取值范围：{0~32,0x00000FFF}
0x00000FFF表示无效；
i取值最大16</t>
    <phoneticPr fontId="53" type="noConversion"/>
  </si>
  <si>
    <t>unsignedInt[0:32,0x00000FFF]</t>
    <phoneticPr fontId="53" type="noConversion"/>
  </si>
  <si>
    <t xml:space="preserve">取值范围：[1~63,0x00000FFF]
0x00000FFF表示无效
</t>
    <phoneticPr fontId="53" type="noConversion"/>
  </si>
  <si>
    <t>unsignedInt[1:63,0x00000FFF]</t>
    <phoneticPr fontId="53" type="noConversion"/>
  </si>
  <si>
    <t xml:space="preserve">取值范围：[0~127, 0x00000FFF]
0x00000FFF表示无效
</t>
    <phoneticPr fontId="53" type="noConversion"/>
  </si>
  <si>
    <t>unsignedInt[0:127, 0x00000FFF]</t>
    <phoneticPr fontId="53" type="noConversion"/>
  </si>
  <si>
    <t xml:space="preserve">取值范围：(1..8,0x0000000F)
0x0000000F代表这个参数不存在
</t>
    <phoneticPr fontId="53" type="noConversion"/>
  </si>
  <si>
    <t>unsignedInt[1:8,0x0000000F]</t>
    <phoneticPr fontId="53" type="noConversion"/>
  </si>
  <si>
    <t xml:space="preserve">取值范围：(1..8, 0x0000000F)
0x0000000F代表这个参数不存在
</t>
    <phoneticPr fontId="53" type="noConversion"/>
  </si>
  <si>
    <t>unsignedInt[1:8, 0x0000000F]</t>
    <phoneticPr fontId="53" type="noConversion"/>
  </si>
  <si>
    <t>邻区的小区独立偏移量，-6到6区间的步长为1dB，其他区间步长为2dB</t>
    <phoneticPr fontId="53" type="noConversion"/>
  </si>
  <si>
    <t>unsignedInt[1:8, 0x0000000F]</t>
    <phoneticPr fontId="53" type="noConversion"/>
  </si>
  <si>
    <t xml:space="preserve">取值范围：[2~16]和0x00000FFF
0x00000FFF代表无效
</t>
    <phoneticPr fontId="53" type="noConversion"/>
  </si>
  <si>
    <t>unsignedInt[2:16,0x00000FFF]</t>
    <phoneticPr fontId="53" type="noConversion"/>
  </si>
  <si>
    <t xml:space="preserve">取值范围：[0~127]和0x00000FFF
0x00000FFF代表无效
</t>
    <phoneticPr fontId="53" type="noConversion"/>
  </si>
  <si>
    <t>unsignedInt[0:127,0x00000FFF]</t>
    <phoneticPr fontId="53" type="noConversion"/>
  </si>
  <si>
    <t xml:space="preserve">IE value [dB]，
取值范围：[0~31]和0x0FFFFFFF
0x0FFFFFFF代表这个参数不存在 
</t>
    <phoneticPr fontId="53" type="noConversion"/>
  </si>
  <si>
    <t>unsignedInt[0:31,0x0FFFFFFF]</t>
    <phoneticPr fontId="53" type="noConversion"/>
  </si>
  <si>
    <t xml:space="preserve">该参数用来在服务频率上限制允许
的UE上行链路传输功率。用来计算
TS 38.304 中定义的Pcompensation 。对应38.331 中SIB2定义的p-Max，取值范围：[-30..33] 和0x0FFFFFFF
0x0FFFFFFF代表这个参数不存在
</t>
    <phoneticPr fontId="53" type="noConversion"/>
  </si>
  <si>
    <t>int[-30:33,0x0FFFFFFF]</t>
    <phoneticPr fontId="53" type="noConversion"/>
  </si>
  <si>
    <t xml:space="preserve">评估向低优先级的E-UTRAN频率或
RA重选时，服务频率的门限。实际
值由该值乘以2，以dB为单位。对应
TS 38.331中的threshServingLowP，取值范围：[0..31]
</t>
    <phoneticPr fontId="53" type="noConversion"/>
  </si>
  <si>
    <t xml:space="preserve">IE value [dB]，
取值范围：[0~31]和0x0FFFFFFF
0x0FFFFFFF代表这个参数不存在
</t>
    <phoneticPr fontId="53" type="noConversion"/>
  </si>
  <si>
    <t xml:space="preserve">小区重选时，最小RSRP接收级别。实际值为该值乘以2得到。以dBm为单位。对应TS 38.331[3]中SIB2的q-QualMin，取值范围：[-34..-3]和0x0FFFFFFF
0x0FFFFFFF代表这个参数不存在
</t>
    <phoneticPr fontId="53" type="noConversion"/>
  </si>
  <si>
    <t>int[-34:-3,0x0FFFFFFF]</t>
    <phoneticPr fontId="53" type="noConversion"/>
  </si>
  <si>
    <t>小区选择时，最小RSRP接收级别。实际值为该值乘以2得到。以dBm为单位。对应TS 38.331[3]中SIB1的q-QualMin，取值范围：[-34..-3]和0x0FFFFFFF
0x0FFFFFFF代表这个参数不存在</t>
    <phoneticPr fontId="53" type="noConversion"/>
  </si>
  <si>
    <t xml:space="preserve">物理小区ID步进，
取值范围：[0~14，0x0FFFFFFF]
分别对应{ n4, n8, n12, n16, n24, n32, n48, n64, n84, n96, n128, n168, n252, n504, n1008，不存在 }
</t>
    <phoneticPr fontId="53" type="noConversion"/>
  </si>
  <si>
    <t xml:space="preserve">频率间切换和低优先级或相等优先级
RAT间切换测量门限。实际值为该值乘以2，以dB为单位。对应TS 38.3318中的s-NonIntraSearch，
取值范围;[0..31]和0x0FFFFFFF
0x0FFFFFFF代表这个参数不存在
</t>
    <phoneticPr fontId="53" type="noConversion"/>
  </si>
  <si>
    <t xml:space="preserve">异频小区重选时，最小RSRQ接收级别。对应TS 38.331[3]中SIB4的q-QualMin，取值范围：[-34..-3]和0x0FFFFFFF
0x0FFFFFFF代表这个参数不存在
</t>
    <phoneticPr fontId="53" type="noConversion"/>
  </si>
  <si>
    <t xml:space="preserve">该参数用来在服务频率上限制允许
的UE上行链路传输功率。用来计算
TS 38.304  中定义的Pcompensation ,对应38.331 中SIB4定义的p-Max，取值范围：[-30..33] 和0x0FFFFFFF
0x0FFFFFFF代表这个参数不存在
</t>
    <phoneticPr fontId="53" type="noConversion"/>
  </si>
  <si>
    <t>Device.Services.FAPService.{i}.FAPControl.NR.AMFPoolConfigParam.{i}.GUAMI.{i}.AmfRegionID</t>
    <phoneticPr fontId="53" type="noConversion"/>
  </si>
  <si>
    <t>Device.Services.FAPService.{i}.FAPControl.NR.AMFPoolConfigParam.{i}.GUAMI.{i}.AmfSetID</t>
    <phoneticPr fontId="53" type="noConversion"/>
  </si>
  <si>
    <t>Device.Services.FAPService.{i}.FAPControl.NR.AMFPoolConfigParam.{i}.GUAMI.{i}.AmfPointer</t>
    <phoneticPr fontId="53" type="noConversion"/>
  </si>
  <si>
    <t>R</t>
    <phoneticPr fontId="53" type="noConversion"/>
  </si>
  <si>
    <r>
      <t>SK页：
1.Device.Services.FAPService.{i}.CellConfig.{i}.NR.RAN.PHY.PDCCH.</t>
    </r>
    <r>
      <rPr>
        <sz val="11"/>
        <color rgb="FFFF0000"/>
        <rFont val="宋体"/>
        <family val="3"/>
        <charset val="134"/>
      </rPr>
      <t>C</t>
    </r>
    <r>
      <rPr>
        <sz val="11"/>
        <color indexed="8"/>
        <rFont val="宋体"/>
        <family val="3"/>
        <charset val="134"/>
      </rPr>
      <t>ommonControlResourceSet.CceRegMappingType.RegBundleSize，大写CommonControlResourceSet
SF页：
1.AmfPoolConfigParam.{i}修改为AMFPoolConfigParam.{i}，子节点由AMF改为Amf
2.增加GUAMI.{i}.到AmfRegionID&amp;AmfSetID&amp;AmfPointer，并将此三个参数修改为只读
SK页：
1.RACH-ConfigGeneric修改为RACHConfigGeneric
SH页：
1.Rulelist修改为RuleList
其他：
1.取值范围增加“无效值”
SJ页：
1.删除Device.Services.FAPService.{i}.CellConfig.{i}.NR.5GC.TAC
2.删除Device.Services.FAPService.{i}.CellConfig.{i}.NR.5GC.PLMNList.{i}.PLMNID</t>
    </r>
    <phoneticPr fontId="53" type="noConversion"/>
  </si>
  <si>
    <t>RegMappingType</t>
    <phoneticPr fontId="53" type="noConversion"/>
  </si>
  <si>
    <t>控制资源集频域范围，BIT STRING (SIZE (45))
取值范围：{0~ 35184372088831}
0~ 1FFFFFFFFFFF</t>
    <phoneticPr fontId="53" type="noConversion"/>
  </si>
  <si>
    <t xml:space="preserve">PRACH对应SSB个数，控制CBPreamblesPerSSB的选择范围，取值范围：[0~7, 0x0F]
分别对应{oneEighth, oneFourth, oneHalf, one, two, four, eight, sisteen}
0x0000000F表示无效
</t>
    <phoneticPr fontId="53" type="noConversion"/>
  </si>
  <si>
    <t>unsignedInt[0:7,0x0000000F]</t>
    <phoneticPr fontId="53" type="noConversion"/>
  </si>
  <si>
    <t>R</t>
    <phoneticPr fontId="53" type="noConversion"/>
  </si>
  <si>
    <t>RW</t>
    <phoneticPr fontId="53" type="noConversion"/>
  </si>
  <si>
    <t>Device.Services.FAPService.{i}.CellConfig.{i}.NR.RAN.NeighborList.LTECell.{i}.PhyCellID</t>
    <phoneticPr fontId="53" type="noConversion"/>
  </si>
  <si>
    <t>Device.Services.FAPService.{i}.CellConfig.{i}.NR.RAN.NeighborList.LTECell.{i}.EUTRACarrierARFCN</t>
    <phoneticPr fontId="53" type="noConversion"/>
  </si>
  <si>
    <t>密码用于设备到日志服务器的鉴权，如果不需要鉴权，此字符串为空
当为读时，该参数返回一个空字符串，而不是一个实际的值，当PeriodicUploadEnable=true时，才生效。</t>
    <phoneticPr fontId="53" type="noConversion"/>
  </si>
  <si>
    <t>用户名用于设备到日志服务器的鉴权，如果不需要鉴权，此字符串为空，当PeriodicUploadEnable=true时，才生效。</t>
    <phoneticPr fontId="53" type="noConversion"/>
  </si>
  <si>
    <t>指定了目的日志的位置，没有以任何方式指明需要上传的本地文件的名字和位置</t>
    <phoneticPr fontId="53" type="noConversion"/>
  </si>
  <si>
    <t>日志上传URL</t>
    <phoneticPr fontId="53" type="noConversion"/>
  </si>
  <si>
    <t>Device.FaultMgmt.SupportedAlarm.{i}.ReportingMechanism</t>
    <phoneticPr fontId="53" type="noConversion"/>
  </si>
  <si>
    <t xml:space="preserve"> 告警上报机制</t>
    <phoneticPr fontId="53" type="noConversion"/>
  </si>
  <si>
    <t>Device.Services.FAPService.{i}.CellConfig.{i}.NR.Capabilities.MaxUEsServed</t>
    <phoneticPr fontId="53" type="noConversion"/>
  </si>
  <si>
    <t>Device.Services.FAPService.{i}.Capabilities.NR.NNSFSupported</t>
    <phoneticPr fontId="53" type="noConversion"/>
  </si>
  <si>
    <t>V1.1.1.4</t>
    <phoneticPr fontId="53" type="noConversion"/>
  </si>
  <si>
    <t>小区管理状态</t>
    <phoneticPr fontId="53" type="noConversion"/>
  </si>
  <si>
    <t>DataModelSpecVersion</t>
    <phoneticPr fontId="53" type="noConversion"/>
  </si>
  <si>
    <t>数据模型版本</t>
    <phoneticPr fontId="53" type="noConversion"/>
  </si>
  <si>
    <t>A</t>
    <phoneticPr fontId="53" type="noConversion"/>
  </si>
  <si>
    <t>R</t>
    <phoneticPr fontId="53" type="noConversion"/>
  </si>
  <si>
    <t>string</t>
    <phoneticPr fontId="53" type="noConversion"/>
  </si>
  <si>
    <t>描述中国移动技术规范发布的小基站南向数据模型版本号</t>
    <phoneticPr fontId="53" type="noConversion"/>
  </si>
  <si>
    <t>Device.DeviceInfo.MU.{i}.Slot.{i}.DataModelSpecVersion</t>
    <phoneticPr fontId="53" type="noConversion"/>
  </si>
  <si>
    <t>Thoughput</t>
    <phoneticPr fontId="53" type="noConversion"/>
  </si>
  <si>
    <t>Device.Services.FAPService.{i}.FAPControl.LocalBreakout.IpRules.Enable</t>
    <phoneticPr fontId="53" type="noConversion"/>
  </si>
  <si>
    <t>流量</t>
    <phoneticPr fontId="53" type="noConversion"/>
  </si>
  <si>
    <t>SCIPAddress</t>
    <phoneticPr fontId="53" type="noConversion"/>
  </si>
  <si>
    <t>SCIPAddress详细说明了目标服务器位置。该参数只用于详细描述目标服务器位置。</t>
    <phoneticPr fontId="24" type="noConversion"/>
  </si>
  <si>
    <t>信令软采设备规范-Small Cell NR分册</t>
    <phoneticPr fontId="53" type="noConversion"/>
  </si>
  <si>
    <t>SCPort</t>
    <phoneticPr fontId="53" type="noConversion"/>
  </si>
  <si>
    <t>软采服务器IP地址</t>
    <phoneticPr fontId="53" type="noConversion"/>
  </si>
  <si>
    <t>软采服务器端口</t>
    <phoneticPr fontId="53" type="noConversion"/>
  </si>
  <si>
    <t>RW</t>
    <phoneticPr fontId="53" type="noConversion"/>
  </si>
  <si>
    <t>string</t>
    <phoneticPr fontId="53" type="noConversion"/>
  </si>
  <si>
    <t>软采服务器数据采集端口</t>
    <phoneticPr fontId="53" type="noConversion"/>
  </si>
  <si>
    <t>Device.FAP.SCMgmt.Config.{i}.SCIPAddress</t>
    <phoneticPr fontId="24" type="noConversion"/>
  </si>
  <si>
    <r>
      <t>密码用于</t>
    </r>
    <r>
      <rPr>
        <sz val="9"/>
        <color theme="1"/>
        <rFont val="Times New Roman"/>
        <family val="1"/>
      </rPr>
      <t xml:space="preserve"> SmallCell</t>
    </r>
    <r>
      <rPr>
        <sz val="9"/>
        <color theme="1"/>
        <rFont val="宋体"/>
        <family val="3"/>
        <charset val="134"/>
      </rPr>
      <t>基站到服务器的鉴权，如果不需要鉴权，此字符串为空当为读时，该参数返回一个空字符串，而不是一个实际的值。</t>
    </r>
    <phoneticPr fontId="24" type="noConversion"/>
  </si>
  <si>
    <t>Device.FAP.SCMgmt.Config.{i}.SCEnable</t>
    <phoneticPr fontId="24" type="noConversion"/>
  </si>
  <si>
    <t>Device.FAP.SCMgmt.Config.{i}.SCPort</t>
    <phoneticPr fontId="24" type="noConversion"/>
  </si>
  <si>
    <t>SCLoginID</t>
    <phoneticPr fontId="53" type="noConversion"/>
  </si>
  <si>
    <t>信令软采设备规范-Small Cell NR分册</t>
    <phoneticPr fontId="53" type="noConversion"/>
  </si>
  <si>
    <t>SCLoginID用于登录SC服务器</t>
    <phoneticPr fontId="53" type="noConversion"/>
  </si>
  <si>
    <t>Device.FAP.SCMgmt.Config.{i}.SCLoginID</t>
    <phoneticPr fontId="53" type="noConversion"/>
  </si>
  <si>
    <t>SI页：
删除Capability相关参数
SJ页：
将Capability补充道Cell级别
NR.RAN.CellEnable.AdminState修改为小区管理状态
SA页：
增加Device.DeviceInfo.MU.{i}.Slot.{i}.DataModelSpecVersion
SH页：
增加Device.Services.FAPService.{i}.FAPControl.LocalBreakout.IpRules.RuleList.{i}.MeasurementPeriod
增加Device.Services.FAPService.{i}.FAPControl.LocalBreakout.IpRules.RuleList.{i}.Thoughput
ST页：
增加Device.FAP.SCMgmt.Config.{i}.SCIPAddress
增加Device.FAP.SCMgmt.Config.{i}.SCPort
增加Device.FAP.SCMgmt.Config.{i}.SCLoginID</t>
    <phoneticPr fontId="53" type="noConversion"/>
  </si>
  <si>
    <t>软采链路认证ID</t>
    <phoneticPr fontId="53" type="noConversion"/>
  </si>
  <si>
    <t>{0：notBarred，1：barred }</t>
    <phoneticPr fontId="53" type="noConversion"/>
  </si>
  <si>
    <t>Device.Services.FAPService.{i}.CellConfig.{i}.NR.RAN.CellRestriction.CellBarred</t>
    <phoneticPr fontId="53" type="noConversion"/>
  </si>
  <si>
    <t>V1.1.1.5</t>
  </si>
  <si>
    <t>Device.FaultMgmt.QueuedEvent.{i}.NotificationType</t>
    <phoneticPr fontId="53" type="noConversion"/>
  </si>
  <si>
    <t>Device.FaultMgmt.ExpeditedEvent.{i}.NotificationType</t>
    <phoneticPr fontId="53" type="noConversion"/>
  </si>
  <si>
    <t>Device.FaultMgmt.HistoryEvent.{i}.NotificationType</t>
    <phoneticPr fontId="53" type="noConversion"/>
  </si>
  <si>
    <t>NotificationType</t>
    <phoneticPr fontId="53" type="noConversion"/>
  </si>
  <si>
    <t>Device.DeviceInfo.MU.{i}.Slot.{i}.EU.{i}.RU.{i}.RFTxStatus</t>
    <phoneticPr fontId="53" type="noConversion"/>
  </si>
  <si>
    <t>单位dBm
指小基站所有通道发射功率总和</t>
    <phoneticPr fontId="53" type="noConversion"/>
  </si>
  <si>
    <t>0:关闭
1:开启
指RU所有通道的射频开关</t>
    <phoneticPr fontId="53" type="noConversion"/>
  </si>
  <si>
    <t>DLCRCSum</t>
    <phoneticPr fontId="53" type="noConversion"/>
  </si>
  <si>
    <t>若上一级是主机单元，则是扩展单元与主机单元下行误码率；
若上一级是扩展单元，则是扩展单元与扩展单元下行误码率；
下行误码率都由本级扩展单元统计。</t>
    <phoneticPr fontId="53" type="noConversion"/>
  </si>
  <si>
    <t>若上一级是主机单元，则是扩展单元与主机单元上行误码率，由主机单元统计；
若上一级是扩展单元，则是扩展单元与扩展单元上行误码率，由上一级扩展单元统计。</t>
    <phoneticPr fontId="53" type="noConversion"/>
  </si>
  <si>
    <t>Device.DeviceInfo.MU.{i}.Slot.{i}.EU.{i}.DLCRCSum</t>
    <phoneticPr fontId="53" type="noConversion"/>
  </si>
  <si>
    <t>1:初始化
2:下载
3:安装
4:等待激活
5.激活</t>
    <phoneticPr fontId="53" type="noConversion"/>
  </si>
  <si>
    <t>1:初始化
2:下载
3:安装
4:等待激活
5.激活</t>
    <phoneticPr fontId="53" type="noConversion"/>
  </si>
  <si>
    <t>FailureCause</t>
    <phoneticPr fontId="53" type="noConversion"/>
  </si>
  <si>
    <t>升级失败原因</t>
    <phoneticPr fontId="53" type="noConversion"/>
  </si>
  <si>
    <t>R</t>
    <phoneticPr fontId="53" type="noConversion"/>
  </si>
  <si>
    <t>SJ页：
Device.Services.FAPService.{i}.CellConfig.{i}.NR.RAN.CellRestriction.CellBarred修订类型（0：解闭塞，1闭塞）
SA页：
增加Device.DeviceInfo.MU.{i}.Slot.{i}.EU.{i}.SwUpgrade.FailureCause说明升级失败原因</t>
    <phoneticPr fontId="53" type="noConversion"/>
  </si>
  <si>
    <t>Device.FAP.SCMgmt.Config.{i}.UuAllEnable</t>
    <phoneticPr fontId="24" type="noConversion"/>
  </si>
  <si>
    <t>Device.FAP.SCMgmt.Config.{i}.UuRRCSetupRequestEnable</t>
    <phoneticPr fontId="53" type="noConversion"/>
  </si>
  <si>
    <t>1.Initial：指MU成功获得本次升级升级目标设备且目标设备软件版本和本次升级版本不一致需要升级时，MU进入软件升级initial状态（例如：本次升级Manifest文件解析成功并且数据模型中存在manifest文件中指定的升级目标同时MU获取EU/RU的软件版本和目标版本不一致的情况）
如果MU获取到目标设备软件版本与升级软件版本一致（例如：EU/RU的软件版本与manifest文件一致），则：
i  则发送Inform，携带ValueChange，其中的升级状态为initial
ii 然后发送Inform，携带ValueChange，其中升级状态为Success
2.DownLoad：指升级的目标单元软件版本下载到本地的状态，成功则进入Install，否则进入Fail状态
3.Install：指目标单元安装软件的状态，成功则进入WaitingActivation或Activation，否则进入Fail状态
4.WaitingActivation：指还未到达指定activate时间的状态
5.Activation：指目标单元激活软件版本的状态，否则进入Fail状态</t>
    <phoneticPr fontId="53" type="noConversion"/>
  </si>
  <si>
    <t>成功/失败：指软件升级的最终状态
进行中：指正在执行的Software.stage还未进入成功或失败状态</t>
    <phoneticPr fontId="53" type="noConversion"/>
  </si>
  <si>
    <t>V1.1.1.6</t>
  </si>
  <si>
    <t>Device.DeviceInfo.MU.{i}.Slot.{i}.EU.{i}.RU.{i}.SwUpgrade.Stage</t>
    <phoneticPr fontId="53" type="noConversion"/>
  </si>
  <si>
    <t>DelEndPoint</t>
    <phoneticPr fontId="53" type="noConversion"/>
  </si>
  <si>
    <t>Device.Services.FAPService.{i}.CellConfig.{i}.NR.RAN.CellEnable.AdminState</t>
    <phoneticPr fontId="53" type="noConversion"/>
  </si>
  <si>
    <t>由SST和SD组成</t>
    <phoneticPr fontId="53" type="noConversion"/>
  </si>
  <si>
    <t>3GPP TS38.331</t>
    <phoneticPr fontId="53" type="noConversion"/>
  </si>
  <si>
    <t>Device.DeviceInfo.MU.{i}.Slot.{i}.EU.{i}.SwUpgrade.FailureCause</t>
    <phoneticPr fontId="53" type="noConversion"/>
  </si>
  <si>
    <t>升级失败原因描述</t>
    <phoneticPr fontId="53" type="noConversion"/>
  </si>
  <si>
    <t>Device.DeviceInfo.AddEndPoint</t>
    <phoneticPr fontId="53" type="noConversion"/>
  </si>
  <si>
    <t>string(15)</t>
    <phoneticPr fontId="53" type="noConversion"/>
  </si>
  <si>
    <t>NTP服务器2</t>
    <phoneticPr fontId="53" type="noConversion"/>
  </si>
  <si>
    <t>Device.FaultMgmt.HistoryEvent.{i}.</t>
    <phoneticPr fontId="53" type="noConversion"/>
  </si>
  <si>
    <t>Device.FaultMgmt.CurrentAlarm.{i}.</t>
    <phoneticPr fontId="53" type="noConversion"/>
  </si>
  <si>
    <t>MU、EU和RU的端口从1开始</t>
    <phoneticPr fontId="53" type="noConversion"/>
  </si>
  <si>
    <t>Device.DeviceInfo.MU.{i}.Slot.{i}.EU.{i}.RU.{i}.RouteIndex</t>
    <phoneticPr fontId="53" type="noConversion"/>
  </si>
  <si>
    <t>2021-1-13，19，20，21</t>
    <phoneticPr fontId="53" type="noConversion"/>
  </si>
  <si>
    <t>Device.FAP.SCMgmt.Config.{i}.X2E-UTRA-NRCELLRESOURCECOORDINATIONRESPONSEEnable</t>
    <phoneticPr fontId="53" type="noConversion"/>
  </si>
  <si>
    <t>Device.FAP.SCMgmt.Config.{i}.X2E-UTRA-NRCELLRESOURCECOORDINATIONREQUESTEnable</t>
    <phoneticPr fontId="53" type="noConversion"/>
  </si>
  <si>
    <t>X2E-UTRA-NRCELLRESOURCECOORDINATIONRESPONSEEnable</t>
    <phoneticPr fontId="53" type="noConversion"/>
  </si>
  <si>
    <t>X2E-UTRA-NRCELLRESOURCECOORDINATIONRESPONSE信令软采开关</t>
    <phoneticPr fontId="24" type="noConversion"/>
  </si>
  <si>
    <t>Device.Services.FAPService.{i}.CellConfig.{i}.NR.RAN.Mobility.IdleMode.Common.IntraFreqReselection</t>
    <phoneticPr fontId="53" type="noConversion"/>
  </si>
  <si>
    <t>Device.Services.FAPService.{i}.CellConfig.{i}.NR.RAN.Mobility.IdleMode.Common.ThresholdRSRP</t>
    <phoneticPr fontId="53" type="noConversion"/>
  </si>
  <si>
    <t>Device.Services.FAPService.{i}.CellConfig.{i}.NR.RAN.Mobility.IdleMode.Common.ThresholdRSRQ</t>
    <phoneticPr fontId="53" type="noConversion"/>
  </si>
  <si>
    <t>Device.Services.FAPService.{i}.CellConfig.{i}.NR.RAN.Mobility.IdleMode.Common.ThresholdSINR</t>
    <phoneticPr fontId="53" type="noConversion"/>
  </si>
  <si>
    <t xml:space="preserve">Device.Services.FAPService.{i}.CellConfig.{i}.NR.RAN.Mobility.IdleMode.IntraFreq.QRxLevMinSIB1
</t>
    <phoneticPr fontId="53" type="noConversion"/>
  </si>
  <si>
    <t>Device.Services.FAPService.{i}.CellConfig.{i}.NR.RAN.Mobility.IdleMode.IntraFreq.Qqualminoffset</t>
    <phoneticPr fontId="53" type="noConversion"/>
  </si>
  <si>
    <t>Device.Services.FAPService.{i}.CellConfig.{i}.NR.RAN.Mobility.IdleMode.IntraFreq.QRxLevMinOffset</t>
    <phoneticPr fontId="53" type="noConversion"/>
  </si>
  <si>
    <t>Device.Services.FAPService.{i}.CellConfig.{i}.NR.RAN.Mobility.IdleMode.InterFreq.Carrier.{i}.ThreshXHighP</t>
    <phoneticPr fontId="53" type="noConversion"/>
  </si>
  <si>
    <t>Device.Services.FAPService.{i}.CellConfig.{i}.NR.RAN.Mobility.IdleMode.InterFreq.Carrier.{i}.ThreshXHighQ</t>
    <phoneticPr fontId="53" type="noConversion"/>
  </si>
  <si>
    <t>Device.Services.FAPService.{i}.CellConfig.{i}.NR.RAN.Mobility.IdleMode.InterFreq.Carrier.{i}.ThreshXLowQ</t>
    <phoneticPr fontId="53" type="noConversion"/>
  </si>
  <si>
    <t>Device.FAP.PerfMgmt.Config.{i}.Enable</t>
    <phoneticPr fontId="53" type="noConversion"/>
  </si>
  <si>
    <t>Device.FAP.PerfMgmt.Config.{i}.URL</t>
    <phoneticPr fontId="53" type="noConversion"/>
  </si>
  <si>
    <t>Device.FAP.PerfMgmt.Config.{i}.PeriodicUploadTime</t>
    <phoneticPr fontId="53" type="noConversion"/>
  </si>
  <si>
    <t>Device.FAP.PerfMgmt.Config.{i}.Username</t>
    <phoneticPr fontId="53" type="noConversion"/>
  </si>
  <si>
    <t>Device.FAP.PerfMgmt.Config.{i}.Password</t>
    <phoneticPr fontId="53" type="noConversion"/>
  </si>
  <si>
    <t>Device.FAP.PerfMgmt.Config.{i}.PeriodicUploadInterval</t>
    <phoneticPr fontId="53" type="noConversion"/>
  </si>
  <si>
    <t>制造商OUI</t>
    <phoneticPr fontId="53" type="noConversion"/>
  </si>
  <si>
    <t>日志周期上传时间间隔</t>
    <phoneticPr fontId="53" type="noConversion"/>
  </si>
  <si>
    <t>日志周期上传使能开关</t>
    <phoneticPr fontId="53" type="noConversion"/>
  </si>
  <si>
    <t>日志管理用户名</t>
    <phoneticPr fontId="53" type="noConversion"/>
  </si>
  <si>
    <t>日志管理密码</t>
    <phoneticPr fontId="53" type="noConversion"/>
  </si>
  <si>
    <t>FAP.GPS</t>
    <phoneticPr fontId="53" type="noConversion"/>
  </si>
  <si>
    <t>SerialNumber</t>
    <phoneticPr fontId="53" type="noConversion"/>
  </si>
  <si>
    <t>Device.DeviceInfo.MU.{i}.Slot.{i}.ManufacturerOUI</t>
    <phoneticPr fontId="53" type="noConversion"/>
  </si>
  <si>
    <t>Device.DeviceInfo.MU.{i}.Slot.{i}.3GPPSpecVersion</t>
    <phoneticPr fontId="53" type="noConversion"/>
  </si>
  <si>
    <t>Device.DeviceInfo.MU.{i}.Slot.{i}.HardwareVersion</t>
    <phoneticPr fontId="53" type="noConversion"/>
  </si>
  <si>
    <t>Device.DeviceInfo.MU.{i}.Slot.{i}.UpTime</t>
    <phoneticPr fontId="53" type="noConversion"/>
  </si>
  <si>
    <t>Device.Services.FAPService.{i}.FAPControl.NR.AMFPoolConfigParam.{i}.AmfIP2</t>
    <phoneticPr fontId="53" type="noConversion"/>
  </si>
  <si>
    <t>Device.Services.FAPService.{i}.FAPControl.NR.SelfConfig.SONConfigParam.NRSnifferChannelList</t>
    <phoneticPr fontId="53" type="noConversion"/>
  </si>
  <si>
    <t>Device.Services.FAPService.{i}.FAPControl.NR.SelfConfig.SONConfigParam.PCIReconfigWaitTime</t>
    <phoneticPr fontId="53" type="noConversion"/>
  </si>
  <si>
    <t>Device.Services.FAPService.{i}.FAPControl.NR.SelfConfig.SONConfigParam.SyncMode</t>
    <phoneticPr fontId="53" type="noConversion"/>
  </si>
  <si>
    <t>Device.DeviceInfo.DelEndPoint</t>
    <phoneticPr fontId="53" type="noConversion"/>
  </si>
  <si>
    <t>Device.DeviceInfo.MU.{i}.Slot.{i}.SwUpgrade.FailureCause</t>
    <phoneticPr fontId="53" type="noConversion"/>
  </si>
  <si>
    <t>射频单元路由指示</t>
    <phoneticPr fontId="53" type="noConversion"/>
  </si>
  <si>
    <t>Device.FAP.SCMgmt.Config.{i}.XnRETRIEVEUECONTEXTREQUESTEnable</t>
    <phoneticPr fontId="53" type="noConversion"/>
  </si>
  <si>
    <t>XnRETRIEVEUECONTEXTREQUESTEnable</t>
    <phoneticPr fontId="53" type="noConversion"/>
  </si>
  <si>
    <t>XnRETRIEVEUECONTEXTREQUEST信令软采开关</t>
    <phoneticPr fontId="24" type="noConversion"/>
  </si>
  <si>
    <t>Xn口RETRIEVEUECONTEXTREQUEST信令采集的策略，仅标识采集配置策略，不标识采集开启。(0=false,1=true)。</t>
    <phoneticPr fontId="53" type="noConversion"/>
  </si>
  <si>
    <t>Device.FAP.SCMgmt.Config.{i}.XnUADDRESSINDICATIONEnable</t>
    <phoneticPr fontId="53" type="noConversion"/>
  </si>
  <si>
    <t>XnUADDRESSINDICATIONEnable</t>
  </si>
  <si>
    <t>XnUADDRESSINDICATIONEnable信令软采开关</t>
    <phoneticPr fontId="24" type="noConversion"/>
  </si>
  <si>
    <t>Xn口UADDRESSINDICATIONEnable信令采集的策略，仅标识采集配置策略，不标识采集开启。(0=false,1=true)。</t>
    <phoneticPr fontId="53" type="noConversion"/>
  </si>
  <si>
    <t>Device.FAP.SCMgmt.Config.{i}.XnE-UTRA-NRCELLRESOURCECOORDINATIONREQUESTEnable</t>
    <phoneticPr fontId="53" type="noConversion"/>
  </si>
  <si>
    <t>Device.FAP.SCMgmt.Config.{i}.XnE-UTRA-NRCELLRESOURCECOORDINATIONRESPONSEEnable</t>
    <phoneticPr fontId="53" type="noConversion"/>
  </si>
  <si>
    <t>XnE-UTRA-NRCELLRESOURCECOORDINATIONREQUESTEnable</t>
    <phoneticPr fontId="53" type="noConversion"/>
  </si>
  <si>
    <t>XnE-UTRA-NRCELLRESOURCECOORDINATIONREQUEST信令软采开关</t>
    <phoneticPr fontId="24" type="noConversion"/>
  </si>
  <si>
    <t>XnE-UTRA-NRCELLRESOURCECOORDINATIONRESPONSEEnable</t>
    <phoneticPr fontId="53" type="noConversion"/>
  </si>
  <si>
    <t>XnE-UTRA-NRCELLRESOURCECOORDINATIONRESPONSE信令软采开关</t>
    <phoneticPr fontId="24" type="noConversion"/>
  </si>
  <si>
    <t>Xn口E-UTRA-NRCELLRESOURCECOORDINATIONREQUEST信令采集的策略，仅标识采集配置策略，不标识采集开启。(0=false,1=true)。</t>
    <phoneticPr fontId="53" type="noConversion"/>
  </si>
  <si>
    <t>Xn口E-UTRA-NRCELLRESOURCECOORDINATIONRESPONSE信令采集的策略，仅标识采集配置策略，不标识采集开启。(0=false,1=true)。</t>
    <phoneticPr fontId="53" type="noConversion"/>
  </si>
  <si>
    <t>SCGID</t>
    <phoneticPr fontId="53" type="noConversion"/>
  </si>
  <si>
    <t>网管编号</t>
    <phoneticPr fontId="53" type="noConversion"/>
  </si>
  <si>
    <t>A</t>
    <phoneticPr fontId="53" type="noConversion"/>
  </si>
  <si>
    <t>string</t>
    <phoneticPr fontId="53" type="noConversion"/>
  </si>
  <si>
    <t>IF0接口的网关编号</t>
    <phoneticPr fontId="53" type="noConversion"/>
  </si>
  <si>
    <t>SDTP协议</t>
    <phoneticPr fontId="53" type="noConversion"/>
  </si>
  <si>
    <t>Device.Services.FAPService.{i}.CellConfig.{i}.NR.RAN.RF.ULBandwidth</t>
    <phoneticPr fontId="53" type="noConversion"/>
  </si>
  <si>
    <t>Device.Services.FAPService.{i}.CellConfig.{i}.NR.RAN.RF.SsPBCHBlockPower</t>
    <phoneticPr fontId="53" type="noConversion"/>
  </si>
  <si>
    <t>gNBIdLength</t>
    <phoneticPr fontId="53" type="noConversion"/>
  </si>
  <si>
    <t>gNB标识长度</t>
    <phoneticPr fontId="53" type="noConversion"/>
  </si>
  <si>
    <t>根据设备规范，gNBIdLength取值为24</t>
    <phoneticPr fontId="53" type="noConversion"/>
  </si>
  <si>
    <t>string(64)</t>
    <phoneticPr fontId="53" type="noConversion"/>
  </si>
  <si>
    <t>描述对应IPv4地址的作用</t>
    <phoneticPr fontId="53" type="noConversion"/>
  </si>
  <si>
    <t>vlan子接口配置参数管理</t>
    <phoneticPr fontId="24" type="noConversion"/>
  </si>
  <si>
    <t>Device.Ethernet.Interface.{i}.VlanInterface.{i}.Name</t>
    <phoneticPr fontId="24" type="noConversion"/>
  </si>
  <si>
    <t>Name</t>
    <phoneticPr fontId="24" type="noConversion"/>
  </si>
  <si>
    <t>vlan子接口名称</t>
    <phoneticPr fontId="24" type="noConversion"/>
  </si>
  <si>
    <t>string</t>
    <phoneticPr fontId="24" type="noConversion"/>
  </si>
  <si>
    <t>Device.Ethernet.Interface.{i}.VlanInterface.{i}.Id</t>
    <phoneticPr fontId="24" type="noConversion"/>
  </si>
  <si>
    <t>Id</t>
    <phoneticPr fontId="24" type="noConversion"/>
  </si>
  <si>
    <t>Vlan Id</t>
    <phoneticPr fontId="24" type="noConversion"/>
  </si>
  <si>
    <t>interger</t>
    <phoneticPr fontId="24" type="noConversion"/>
  </si>
  <si>
    <t>vlan id</t>
    <phoneticPr fontId="24" type="noConversion"/>
  </si>
  <si>
    <t>Device.Ethernet.Interface.{i}.VlanInterface.{i}.Enable</t>
    <phoneticPr fontId="24" type="noConversion"/>
  </si>
  <si>
    <t>Enable</t>
    <phoneticPr fontId="24" type="noConversion"/>
  </si>
  <si>
    <t>启用或禁用该接口</t>
    <phoneticPr fontId="24" type="noConversion"/>
  </si>
  <si>
    <t>Device.Ethernet.Interface.{i}.VlanInterface.{i}.IPv4Address.{i}.IPAddress</t>
    <phoneticPr fontId="24" type="noConversion"/>
  </si>
  <si>
    <t>IPAddress</t>
    <phoneticPr fontId="24" type="noConversion"/>
  </si>
  <si>
    <t>IP 地址</t>
    <phoneticPr fontId="24" type="noConversion"/>
  </si>
  <si>
    <t>string(15)</t>
    <phoneticPr fontId="24" type="noConversion"/>
  </si>
  <si>
    <t>/</t>
    <phoneticPr fontId="24" type="noConversion"/>
  </si>
  <si>
    <t>Device.Ethernet.Interface.{i}.VlanInterface.{i}.IPv4Address.{i}.SubnetMask</t>
    <phoneticPr fontId="24" type="noConversion"/>
  </si>
  <si>
    <t>SubnetMask</t>
    <phoneticPr fontId="24" type="noConversion"/>
  </si>
  <si>
    <r>
      <t>v</t>
    </r>
    <r>
      <rPr>
        <sz val="11"/>
        <color indexed="8"/>
        <rFont val="宋体"/>
        <family val="3"/>
        <charset val="134"/>
      </rPr>
      <t>lan子接口的子网掩码</t>
    </r>
    <phoneticPr fontId="24" type="noConversion"/>
  </si>
  <si>
    <t>Device.Ethernet.Interface.{i}.VlanInterface.{i}.IPv4Address.{i}.AddressingType</t>
    <phoneticPr fontId="24" type="noConversion"/>
  </si>
  <si>
    <t>AddressingType</t>
    <phoneticPr fontId="24" type="noConversion"/>
  </si>
  <si>
    <t>外部IP 地址方法</t>
    <phoneticPr fontId="24" type="noConversion"/>
  </si>
  <si>
    <t>"DHCP","Static"</t>
    <phoneticPr fontId="24" type="noConversion"/>
  </si>
  <si>
    <t>Device.Ethernet.Interface.{i}.VlanInterface.{i}.IPv4Address.{i}.DefaultGateway</t>
    <phoneticPr fontId="24" type="noConversion"/>
  </si>
  <si>
    <t>DefaultGateway</t>
    <phoneticPr fontId="24" type="noConversion"/>
  </si>
  <si>
    <r>
      <t>v</t>
    </r>
    <r>
      <rPr>
        <sz val="11"/>
        <color indexed="8"/>
        <rFont val="宋体"/>
        <family val="3"/>
        <charset val="134"/>
      </rPr>
      <t>lan子</t>
    </r>
    <r>
      <rPr>
        <sz val="11"/>
        <color indexed="8"/>
        <rFont val="宋体"/>
        <family val="3"/>
        <charset val="134"/>
      </rPr>
      <t>接口的默认网关</t>
    </r>
    <phoneticPr fontId="24" type="noConversion"/>
  </si>
  <si>
    <t>string(64)</t>
    <phoneticPr fontId="24" type="noConversion"/>
  </si>
  <si>
    <t>Device.Ethernet.Interface.{i}.MACAddress</t>
    <phoneticPr fontId="53" type="noConversion"/>
  </si>
  <si>
    <t>Device.Ethernet.Interface.{i}.Name</t>
    <phoneticPr fontId="53" type="noConversion"/>
  </si>
  <si>
    <t>（Ng, Xn, Ng/Xn, S1, X2, S1/X2, F1, E1, OAM,other）</t>
    <phoneticPr fontId="53" type="noConversion"/>
  </si>
  <si>
    <t>Device.Ethernet.Interface.{i}.DuplexMode</t>
    <phoneticPr fontId="53" type="noConversion"/>
  </si>
  <si>
    <t>外部IP 地址方法</t>
    <phoneticPr fontId="53" type="noConversion"/>
  </si>
  <si>
    <t>Device.Services.FAPService.{i}.CellConfig.{i}.NR.RAN.RF.PhyCellID</t>
    <phoneticPr fontId="53" type="noConversion"/>
  </si>
  <si>
    <t>NumOfTxAntenna</t>
    <phoneticPr fontId="53" type="noConversion"/>
  </si>
  <si>
    <t>NumOfRxAntenna</t>
    <phoneticPr fontId="53" type="noConversion"/>
  </si>
  <si>
    <t xml:space="preserve">Device.Services.FAPService.{i}.CellConfig.{i}.NR.RAN.PHY.Antenna.NumOfRxAntenna </t>
    <phoneticPr fontId="53" type="noConversion"/>
  </si>
  <si>
    <t>发射通道数</t>
    <phoneticPr fontId="53" type="noConversion"/>
  </si>
  <si>
    <t>接收通道数</t>
    <phoneticPr fontId="53" type="noConversion"/>
  </si>
  <si>
    <t>unsignedInt[1:4]</t>
    <phoneticPr fontId="53" type="noConversion"/>
  </si>
  <si>
    <t>小基站发射通道的数量</t>
    <phoneticPr fontId="53" type="noConversion"/>
  </si>
  <si>
    <t>小基站接收通道的数量</t>
    <phoneticPr fontId="53" type="noConversion"/>
  </si>
  <si>
    <t>Device.Time.LocalTimeZoneName</t>
    <phoneticPr fontId="53" type="noConversion"/>
  </si>
  <si>
    <t>LocalTimeZoneName</t>
    <phoneticPr fontId="53" type="noConversion"/>
  </si>
  <si>
    <t>SerialNumber</t>
    <phoneticPr fontId="53" type="noConversion"/>
  </si>
  <si>
    <t>序列号</t>
    <phoneticPr fontId="53" type="noConversion"/>
  </si>
  <si>
    <t>Device.DeviceInfo.MU.{i}.Slot.{i}.EU.{i}</t>
    <phoneticPr fontId="24" type="noConversion"/>
  </si>
  <si>
    <r>
      <rPr>
        <sz val="9"/>
        <color theme="1"/>
        <rFont val="Times New Roman"/>
        <family val="1"/>
      </rPr>
      <t>MR</t>
    </r>
    <r>
      <rPr>
        <sz val="9"/>
        <color theme="1"/>
        <rFont val="宋体"/>
        <family val="3"/>
        <charset val="134"/>
      </rPr>
      <t>采集周期</t>
    </r>
    <r>
      <rPr>
        <sz val="9"/>
        <color theme="1"/>
        <rFont val="Times New Roman"/>
        <family val="1"/>
      </rPr>
      <t>[1:] (1</t>
    </r>
    <r>
      <rPr>
        <sz val="9"/>
        <color theme="1"/>
        <rFont val="宋体"/>
        <family val="3"/>
        <charset val="134"/>
      </rPr>
      <t>及</t>
    </r>
    <r>
      <rPr>
        <sz val="9"/>
        <color theme="1"/>
        <rFont val="Times New Roman"/>
        <family val="1"/>
      </rPr>
      <t>1</t>
    </r>
    <r>
      <rPr>
        <sz val="9"/>
        <color theme="1"/>
        <rFont val="宋体"/>
        <family val="3"/>
        <charset val="134"/>
      </rPr>
      <t>的倍数，单位分钟</t>
    </r>
    <r>
      <rPr>
        <sz val="9"/>
        <color theme="1"/>
        <rFont val="Times New Roman"/>
        <family val="1"/>
      </rPr>
      <t>)</t>
    </r>
    <phoneticPr fontId="53" type="noConversion"/>
  </si>
  <si>
    <t>Device.Services.FAPService.{i}.CellConfig.{i}.NR.VoNR.PdcpInitParam.{i}.</t>
    <phoneticPr fontId="53" type="noConversion"/>
  </si>
  <si>
    <t>Device.FAP.SCMgmt.Config.{i}.SCGID</t>
    <phoneticPr fontId="53" type="noConversion"/>
  </si>
  <si>
    <t>Device.Services.FAPService.{i}.CellConfig.{i}.NR.RAN.PHY.Antenna.NumOfTxAntenna</t>
    <phoneticPr fontId="53" type="noConversion"/>
  </si>
  <si>
    <t>boolean</t>
    <phoneticPr fontId="53" type="noConversion"/>
  </si>
  <si>
    <t>0:关闭
1:开启</t>
    <phoneticPr fontId="53" type="noConversion"/>
  </si>
  <si>
    <t>OpState</t>
    <phoneticPr fontId="24" type="noConversion"/>
  </si>
  <si>
    <t>基站运行状态</t>
    <phoneticPr fontId="24" type="noConversion"/>
  </si>
  <si>
    <t>CA</t>
    <phoneticPr fontId="24" type="noConversion"/>
  </si>
  <si>
    <t>0:禁止
1:启动</t>
    <phoneticPr fontId="24" type="noConversion"/>
  </si>
  <si>
    <t>TR系列规范(TR098/TR181/TR197)</t>
  </si>
  <si>
    <t>Device.Services.FAPService.{i}.CellConfig.{i}.NR.Capabilities.SupportActiveRRCNumbers</t>
    <phoneticPr fontId="53" type="noConversion"/>
  </si>
  <si>
    <t>Device.Services.FAPService.{i}.CellConfig.{i}.NR.RAN.OpState</t>
    <phoneticPr fontId="24" type="noConversion"/>
  </si>
  <si>
    <t>小区状态参数</t>
    <phoneticPr fontId="53" type="noConversion"/>
  </si>
  <si>
    <t>R</t>
    <phoneticPr fontId="53" type="noConversion"/>
  </si>
  <si>
    <r>
      <t xml:space="preserve">修订：
</t>
    </r>
    <r>
      <rPr>
        <b/>
        <sz val="11"/>
        <color rgb="FFC00000"/>
        <rFont val="宋体"/>
        <family val="3"/>
        <charset val="134"/>
      </rPr>
      <t>SA 页：</t>
    </r>
    <r>
      <rPr>
        <sz val="11"/>
        <color indexed="8"/>
        <rFont val="宋体"/>
        <family val="3"/>
        <charset val="134"/>
      </rPr>
      <t xml:space="preserve">
1.设备信息参数管理，会议讨论决定Device.DeviceInfo.后增加 MU.{i}.表示机框；
2.设备信息参数管理，会议讨论决定Device.DeviceInfo.后增加 MU.{i}.Slot.{i}.表示槽位板卡；
3.设备信息参数管理，会议讨论决定定义Device.DeviceInfo.MU.{i}.Slot.{i}.EU.{i}.表示 EU，并将SR页 EU设备级 参数融合到该对象中；
4.设备信息参数管理，会议讨论决定定义Device.DeviceInfo.MU.{i}.Slot.{i}.EU.{i}.RU.{i}.表示 RU，并将SR页 RU设备级 参数融合到该对象中；
5.按照机框板卡定义参数
</t>
    </r>
    <r>
      <rPr>
        <b/>
        <sz val="11"/>
        <color rgb="FFC00000"/>
        <rFont val="宋体"/>
        <family val="3"/>
        <charset val="134"/>
      </rPr>
      <t>SB 页：</t>
    </r>
    <r>
      <rPr>
        <sz val="11"/>
        <color indexed="8"/>
        <rFont val="宋体"/>
        <family val="3"/>
        <charset val="134"/>
      </rPr>
      <t xml:space="preserve">
1.增加系统当前版本说明，指gNB整体大版本，MU、EU、RU各自版本号在SA页的软件版本中查询
2.激活备份版本由A改为CB
SH 页：
1. 删除小区最大发射功率
</t>
    </r>
    <r>
      <rPr>
        <b/>
        <sz val="11"/>
        <color rgb="FFC00000"/>
        <rFont val="宋体"/>
        <family val="3"/>
        <charset val="134"/>
      </rPr>
      <t>ST 页：</t>
    </r>
    <r>
      <rPr>
        <sz val="11"/>
        <color indexed="8"/>
        <rFont val="宋体"/>
        <family val="3"/>
        <charset val="134"/>
      </rPr>
      <t xml:space="preserve">
1. 扩展型一体化皮站-主单元（MU）参数管理，Device.Services.FAPService.{i}.FAPControl.LTE.SourcedSignalEnable和
Device.Services.FAPService.{i}.FAPControl.LTE.SourcedSignalEnable参数，经会议讨论，京信、锐捷、赛特斯、H3C厂商并没有该参数，建议移除
2. 扩展型一体化皮站-扩展单元（EU）参数管理，经会议讨论EU的参数除Device.DeviceInfo.EU.{i}.Reboot外融合到 SA页设备管理参数中
3. 扩展型一体化皮站-远端单元（RU）参数管理，经会议讨论除Device.DeviceInfo.EU.{i}.RU.{i}.Reboot、Device.DeviceInfo.EU.{i}.RU.{i}.MaxTxPower、Device.DeviceInfo.EU.{i}.RU.{i}.RFTxStatus及
Device.DeviceInfo.EU.{i}.RU.{i}.LTECell.{i}.ECI外，其他参数融合到 SA页
4.修订RW类可配置参数的路径，由Device.DeviceInfo.改为Device.Services.FAPService.{i}.FAPControl.
5.增加本地分流规则模型
v1.1.0.3</t>
    </r>
    <r>
      <rPr>
        <b/>
        <sz val="11"/>
        <color rgb="FFC00000"/>
        <rFont val="宋体"/>
        <family val="3"/>
        <charset val="134"/>
      </rPr>
      <t>SF 页：</t>
    </r>
    <r>
      <rPr>
        <sz val="11"/>
        <color indexed="8"/>
        <rFont val="宋体"/>
        <family val="3"/>
        <charset val="134"/>
      </rPr>
      <t xml:space="preserve">
1.修订Device.Services.FAPService.{i}.CellConfig.NR.5GC.PLMNList{i}.为Device.Services.FAPService.{i}.CellConfig.NR.5GC.PLMNList
2.修订Xn接口，增加NR.级别
3.修订AMF地址，由Cellconfig改为FAPControl
4.Device.Services.FAPService.{i}.Capabilities.MaxTxPower修改为Device.Services.FAPService.{i}.CellConfig.NR.MaxTxPower
</t>
    </r>
    <r>
      <rPr>
        <b/>
        <sz val="11"/>
        <color rgb="FFC00000"/>
        <rFont val="宋体"/>
        <family val="3"/>
        <charset val="134"/>
      </rPr>
      <t>SE 页：</t>
    </r>
    <r>
      <rPr>
        <sz val="11"/>
        <color indexed="8"/>
        <rFont val="宋体"/>
        <family val="3"/>
        <charset val="134"/>
      </rPr>
      <t xml:space="preserve">
1.增加日志告警级别
</t>
    </r>
    <r>
      <rPr>
        <b/>
        <sz val="11"/>
        <color rgb="FFC00000"/>
        <rFont val="宋体"/>
        <family val="3"/>
        <charset val="134"/>
      </rPr>
      <t>SN 页：</t>
    </r>
    <r>
      <rPr>
        <sz val="11"/>
        <color indexed="8"/>
        <rFont val="宋体"/>
        <family val="3"/>
        <charset val="134"/>
      </rPr>
      <t xml:space="preserve">
1.增加Interface名称Name
2.修改“外部IP地址”为“IP地址”
3.将Device.IP.Interface.{i}.修改为Device.Ethernet.Interface.{i}
</t>
    </r>
    <r>
      <rPr>
        <b/>
        <sz val="11"/>
        <color rgb="FFC00000"/>
        <rFont val="宋体"/>
        <family val="3"/>
        <charset val="134"/>
      </rPr>
      <t>SF 页：</t>
    </r>
    <r>
      <rPr>
        <sz val="11"/>
        <color indexed="8"/>
        <rFont val="宋体"/>
        <family val="3"/>
        <charset val="134"/>
      </rPr>
      <t xml:space="preserve">
1.新加SF页，定义基站级管理参数
</t>
    </r>
    <r>
      <rPr>
        <b/>
        <sz val="11"/>
        <color rgb="FFC00000"/>
        <rFont val="宋体"/>
        <family val="3"/>
        <charset val="134"/>
      </rPr>
      <t>SG 页：</t>
    </r>
    <r>
      <rPr>
        <sz val="11"/>
        <color indexed="8"/>
        <rFont val="宋体"/>
        <family val="3"/>
        <charset val="134"/>
      </rPr>
      <t xml:space="preserve">
1.新加SG页，定义基站级能力参数
ST页：
1.新增软采配置
SK页：
1.修订RNAU周期由Enumerate改为UnsignInt</t>
    </r>
    <phoneticPr fontId="53" type="noConversion"/>
  </si>
  <si>
    <t>unsignedInt[1:65535]</t>
    <phoneticPr fontId="53" type="noConversion"/>
  </si>
  <si>
    <r>
      <rPr>
        <sz val="9"/>
        <color theme="1"/>
        <rFont val="Times New Roman"/>
        <family val="1"/>
      </rPr>
      <t>MR</t>
    </r>
    <r>
      <rPr>
        <sz val="9"/>
        <color theme="1"/>
        <rFont val="宋体"/>
        <family val="3"/>
        <charset val="134"/>
      </rPr>
      <t>采样周期（</t>
    </r>
    <r>
      <rPr>
        <sz val="9"/>
        <color theme="1"/>
        <rFont val="Times New Roman"/>
        <family val="1"/>
      </rPr>
      <t>[2048,5120,10240,60000,360000,720000,1800000,3600000],(</t>
    </r>
    <r>
      <rPr>
        <sz val="9"/>
        <color theme="1"/>
        <rFont val="宋体"/>
        <family val="3"/>
        <charset val="134"/>
      </rPr>
      <t>单位毫秒</t>
    </r>
    <r>
      <rPr>
        <sz val="9"/>
        <color theme="1"/>
        <rFont val="Times New Roman"/>
        <family val="1"/>
      </rPr>
      <t>)</t>
    </r>
    <phoneticPr fontId="53" type="noConversion"/>
  </si>
  <si>
    <t>"DHCP","Static"</t>
    <phoneticPr fontId="53" type="noConversion"/>
  </si>
  <si>
    <t>Device.Ethernet.Interface.{i}.IPv4Address.{i}.SubnetMask</t>
    <phoneticPr fontId="53" type="noConversion"/>
  </si>
  <si>
    <t>MeasurePurpose</t>
    <phoneticPr fontId="53" type="noConversion"/>
  </si>
  <si>
    <t>用于表明当前配置事件的使用目的，厂家自定义测量事件从10开始定义</t>
    <phoneticPr fontId="53" type="noConversion"/>
  </si>
  <si>
    <t>Device.Services.FAPService.{i}.FAPControl.LocalBreakout.IpRules.RuleList.{i}.SourceIPv6</t>
    <phoneticPr fontId="24" type="noConversion"/>
  </si>
  <si>
    <t>源端IPv6地址</t>
    <phoneticPr fontId="24" type="noConversion"/>
  </si>
  <si>
    <t>源端前缀长度</t>
    <phoneticPr fontId="24" type="noConversion"/>
  </si>
  <si>
    <t>unsignedInt[1:128]</t>
  </si>
  <si>
    <t>目的端IPv6地址</t>
    <phoneticPr fontId="24" type="noConversion"/>
  </si>
  <si>
    <t>目的端前缀长度</t>
    <phoneticPr fontId="24" type="noConversion"/>
  </si>
  <si>
    <t>Device.Ethernet.Interface.{i}.IPv6Address.{i}.IPAddress</t>
    <phoneticPr fontId="24" type="noConversion"/>
  </si>
  <si>
    <t>IPv6 地址</t>
    <phoneticPr fontId="24" type="noConversion"/>
  </si>
  <si>
    <t>Device.Ethernet.Interface.{i}.IPv6Address.{i}.PrefixLength</t>
    <phoneticPr fontId="24" type="noConversion"/>
  </si>
  <si>
    <t>PrefixLength</t>
    <phoneticPr fontId="24" type="noConversion"/>
  </si>
  <si>
    <t>前缀长度</t>
    <phoneticPr fontId="24" type="noConversion"/>
  </si>
  <si>
    <t>unsignedInt[1:128]</t>
    <phoneticPr fontId="24" type="noConversion"/>
  </si>
  <si>
    <t>Device.Ethernet.Interface.{i}.IPv6Address.{i}.Origin</t>
    <phoneticPr fontId="24" type="noConversion"/>
  </si>
  <si>
    <t>Origin</t>
    <phoneticPr fontId="24" type="noConversion"/>
  </si>
  <si>
    <t>外部IP 来源</t>
    <phoneticPr fontId="24" type="noConversion"/>
  </si>
  <si>
    <t>"DHCPv6","Static"</t>
    <phoneticPr fontId="24" type="noConversion"/>
  </si>
  <si>
    <t>Device.Ethernet.Interface.{i}.IPv6Address.{i}.PortType</t>
    <phoneticPr fontId="24" type="noConversion"/>
  </si>
  <si>
    <t>描述对应IP地址的作用</t>
  </si>
  <si>
    <t>Device.Ethernet.Interface.{i}.VlanInterface.{i}.IPv6Address.{i}.IPAddress</t>
    <phoneticPr fontId="24" type="noConversion"/>
  </si>
  <si>
    <t>Device.Ethernet.Interface.{i}.VlanInterface.{i}.IPv6Address.{i}.PrefixLength</t>
    <phoneticPr fontId="24" type="noConversion"/>
  </si>
  <si>
    <t>Device.Ethernet.Interface.{i}.VlanInterface.{i}.IPv6Address.{i}.Origin</t>
    <phoneticPr fontId="24" type="noConversion"/>
  </si>
  <si>
    <t>Device.Ethernet.Interface.{i}.VlanInterface.{i}.IPv6Address.{i}.PortType</t>
    <phoneticPr fontId="24" type="noConversion"/>
  </si>
  <si>
    <t>Ipversion</t>
    <phoneticPr fontId="53" type="noConversion"/>
  </si>
  <si>
    <t>IP版本</t>
    <phoneticPr fontId="53" type="noConversion"/>
  </si>
  <si>
    <t>/</t>
    <phoneticPr fontId="53" type="noConversion"/>
  </si>
  <si>
    <t>RW</t>
    <phoneticPr fontId="53" type="noConversion"/>
  </si>
  <si>
    <t>unsignedInt[1:3]</t>
    <phoneticPr fontId="53" type="noConversion"/>
  </si>
  <si>
    <t>unsignedInt[1:2]</t>
    <phoneticPr fontId="53" type="noConversion"/>
  </si>
  <si>
    <t>1:IPv4
2:IPv6</t>
    <phoneticPr fontId="53" type="noConversion"/>
  </si>
  <si>
    <t>V1.1.2</t>
    <phoneticPr fontId="53" type="noConversion"/>
  </si>
  <si>
    <t>SH页：
增加IPv6参数
SO页：
增加IPv6
ST页：
修改SCAIP为string64</t>
    <phoneticPr fontId="53" type="noConversion"/>
  </si>
  <si>
    <t>李响</t>
    <phoneticPr fontId="53" type="noConversion"/>
  </si>
  <si>
    <t>string(150)</t>
    <phoneticPr fontId="53" type="noConversion"/>
  </si>
  <si>
    <t>Device.Services.FAPService.{i}.FAPControl.NR.AMFPoolConfigParam.{i}.AmfName</t>
    <phoneticPr fontId="53" type="noConversion"/>
  </si>
  <si>
    <t>V1.1.2</t>
    <phoneticPr fontId="53" type="noConversion"/>
  </si>
  <si>
    <t>RemoteAddress</t>
    <phoneticPr fontId="53" type="noConversion"/>
  </si>
  <si>
    <t>Device.Services.FAPService.{i}.FAPControl.NR.XnIpAddrMapInfo.{i}.RemoteAddress</t>
    <phoneticPr fontId="53" type="noConversion"/>
  </si>
  <si>
    <t>R</t>
    <phoneticPr fontId="53" type="noConversion"/>
  </si>
  <si>
    <t>LocalAddress</t>
    <phoneticPr fontId="53" type="noConversion"/>
  </si>
  <si>
    <t>Device.Services.FAPService.{i}.FAPControl.NR.XnIpAddrMapInfo.{i}.LocalAddress</t>
    <phoneticPr fontId="53" type="noConversion"/>
  </si>
  <si>
    <t>Device.Services.FAPService.{i}.FAPControl.NR.XnIpAddrMapInfo.{i}.SubnetMask</t>
    <phoneticPr fontId="53" type="noConversion"/>
  </si>
  <si>
    <t>Device.Ethernet.Interface.{i}.IPv4Address.{i}.IPAddress</t>
    <phoneticPr fontId="53" type="noConversion"/>
  </si>
  <si>
    <t>Device.Services.FAPService.{i}.CellConfig.{i}.NR.RAN.NeighborList.NRCell.{i}.ssbFrequency</t>
    <phoneticPr fontId="53" type="noConversion"/>
  </si>
  <si>
    <t>小区载频的SSB ARFCN</t>
    <phoneticPr fontId="53" type="noConversion"/>
  </si>
  <si>
    <t>Device.Services.FAPService.{i}.CellConfig.{i}.NR.RAN.RF.NRARFCNUL</t>
    <phoneticPr fontId="53" type="noConversion"/>
  </si>
  <si>
    <t>Device.Services.FAPService.{i}.CellConfig.{i}.NR.RAN.SysInfoCtrlParam.IdleModeRATMobile.{i}.MultiBandInfoListSIB5</t>
    <phoneticPr fontId="53" type="noConversion"/>
  </si>
  <si>
    <t>Device.Services.FAPService.{i}.CellConfig.{i}.NR.RAN.SysInfoCtrlParam.MultiBandInfoListSIB1</t>
    <phoneticPr fontId="53" type="noConversion"/>
  </si>
  <si>
    <t>供运营商使用的小区预留标志
{0：notReserved，1：reserved}</t>
    <phoneticPr fontId="53" type="noConversion"/>
  </si>
  <si>
    <t>unsignedInt[0:7200]</t>
    <phoneticPr fontId="53" type="noConversion"/>
  </si>
  <si>
    <t>Device.Services.FAPService.{i}.CellConfig.{i}.NR.Capabilities.UeInactiveTimer</t>
    <phoneticPr fontId="53" type="noConversion"/>
  </si>
  <si>
    <t>SF页：
Device.Services.FAPService.{i}.FAPControl.NR.AMFPoolConfigParam.{i}.AmfName参数类型修订为string（150）；
Device.Services.FAPService.{i}.FAPControl.NR.XnIpAddrMapInfo.{i}.remoteaddress修改为Device.Services.FAPService.{i}.FAPControl.NR.XnIpAddrMapInfo.{i}.RemoteAddress；
Device.Services.FAPService.{i}.FAPControl.NR.XnIpAddrMapInfo.{i}.SubnetMask修改为只读属性；
Device.Services.FAPService.{i}.FAPControl.NR.XnIpAddrMapInfo.{i}.localaddress修改为Device.Services.FAPService.{i}.FAPControl.NR.XnIpAddrMapInfo.{i}.LocalAddress，属性修改为只读；
SH页：
修订标题为本地分流策略管理
SJ页：
增加Device.Services.FAPService.{i}.CellConfig.{i}.NR.RAN.RF.SsbFrequency
Device.Services.FAPService.{i}.CellConfig.{i}.NR.RAN.RF.NRARFCNUL和Device.Services.FAPService.{i}.CellConfig.{i}.NR.RAN.RF.NRARFCNDL数据类型修订为unsignInt[1:3279165];
Device.Services.FAPService.{i}.CellConfig.{i}.NR.RAN.SysInfoCtrlParam.MultiBandInfoListSIB5修订为Device.Services.FAPService.{i}.CellConfig.{i}.NR.RAN.SysInfoCtrlParam.IdleModeRATMobile.{i}.MultiBandInfoListSIB5；
Device.Services.FAPService.{i}.CellConfig.{i}.NR.Capabilities.UeInactiveTimer修改取值范围为[0:7200]</t>
    <phoneticPr fontId="53" type="noConversion"/>
  </si>
  <si>
    <t>Device.Services.FAPService.{i}.FAPControl.LocalBreakout.IpRules.RuleList.{i}.IPversion</t>
    <phoneticPr fontId="53" type="noConversion"/>
  </si>
  <si>
    <t>V1.1.2</t>
    <phoneticPr fontId="53" type="noConversion"/>
  </si>
  <si>
    <t>Device.Services.FAPService.{i}.FAPControl.NR.XnIpAddrMapInfo.{i}.TAISupportList.{i}.TAC</t>
    <phoneticPr fontId="53" type="noConversion"/>
  </si>
  <si>
    <t>/</t>
    <phoneticPr fontId="53" type="noConversion"/>
  </si>
  <si>
    <t>3GPP,TS38.423,9.2.3.20</t>
    <phoneticPr fontId="53" type="noConversion"/>
  </si>
  <si>
    <t>Xn链接信息</t>
    <phoneticPr fontId="53" type="noConversion"/>
  </si>
  <si>
    <t>Device.Services.FAPService.{i}.CellConfig.{i}.NR.RAN.PHY.FrequencyInfoDLSIB.ScsSpecificCarrierList.{i}.SCSSpecificCarrier.OffsetToCarrier</t>
    <phoneticPr fontId="53" type="noConversion"/>
  </si>
  <si>
    <t>R</t>
    <phoneticPr fontId="53" type="noConversion"/>
  </si>
  <si>
    <t>Device.Services.FAPService.{i}.CellConfig.{i}.NR.RAN.PHY.BWP.BWPDL.{i}.DlBWPId</t>
    <phoneticPr fontId="53" type="noConversion"/>
  </si>
  <si>
    <t>DlBWPId</t>
    <phoneticPr fontId="53" type="noConversion"/>
  </si>
  <si>
    <t>UlBWPId</t>
    <phoneticPr fontId="53" type="noConversion"/>
  </si>
  <si>
    <t>下行BWP标识符</t>
    <phoneticPr fontId="53" type="noConversion"/>
  </si>
  <si>
    <t>上行BWP标识符</t>
    <phoneticPr fontId="53" type="noConversion"/>
  </si>
  <si>
    <t>3GPP TS38.332</t>
  </si>
  <si>
    <t>Device.Services.FAPService.{i}.CellConfig.{i}.NR.RAN.PHY.SSB.SsbPositionsInBurst.InOneGroup</t>
    <phoneticPr fontId="53" type="noConversion"/>
  </si>
  <si>
    <t>Device.Services.FAPService.{i}.CellConfig.{i}.NR.RAN.PHY.TimeAlignmentTimerCommon</t>
    <phoneticPr fontId="53" type="noConversion"/>
  </si>
  <si>
    <t>unsignedInt[0:3]</t>
    <phoneticPr fontId="53" type="noConversion"/>
  </si>
  <si>
    <t>Device.Services.FAPService.{i}.CellConfig.{i}.NR.RAN.PHY.BWP.BWPDL.{i}.StartPrbPosition</t>
    <phoneticPr fontId="53" type="noConversion"/>
  </si>
  <si>
    <t>Device.Services.FAPService.{i}.CellConfig.{i}.NR.RAN.PHY.BWP.BWPDL.{i}.Bandwidth</t>
    <phoneticPr fontId="53" type="noConversion"/>
  </si>
  <si>
    <t>Device.Services.FAPService.{i}.CellConfig.{i}.NR.RAN.PHY.BWP.BWPDL.{i}.SubcarrierSpacing</t>
    <phoneticPr fontId="53" type="noConversion"/>
  </si>
  <si>
    <t>Device.Services.FAPService.{i}.CellConfig.{i}.NR.RAN.PHY.BWP.BWPDL.{i}.CyclicPrefix</t>
    <phoneticPr fontId="53" type="noConversion"/>
  </si>
  <si>
    <t>Device.Services.FAPService.{i}.CellConfig.{i}.NR.RAN.PHY.BWP.BWPUL.{i}.StartPrbPosition</t>
    <phoneticPr fontId="53" type="noConversion"/>
  </si>
  <si>
    <t>Device.Services.FAPService.{i}.CellConfig.{i}.NR.RAN.PHY.BWP.BWPUL.{i}.Bandwidth</t>
    <phoneticPr fontId="53" type="noConversion"/>
  </si>
  <si>
    <t>Device.Services.FAPService.{i}.CellConfig.{i}.NR.RAN.PHY.BWP.BWPUL.{i}.SubcarrierSpacing</t>
    <phoneticPr fontId="53" type="noConversion"/>
  </si>
  <si>
    <t>Device.Services.FAPService.{i}.CellConfig.{i}.NR.RAN.PHY.BWP.BWPUL.{i}.CyclicPrefix</t>
    <phoneticPr fontId="53" type="noConversion"/>
  </si>
  <si>
    <t>unsignedInt[0:16383]</t>
    <phoneticPr fontId="53" type="noConversion"/>
  </si>
  <si>
    <t>unsignedInt[0:7]</t>
    <phoneticPr fontId="53" type="noConversion"/>
  </si>
  <si>
    <t>unsignedInt[0:6]</t>
    <phoneticPr fontId="53" type="noConversion"/>
  </si>
  <si>
    <t>unsignedInt[0:6]</t>
    <phoneticPr fontId="53" type="noConversion"/>
  </si>
  <si>
    <t>小区重选定时器，取值范围：[0~6] [min5,min10,min20,min30,min60,min120,min180]</t>
    <phoneticPr fontId="53" type="noConversion"/>
  </si>
  <si>
    <t>SF页：
1.Device.Services.FAPService.{i}.FAPControl.NR.XnIpAddrMapInfo.{i}.TAC修订为TAISupportList.{i}.TAC
2.增加Device.Services.FAPService.{i}.FAPControl.NR.XnIpAddrMapInfo.{i}.BoardcastPLMNs.PLMNID
3.删除Device.Services.FAPService.{i}.FAPControl.NR.XnIpAddrMapInfo.{i}.PLMNID
SK页：
1.Device.Services.FAPService.{i}.CellConfig.{i}.NR.RAN.PHY.FrequencyInfoDLSIB.OffsetToPointA修订为只读
2.删除Device.Services.FAPService.{i}.CellConfig.{i}.NR.RAN.PHY.FrequencyInfoULSIB.AbsoluteFrequencyPointA计算得到不需要配置，删除
3.删除Device.Services.FAPService.{i}.CellConfig.{i}.NR.RAN.PHY.SSB.SsPBCHBlockPower重复配置SJ
4.Device.Services.FAPService.{i}.CellConfig.{i}.NR.RAN.PHY.SSB.SsbSubcarrierOffset修改只读
5.增加BWP及对应信道参数修改</t>
    <phoneticPr fontId="53" type="noConversion"/>
  </si>
  <si>
    <t>VoSupport</t>
    <phoneticPr fontId="53" type="noConversion"/>
  </si>
  <si>
    <t>VoNR支持标识</t>
    <phoneticPr fontId="53" type="noConversion"/>
  </si>
  <si>
    <t>/</t>
    <phoneticPr fontId="53" type="noConversion"/>
  </si>
  <si>
    <t>R</t>
    <phoneticPr fontId="53" type="noConversion"/>
  </si>
  <si>
    <t>boolean</t>
    <phoneticPr fontId="53" type="noConversion"/>
  </si>
  <si>
    <t>0:不支持
1:支持</t>
    <phoneticPr fontId="53" type="noConversion"/>
  </si>
  <si>
    <t>自定义</t>
    <phoneticPr fontId="53" type="noConversion"/>
  </si>
  <si>
    <t>V1.1.2</t>
    <phoneticPr fontId="53" type="noConversion"/>
  </si>
  <si>
    <t>Device.Services.FAPService.{i}.CellConfig.{i}.NR.RAN.PHY.TddULDLConfigurationCommon.pattern2.DlULTransmissionPeriodicity</t>
    <phoneticPr fontId="53" type="noConversion"/>
  </si>
  <si>
    <t>Device.Services.FAPService.{i}.CellConfig.{i}.NR.RAN.Mobility.IdleMode.EUTRA.Carrier.{i}.TReselectionEUTRA</t>
    <phoneticPr fontId="53" type="noConversion"/>
  </si>
  <si>
    <t>Device.Services.FAPService.{i}.CellConfig.{i}.NR.RAN.Mobility.IdleMode.EUTRA.Carrier.{i}.EUTRACarrierARFCN</t>
    <phoneticPr fontId="53" type="noConversion"/>
  </si>
  <si>
    <t>EUTRACarrierARFCN</t>
    <phoneticPr fontId="53" type="noConversion"/>
  </si>
  <si>
    <t>邻区EARFCN</t>
    <phoneticPr fontId="53" type="noConversion"/>
  </si>
  <si>
    <t>unsignedInt[0:65535]</t>
    <phoneticPr fontId="24" type="noConversion"/>
  </si>
  <si>
    <t>TR系列规范(TR098/TR181/TR196)/NRM数据配置要求</t>
    <phoneticPr fontId="24" type="noConversion"/>
  </si>
  <si>
    <t>RW</t>
    <phoneticPr fontId="53" type="noConversion"/>
  </si>
  <si>
    <t>Device.Services.FAPService.{i}.CellConfig.{i}.NR.RAN.Mobility.IdleMode.EUTRA.Carrier.{i}.CellReselectionPriority</t>
    <phoneticPr fontId="53" type="noConversion"/>
  </si>
  <si>
    <t>Device.Services.FAPService.{i}.CellConfig.{i}.NR.RAN.Mobility.IdleMode.EUTRA.Carrier.{i}.ThreshXHigh</t>
    <phoneticPr fontId="53" type="noConversion"/>
  </si>
  <si>
    <t>Device.Services.FAPService.{i}.CellConfig.{i}.NR.RAN.Mobility.IdleMode.EUTRA.Carrier.{i}.ThreshXLow</t>
    <phoneticPr fontId="53" type="noConversion"/>
  </si>
  <si>
    <t>Device.Services.FAPService.{i}.CellConfig.{i}.NR.RAN.Mobility.IdleMode.EUTRA.Carrier.{i}.QRxLevMin</t>
    <phoneticPr fontId="53" type="noConversion"/>
  </si>
  <si>
    <t>Device.Services.FAPService.{i}.CellConfig.{i}.NR.RAN.Mobility.IdleMode.EUTRA.Carrier.{i}.QQualMin</t>
    <phoneticPr fontId="53" type="noConversion"/>
  </si>
  <si>
    <t>Device.Services.FAPService.{i}.CellConfig.{i}.NR.RAN.Mobility.IdleMode.EUTRA.Carrier.{i}.PMaxEUTRA</t>
    <phoneticPr fontId="53" type="noConversion"/>
  </si>
  <si>
    <t>Device.Services.FAPService.{i}.CellConfig.{i}.NR.RAN.Mobility.IdleMode.EUTRA.Carrier.{i}.ThreshXHighQ</t>
    <phoneticPr fontId="53" type="noConversion"/>
  </si>
  <si>
    <t>Device.Services.FAPService.{i}.CellConfig.{i}.NR.RAN.Mobility.IdleMode.EUTRA.Carrier.{i}.ThreshXLowQ</t>
    <phoneticPr fontId="53" type="noConversion"/>
  </si>
  <si>
    <t>Device.Services.FAPService.{i}.CellConfig.{i}.NR.RAN.Mobility.IdleMode.EUTRA.Carrier.{i}.AllowedMeasBandwidth</t>
    <phoneticPr fontId="53" type="noConversion"/>
  </si>
  <si>
    <t>Device.Services.FAPService.{i}.CellConfig.{i}.NR.RAN.Mobility.IdleMode.EUTRA.Carrier.{i}.PresenceAntennaPort1</t>
    <phoneticPr fontId="53" type="noConversion"/>
  </si>
  <si>
    <t>Device.Services.FAPService.{i}.CellConfig.{i}.NR.RAN.Mobility.IdleMode.EUTRA.Carrier.{i}.BlackPhysCellIdStart</t>
    <phoneticPr fontId="53" type="noConversion"/>
  </si>
  <si>
    <t>Device.Services.FAPService.{i}.CellConfig.{i}.NR.RAN.Mobility.IdleMode.EUTRA.Carrier.{i}.BlackPhysCellIdRange</t>
    <phoneticPr fontId="53" type="noConversion"/>
  </si>
  <si>
    <t>测量报告中的上报量
{rsrp,rsrq,sinr}</t>
    <phoneticPr fontId="53" type="noConversion"/>
  </si>
  <si>
    <t>unsignedInt[0:127]</t>
    <phoneticPr fontId="53" type="noConversion"/>
  </si>
  <si>
    <t>NR触发量为RSRP时,B2事件触发条件的绝对门限1</t>
    <phoneticPr fontId="53" type="noConversion"/>
  </si>
  <si>
    <t>Device.Services.FAPService.{i}.CellConfig.{i}.NR.RAN.Mobility.ConnMode.IRAT.B2MeasureCtrl.1.B2Threshold2EUTRARSRP</t>
    <phoneticPr fontId="53" type="noConversion"/>
  </si>
  <si>
    <t>Device.Services.FAPService.{i}.CellConfig.{i}.NR.RAN.Mobility.ConnMode.IRAT.B2MeasureCtrl.1.B2Threshold2EUTRARSRQ</t>
    <phoneticPr fontId="53" type="noConversion"/>
  </si>
  <si>
    <t>Device.Services.FAPService.{i}.CellConfig.{i}.NR.RAN.Mobility.ConnMode.IRAT.B2MeasureCtrl.1.B2Threshold2EUTRASINR</t>
    <phoneticPr fontId="53" type="noConversion"/>
  </si>
  <si>
    <t>某小区的离开状态满足时,UE是否触发测量上报过程；
0:代表不满足条件的小区离开测量列表时不进行上报；
1:代表都会触发测量结果的填写以及上报消息的发送</t>
    <phoneticPr fontId="53" type="noConversion"/>
  </si>
  <si>
    <t>测量报告发送的次数，0表示无限次</t>
    <phoneticPr fontId="53" type="noConversion"/>
  </si>
  <si>
    <t>unsignedInt[0:2, 4, 8, 16, 32, 64]</t>
    <phoneticPr fontId="53" type="noConversion"/>
  </si>
  <si>
    <t xml:space="preserve">适用于服务小区的滞后值，用来评估小区级别的标准。以dB为单位。对应TS38.331的q-Hyst，dB0对应0，dB1对应1，依次类推，
取值范围：[0~15]
分别代表{dB0, dB1,dB2, dB3, dB4,dB5, dB6, dB8,dB10,dB12,dB14,dB16,dB18,dB20,dB22, dB24}
</t>
    <phoneticPr fontId="53" type="noConversion"/>
  </si>
  <si>
    <t>unsignedInt[0:3]</t>
    <phoneticPr fontId="53" type="noConversion"/>
  </si>
  <si>
    <t>Device.Services.FAPService.{i}.CellConfig.{i}.NR.RAN.Mobility.IdleMode.IntraFreq.CellReselectionSubPriority</t>
    <phoneticPr fontId="53" type="noConversion"/>
  </si>
  <si>
    <t>Device.Services.FAPService.{i}.CellConfig.{i}.NR.RAN.Mobility.IdleMode.IntraFreq.ThreshServingLowQ</t>
    <phoneticPr fontId="53" type="noConversion"/>
  </si>
  <si>
    <t>unsignedInt[0:14]</t>
  </si>
  <si>
    <t>unsignedInt[0:14]</t>
    <phoneticPr fontId="53" type="noConversion"/>
  </si>
  <si>
    <t>Device.Services.FAPService.{i}.CellConfig.{i}.NR.RAN.NeighborList.LTECell.{i}.Qoffset</t>
    <phoneticPr fontId="53" type="noConversion"/>
  </si>
  <si>
    <t>公共切换参数</t>
    <phoneticPr fontId="53" type="noConversion"/>
  </si>
  <si>
    <r>
      <t>需要开启接收干扰功率测量的上行子帧的</t>
    </r>
    <r>
      <rPr>
        <sz val="9"/>
        <color theme="1"/>
        <rFont val="Times New Roman"/>
        <family val="1"/>
      </rPr>
      <t>PRB</t>
    </r>
    <r>
      <rPr>
        <sz val="9"/>
        <color theme="1"/>
        <rFont val="宋体"/>
        <family val="3"/>
        <charset val="134"/>
      </rPr>
      <t>索引。可以选择</t>
    </r>
    <r>
      <rPr>
        <sz val="9"/>
        <color theme="1"/>
        <rFont val="Times New Roman"/>
        <family val="1"/>
      </rPr>
      <t>273</t>
    </r>
    <r>
      <rPr>
        <sz val="9"/>
        <color theme="1"/>
        <rFont val="宋体"/>
        <family val="3"/>
        <charset val="134"/>
      </rPr>
      <t>个</t>
    </r>
    <r>
      <rPr>
        <sz val="9"/>
        <color theme="1"/>
        <rFont val="Times New Roman"/>
        <family val="1"/>
      </rPr>
      <t>PRB</t>
    </r>
    <r>
      <rPr>
        <sz val="9"/>
        <color theme="1"/>
        <rFont val="宋体"/>
        <family val="3"/>
        <charset val="134"/>
      </rPr>
      <t>中的任意多个，例如</t>
    </r>
    <r>
      <rPr>
        <sz val="9"/>
        <color theme="1"/>
        <rFont val="Times New Roman"/>
        <family val="1"/>
      </rPr>
      <t>{0..7,50,273}</t>
    </r>
    <r>
      <rPr>
        <sz val="9"/>
        <color theme="1"/>
        <rFont val="宋体"/>
        <family val="3"/>
        <charset val="134"/>
      </rPr>
      <t>表示选择</t>
    </r>
    <r>
      <rPr>
        <sz val="9"/>
        <color theme="1"/>
        <rFont val="Times New Roman"/>
        <family val="1"/>
      </rPr>
      <t>0</t>
    </r>
    <r>
      <rPr>
        <sz val="9"/>
        <color theme="1"/>
        <rFont val="宋体"/>
        <family val="3"/>
        <charset val="134"/>
      </rPr>
      <t>号到</t>
    </r>
    <r>
      <rPr>
        <sz val="9"/>
        <color theme="1"/>
        <rFont val="Times New Roman"/>
        <family val="1"/>
      </rPr>
      <t>7</t>
    </r>
    <r>
      <rPr>
        <sz val="9"/>
        <color theme="1"/>
        <rFont val="宋体"/>
        <family val="3"/>
        <charset val="134"/>
      </rPr>
      <t>号，</t>
    </r>
    <r>
      <rPr>
        <sz val="9"/>
        <color theme="1"/>
        <rFont val="Times New Roman"/>
        <family val="1"/>
      </rPr>
      <t>50</t>
    </r>
    <r>
      <rPr>
        <sz val="9"/>
        <color theme="1"/>
        <rFont val="宋体"/>
        <family val="3"/>
        <charset val="134"/>
      </rPr>
      <t>号及</t>
    </r>
    <r>
      <rPr>
        <sz val="9"/>
        <color theme="1"/>
        <rFont val="Times New Roman"/>
        <family val="1"/>
      </rPr>
      <t>273</t>
    </r>
    <r>
      <rPr>
        <sz val="9"/>
        <color theme="1"/>
        <rFont val="宋体"/>
        <family val="3"/>
        <charset val="134"/>
      </rPr>
      <t>号共</t>
    </r>
    <r>
      <rPr>
        <sz val="9"/>
        <color theme="1"/>
        <rFont val="Times New Roman"/>
        <family val="1"/>
      </rPr>
      <t>10</t>
    </r>
    <r>
      <rPr>
        <sz val="9"/>
        <color theme="1"/>
        <rFont val="宋体"/>
        <family val="3"/>
        <charset val="134"/>
      </rPr>
      <t>个位置上的</t>
    </r>
    <r>
      <rPr>
        <sz val="9"/>
        <color theme="1"/>
        <rFont val="Times New Roman"/>
        <family val="1"/>
      </rPr>
      <t>PRB</t>
    </r>
    <r>
      <rPr>
        <sz val="9"/>
        <color theme="1"/>
        <rFont val="宋体"/>
        <family val="3"/>
        <charset val="134"/>
      </rPr>
      <t>，其中</t>
    </r>
    <r>
      <rPr>
        <sz val="9"/>
        <color theme="1"/>
        <rFont val="Times New Roman"/>
        <family val="1"/>
      </rPr>
      <t>”..”</t>
    </r>
    <r>
      <rPr>
        <sz val="9"/>
        <color theme="1"/>
        <rFont val="宋体"/>
        <family val="3"/>
        <charset val="134"/>
      </rPr>
      <t>表示连续区间，</t>
    </r>
    <r>
      <rPr>
        <sz val="9"/>
        <color theme="1"/>
        <rFont val="Times New Roman"/>
        <family val="1"/>
      </rPr>
      <t>“,”</t>
    </r>
    <r>
      <rPr>
        <sz val="9"/>
        <color theme="1"/>
        <rFont val="宋体"/>
        <family val="3"/>
        <charset val="134"/>
      </rPr>
      <t>表示分隔</t>
    </r>
    <r>
      <rPr>
        <sz val="9"/>
        <color theme="1"/>
        <rFont val="Times New Roman"/>
        <family val="1"/>
      </rPr>
      <t>;{0,1,2,…273}</t>
    </r>
    <phoneticPr fontId="53" type="noConversion"/>
  </si>
  <si>
    <t>int[0:]</t>
    <phoneticPr fontId="53" type="noConversion"/>
  </si>
  <si>
    <t>Device.Services.FAPService.{i}.CellConfig.{i}.NR.Capabilities.NoisePwdBm</t>
    <phoneticPr fontId="53" type="noConversion"/>
  </si>
  <si>
    <t>Device.FAP.MRMgmt.Config.{i}.PrbNum</t>
    <phoneticPr fontId="53" type="noConversion"/>
  </si>
  <si>
    <t>Device.Services.FAPService.{i}.CellConfig.{i}.NR.Capabilities.PRBNum</t>
    <phoneticPr fontId="53" type="noConversion"/>
  </si>
  <si>
    <t>NoisePwdBm</t>
  </si>
  <si>
    <t>底噪</t>
    <phoneticPr fontId="53" type="noConversion"/>
  </si>
  <si>
    <t>A</t>
    <phoneticPr fontId="53" type="noConversion"/>
  </si>
  <si>
    <t>小区底噪测量</t>
    <phoneticPr fontId="53" type="noConversion"/>
  </si>
  <si>
    <t>SA页：
增加Device.DeviceInfo.MU.{i}.Slot.{i}.EU.{i}.RU.{i}.SwUpgrade.Stage和Device.DeviceInfo.MU.{i}.Slot.{i}.EU.{i}.RU.{i}.SwUpgrade.Status备注说明
修订Device.DeviceInfo.AddEndPoint和Device.DeviceInfo.DelEndPoint描述，修订DelEndPonit为DelEndPoint
增加Device.DeviceInfo.MU.{i}.Slot.{i}.SwUpgrade.failureCause,Device.DeviceInfo.MU.{i}.Slot.{i}.EU.{i}.SwUpgrade.failureCause，Device.DeviceInfo.MU.{i}.Slot.{i}.EU.{i}.RU.{i}.SwUpgrade.FailureCause
修改Device.DeviceInfo.MU.{i}.Slot.{i}.EU.{i}.RU.{i}.RouteIndex的中文名称为“射频单元路由指示”
增加Device.DeviceInfo.MU.{i}.Slot.{i}.EU.{i}.RU.{i}.RouteIndex备注：“MU、EU和RU的端口从1开始”
增加Device.DeviceInfo.MU.{i}.Slot.{i}.EU.{i}.{i}.RouteIndex备注：“MU、EU和RU的端口从1开始”
SK页：
修订RACH-ConfigGeneric为RACHConfigGeneric
修订NR.RAN.PHY.RACHConfigCommon.Msg1Subcarrier Spacing为NR.RAN.PHY.RACHConfigCommon.Msg1SubcarrierSpacing
删除OffsetToPointA、Msg3DeltaPreamble、RootType、TotalNumberOfRAPreambles、RaMsg3SizeGroupA、MessagePowerOffsetGroupB、RsrpThresholdSSB末尾空格
增加Device.Services.FAPService.{i}.CellConfig.{i}.NR.RAN.PHY.Antenna.NumOfTxAntenna和Device.Services.FAPService.{i}.CellConfig.{i}.NR.RAN.PHY.Antenna.NumOfRxAntenna
SM页：
删除IntraFreqReselection、ThresholdRSRP、ThreshXHighP、ThreshXHighQ末尾空格
SS页：
删除PerfMgmt.Config.{i}.Enable、URL、Username、Password、PeriodicUploadInterval末尾空格
ST页：
XnETRIEVEUECONTEXTREQUESTEnable修订为XnRETRIEVEUECONTEXTREQUESTEnable
Device.FAP.SCMgmt.Config.{i}.XnDATAFORWARDINGADDRESSINDICATIONEnable改为：Device.FAP.SCMgmt.Config.{i}.XnUADDRESSINDICATIONEnable                                                               
3.将Device.FAP.SCMgmt.Config.{i}.XnE-UTRA–NRCELLRESOURCECOORDINATIONREQUESTEnable 改为Device.FAP.SCMgmt.Config.{i}.XnE-UTRA-NRCELLRESOURCECOORDINATIONREQUESTEnable（3和4是破折号采用了中文类型的破折号，应改为英文类型的）
4.将 Device.FAP.SCMgmt.Config.{i}.XnE-UTRA–NRCELLRESOURCECOORDINATIONRESPONSEEnable改为Device.FAP.SCMgmt.Config.{i}.XnE-UTRA-NRCELLRESOURCECOORDINATIONRESPONSEEnable
5.增加Device.FAP.SCMgmt.Config.{i}.SCGID只读属性
SO：
增加Ipv6，VLAN接口信息
SJ：
增加Device.Services.FAPService.{i}.CellConfig.{i}.NR.RAN.Common.gNBIdLength</t>
    <phoneticPr fontId="53" type="noConversion"/>
  </si>
  <si>
    <t>Device.FAP.MRMgmt.Config.{i}.MrEnable</t>
    <phoneticPr fontId="53" type="noConversion"/>
  </si>
  <si>
    <t>unsignedInt[0:1007]</t>
    <phoneticPr fontId="53" type="noConversion"/>
  </si>
  <si>
    <t>unsignedInt[5,10,15,20,25,30,40,50,60,80,90,100,200,400]</t>
    <phoneticPr fontId="53" type="noConversion"/>
  </si>
  <si>
    <t>上行带宽
单位为兆赫兹(MHz)</t>
    <phoneticPr fontId="53" type="noConversion"/>
  </si>
  <si>
    <t>下行带宽
单位为兆赫兹(MHz)</t>
    <phoneticPr fontId="53" type="noConversion"/>
  </si>
  <si>
    <t>V1.1.2</t>
    <phoneticPr fontId="53" type="noConversion"/>
  </si>
  <si>
    <t>Device.Services.FAPService.{i}.CellConfig.{i}.NR.RAN.RF.DLBandwidth</t>
    <phoneticPr fontId="53" type="noConversion"/>
  </si>
  <si>
    <t>The S-NSSAI may include both the SST and SD fields (in which case the S-NSSAI length is 32 bits in total), or the S-NSSAI may just include the SST field (in which case the S-NSSAI length is 8 bits only).
The SST field may have standardized and non-standardized values. Values 0 to 127 belong to the standardized SST range and they are defined in 3GPP TS 23.501 [119]. Values 128 to 255 belong to the Operator-specific range.
The SD field has a reserved value "no SD value associated with the SST" defined as hexadecimal FFFFFF.
The SD field has a reserved value "no SD value associated with the SST" defined as hexadecimal FFFFFF.</t>
    <phoneticPr fontId="53" type="noConversion"/>
  </si>
  <si>
    <t>unsignedInt[0:‭4294967295‬]</t>
    <phoneticPr fontId="53" type="noConversion"/>
  </si>
  <si>
    <t>unsignedLong[0:‭68719476735‬]</t>
    <phoneticPr fontId="53" type="noConversion"/>
  </si>
  <si>
    <t>SA页：
修订EU和RU的RouteIndex描述
SJ页：
PyhicalCellId取值修订为[0:1007]
修订DLBandwidth和ULBandwidth取值为整型
修订NrCellIdentity的数值类型从unsignedInt修改为unsignedLong</t>
    <phoneticPr fontId="53" type="noConversion"/>
  </si>
  <si>
    <t>SJ页：
1.增加VoNRSupport
SK页：
1.DlULTransmissionPeriodicity增加无效值0x0000FFFF
SA页：
增加RU的底噪测量NoisePwdBm
SJ页：
增加小区底噪测量NoisePwdBm</t>
    <phoneticPr fontId="53" type="noConversion"/>
  </si>
  <si>
    <t xml:space="preserve">Device.Services.FAPService.{i}.CellConfig.{i}.NR.RAN.PHY.BWP.BWPUL.{i}.UlBWPId </t>
    <phoneticPr fontId="53" type="noConversion"/>
  </si>
  <si>
    <t xml:space="preserve">Device.Services.FAPService.{i}.CellConfig.{i}.NR.RAN.PHY.BWP.BWPUL.{i}.RACHConfigGeneric.Msg1FDM </t>
    <phoneticPr fontId="53" type="noConversion"/>
  </si>
  <si>
    <t>Device.Services.FAPService.{i}.CellConfig.{i}.NR.RAN.PHY.BWP.BWPUL.{i}.RACHConfigGeneric.PrachConfigurationIndex</t>
    <phoneticPr fontId="53" type="noConversion"/>
  </si>
  <si>
    <t>Device.Services.FAPService.{i}.CellConfig.{i}.NR.RAN.PHY.BWP.BWPUL.{i}.RACHConfigGeneric.Msg1FrequencyStart</t>
    <phoneticPr fontId="53" type="noConversion"/>
  </si>
  <si>
    <t>Device.Services.FAPService.{i}.CellConfig.{i}.NR.RAN.PHY.BWP.BWPUL.{i}.PUSCHTimeDomainAllocationList.{i}.K2</t>
    <phoneticPr fontId="53" type="noConversion"/>
  </si>
  <si>
    <t>Device.Services.FAPService.{i}.CellConfig.{i}.NR.RAN.PHY.BWP.BWPUL.{i}.PUSCHConfigCommon.GroupHoppingEnabledTransformPrecoding</t>
    <phoneticPr fontId="53" type="noConversion"/>
  </si>
  <si>
    <t>Device.Services.FAPService.{i}.CellConfig.{i}.NR.RAN.PHY.BWP.BWPUL.{i}.PUSCHTimeDomainAllocationList.{i}.MappingType</t>
    <phoneticPr fontId="53" type="noConversion"/>
  </si>
  <si>
    <t>Device.Services.FAPService.{i}.CellConfig.{i}.NR.RAN.PHY.BWP.BWPUL.{i}.PUSCHTimeDomainAllocationList.{i}.StartSymbolAndLength</t>
    <phoneticPr fontId="53" type="noConversion"/>
  </si>
  <si>
    <t>Device.Services.FAPService.{i}.CellConfig.{i}.NR.RAN.PHY.DmrsTypeAPosition</t>
    <phoneticPr fontId="53" type="noConversion"/>
  </si>
  <si>
    <t>Device.Services.FAPService.{i}.CellConfig.{i}.NR.RAN.PHY.BWP.BWPDL.{i}.PDCCH.CommonSearchSpaceList.{i}.MonitoringSlotPeriodicity</t>
    <phoneticPr fontId="53" type="noConversion"/>
  </si>
  <si>
    <t>Device.Services.FAPService.{i}.CellConfig.{i}.NR.RAN.PHY.BWP.BWPDL.{i}.PDCCH.CommonSearchSpaceList.{i}.MonitoringSlotOffset</t>
    <phoneticPr fontId="53" type="noConversion"/>
  </si>
  <si>
    <t>Device.Services.FAPService.{i}.CellConfig.{i}.NR.RAN.PHY.BWP.BWPDL.{i}.PDCCH.CommonSearchSpaceList.{i}.Duration</t>
    <phoneticPr fontId="53" type="noConversion"/>
  </si>
  <si>
    <t>Device.Services.FAPService.{i}.CellConfig.{i}.NR.RAN.PHY.BWP.BWPDL.{i}.PDCCH.CommonSearchSpaceList.{i}.MonitoringSymbolsWithinSlot</t>
    <phoneticPr fontId="53" type="noConversion"/>
  </si>
  <si>
    <t>Device.Services.FAPService.{i}.CellConfig.{i}.NR.RAN.PHY.BWP.BWPDL.{i}.PDCCH.CommonSearchSpaceList.{i}.nrofCandidates.AggregationLevel1</t>
    <phoneticPr fontId="53" type="noConversion"/>
  </si>
  <si>
    <t>Device.Services.FAPService.{i}.CellConfig.{i}.NR.RAN.PHY.BWP.BWPDL.{i}.PDCCH.CommonSearchSpaceList.{i}.nrofCandidates.AggregationLevel2</t>
    <phoneticPr fontId="53" type="noConversion"/>
  </si>
  <si>
    <t>Device.Services.FAPService.{i}.CellConfig.{i}.NR.RAN.PHY.BWP.BWPDL.{i}.PDCCH.CommonSearchSpaceList.{i}.nrofCandidates.AggregationLevel4</t>
    <phoneticPr fontId="53" type="noConversion"/>
  </si>
  <si>
    <t>Device.Services.FAPService.{i}.CellConfig.{i}.NR.RAN.PHY.BWP.BWPDL.{i}.PDCCH.CommonSearchSpaceList.{i}.nrofCandidates.AggregationLevel8</t>
    <phoneticPr fontId="53" type="noConversion"/>
  </si>
  <si>
    <t>Device.Services.FAPService.{i}.CellConfig.{i}.NR.RAN.PHY.BWP.BWPDL.{i}.PDCCH.CommonSearchSpaceList.{i}.nrofCandidates.AggregationLevel16</t>
    <phoneticPr fontId="53" type="noConversion"/>
  </si>
  <si>
    <t>Device.Services.FAPService.{i}.CellConfig.{i}.NR.RAN.PHY.BWP.BWPDL.{i}.PDCCH.CommonSearchSpaceList.{i}.SearchSpaceType</t>
    <phoneticPr fontId="53" type="noConversion"/>
  </si>
  <si>
    <t>Device.Services.FAPService.{i}.CellConfig.{i}.NR.RAN.PHY.BWP.BWPDL.{i}.PDCCH.CommonSearchSpaceList.{i}.DciFormat00And10En</t>
    <phoneticPr fontId="53" type="noConversion"/>
  </si>
  <si>
    <t>Device.Services.FAPService.{i}.CellConfig.{i}.NR.RAN.PHY.BWP.BWPDL.{i}.PDCCH.CommonSearchSpaceList.{i}.UeSpecificDciFormats</t>
    <phoneticPr fontId="53" type="noConversion"/>
  </si>
  <si>
    <t>Device.Services.FAPService.{i}.CellConfig.{i}.NR.RAN.PHY.BWP.BWPDL.{i}.PDSCH.PDSCHTimeDomainResourceAllocationList.{i}.MappingType</t>
    <phoneticPr fontId="53" type="noConversion"/>
  </si>
  <si>
    <t>Device.Services.FAPService.{i}.CellConfig.{i}.NR.RAN.PHY.BWP.BWPDL.{i}.PDSCH.PDSCHTimeDomainResourceAllocationList.{i}.StartSymbolAndLength</t>
    <phoneticPr fontId="53" type="noConversion"/>
  </si>
  <si>
    <t>Device.Services.FAPService.{i}.CellConfig.{i}.NR.RAN.PHY.BWP.BWPUL.{i}.PUSCHConfigCommon.Msg3DeltaPreamble</t>
    <phoneticPr fontId="53" type="noConversion"/>
  </si>
  <si>
    <t>Device.Services.FAPService.{i}.CellConfig.{i}.NR.RAN.PHY.BWP.BWPUL.{i}.PUCCHConfigCommon.PucchResourceCommon</t>
    <phoneticPr fontId="53" type="noConversion"/>
  </si>
  <si>
    <t>Device.Services.FAPService.{i}.CellConfig.{i}.NR.RAN.PHY.BWP.BWPUL.{i}.PUCCHConfigCommon.PucchGroupHopping</t>
    <phoneticPr fontId="53" type="noConversion"/>
  </si>
  <si>
    <t>Device.Services.FAPService.{i}.CellConfig.{i}.NR.RAN.PHY.BWP.BWPUL.{i}.PUCCHConfigCommon.HoppingId</t>
    <phoneticPr fontId="53" type="noConversion"/>
  </si>
  <si>
    <t>Device.Services.FAPService.{i}.CellConfig.{i}.NR.RAN.PHY.BWP.BWPUL.{i}.PUCCHConfigCommon.P0nominal</t>
    <phoneticPr fontId="53" type="noConversion"/>
  </si>
  <si>
    <t>Device.Services.FAPService.{i}.CellConfig.{i}.NR.RAN.PHY.BWP.BWPUL.{i}.RACHConfigCommon.RootSequenceIndex</t>
    <phoneticPr fontId="53" type="noConversion"/>
  </si>
  <si>
    <t>Device.Services.FAPService.{i}.CellConfig.{i}.NR.RAN.PHY.BWP.BWPUL.{i}.RACHConfigCommon.Msg1SubcarrierSpacing</t>
    <phoneticPr fontId="53" type="noConversion"/>
  </si>
  <si>
    <t>Device.Services.FAPService.{i}.CellConfig.{i}.NR.RAN.PHY.BWP.BWPDL.{i}.PDCCH.PDCCHConfigCommon.ControlResourceSetZero</t>
    <phoneticPr fontId="53" type="noConversion"/>
  </si>
  <si>
    <t>Device.Services.FAPService.{i}.CellConfig.{i}.NR.RAN.PHY.BWP.BWPDL.{i}.PDCCH.PDCCHConfigCommon.SearchSpaceSIB1</t>
    <phoneticPr fontId="53" type="noConversion"/>
  </si>
  <si>
    <t>Device.Services.FAPService.{i}.CellConfig.{i}.NR.RAN.PHY.BWP.BWPDL.{i}.PDCCH.PDCCHConfigCommon.SearchSpaceOtherSystemInformation</t>
    <phoneticPr fontId="53" type="noConversion"/>
  </si>
  <si>
    <t>Device.Services.FAPService.{i}.CellConfig.{i}.NR.RAN.PHY.BWP.BWPDL.{i}.PDCCH.PDCCHConfigCommon.PagingSearchSpace</t>
    <phoneticPr fontId="53" type="noConversion"/>
  </si>
  <si>
    <t>Device.Services.FAPService.{i}.CellConfig.{i}.NR.RAN.PHY.BWP.BWPDL.{i}.PDCCH.PDCCHConfigCommon.RaSearchSpace</t>
    <phoneticPr fontId="53" type="noConversion"/>
  </si>
  <si>
    <t>Device.Services.FAPService.{i}.CellConfig.{i}.NR.RAN.PHY.BWP.BWPDL.{i}.PDCCH.CommonControlResourceSet.ControlResourceSetId</t>
    <phoneticPr fontId="53" type="noConversion"/>
  </si>
  <si>
    <t>Device.Services.FAPService.{i}.CellConfig.{i}.NR.RAN.PHY.BWP.BWPDL.{i}.PDCCH.CommonControlResourceSet.FrequencyDomainResources</t>
    <phoneticPr fontId="53" type="noConversion"/>
  </si>
  <si>
    <t>Device.Services.FAPService.{i}.CellConfig.{i}.NR.RAN.PHY.BWP.BWPDL.{i}.PDCCH.CommonControlResourceSet.Duration</t>
    <phoneticPr fontId="53" type="noConversion"/>
  </si>
  <si>
    <t>Device.Services.FAPService.{i}.CellConfig.{i}.NR.RAN.PHY.BWP.BWPDL.{i}.PDCCH.CommonControlResourceSet.CceRegMappingType.RegType</t>
    <phoneticPr fontId="53" type="noConversion"/>
  </si>
  <si>
    <t>Device.Services.FAPService.{i}.CellConfig.{i}.NR.RAN.PHY.BWP.BWPDL.{i}.PDCCH.CommonControlResourceSet.CceRegMappingType.InterleaverSize</t>
    <phoneticPr fontId="53" type="noConversion"/>
  </si>
  <si>
    <t>Device.Services.FAPService.{i}.CellConfig.{i}.NR.RAN.PHY.BWP.BWPDL.{i}.PDCCH.CommonControlResourceSet.PdcchDMRSScramblingID</t>
    <phoneticPr fontId="53" type="noConversion"/>
  </si>
  <si>
    <t>Device.Services.FAPService.{i}.CellConfig.{i}.NR.RAN.PHY.BWP.BWPDL.{i}.PDCCH.CommonControlResourceSet.CceRegMappingType.RegBundleSize</t>
    <phoneticPr fontId="53" type="noConversion"/>
  </si>
  <si>
    <t>Device.Services.FAPService.{i}.CellConfig.{i}.NR.RAN.PHY.BWP.BWPDL.{i}.PDCCH.CommonControlResourceSet.CceRegMappingType.ShiftIndex</t>
    <phoneticPr fontId="53" type="noConversion"/>
  </si>
  <si>
    <t>Device.Services.FAPService.{i}.CellConfig.{i}.NR.RAN.PHY.BWP.BWPDL.{i}.PDCCH.CommonControlResourceSet.PrecoderGranularity</t>
    <phoneticPr fontId="53" type="noConversion"/>
  </si>
  <si>
    <t>Device.Services.FAPService.{i}.CellConfig.{i}.NR.RAN.PHY.BWP.BWPDL.{i}.PDCCH.CommonSearchSpaceList.{i}.SearchSpaceId</t>
    <phoneticPr fontId="53" type="noConversion"/>
  </si>
  <si>
    <t>Device.Services.FAPService.{i}.CellConfig.{i}.NR.RAN.PHY.BWP.BWPDL.{i}.PDCCH.CommonSearchSpaceList.{i}.ControlResourceSetId</t>
    <phoneticPr fontId="53" type="noConversion"/>
  </si>
  <si>
    <t>Device.Services.FAPService.{i}.CellConfig.{i}.NR.RAN.PHY.BWP.BWPUL.{i}.RACHConfigCommon.TotalNumberOfRAPreambles</t>
    <phoneticPr fontId="53" type="noConversion"/>
  </si>
  <si>
    <t>Device.Services.FAPService.{i}.CellConfig.{i}.NR.RAN.PHY.BWP.BWPUL.{i}.RACHConfigCommon.SSBPerRACHOccasionChoice</t>
    <phoneticPr fontId="53" type="noConversion"/>
  </si>
  <si>
    <t>Device.Services.FAPService.{i}.CellConfig.{i}.NR.RAN.PHY.BWP.BWPUL.{i}.RACHConfigCommon.CBPreamblesPerSSB</t>
    <phoneticPr fontId="53" type="noConversion"/>
  </si>
  <si>
    <t>Device.Services.FAPService.{i}.CellConfig.{i}.NR.RAN.PHY.BWP.BWPUL.{i}.RACHConfigCommon.RaMsg3SizeGroupA</t>
    <phoneticPr fontId="53" type="noConversion"/>
  </si>
  <si>
    <t>Device.Services.FAPService.{i}.CellConfig.{i}.NR.RAN.PHY.BWP.BWPUL.{i}.RACHConfigCommon.MessagePowerOffsetGroupB</t>
    <phoneticPr fontId="53" type="noConversion"/>
  </si>
  <si>
    <t>Device.Services.FAPService.{i}.CellConfig.{i}.NR.RAN.PHY.BWP.BWPUL.{i}.RACHConfigCommon.NumberOfRAPreamblesGroupA</t>
    <phoneticPr fontId="53" type="noConversion"/>
  </si>
  <si>
    <t>Device.Services.FAPService.{i}.CellConfig.{i}.NR.RAN.PHY.BWP.BWPUL.{i}.RACHConfigCommon.Msg3TransformPrecoder</t>
    <phoneticPr fontId="53" type="noConversion"/>
  </si>
  <si>
    <t>Device.Services.FAPService.{i}.CellConfig.{i}.NR.RAN.PHY.BWP.BWPUL.{i}.RACHConfigGeneric.ZeroCorrelationZoneConfig</t>
    <phoneticPr fontId="53" type="noConversion"/>
  </si>
  <si>
    <t>Device.Services.FAPService.{i}.CellConfig.{i}.NR.RAN.PHY.BWP.BWPUL.{i}.RACHConfigGeneric.PreambleReceivedTargetPower</t>
    <phoneticPr fontId="53" type="noConversion"/>
  </si>
  <si>
    <t>Device.Services.FAPService.{i}.CellConfig.{i}.NR.RAN.PHY.BWP.BWPUL.{i}.RACHConfigGeneric.PreambleTransMax</t>
    <phoneticPr fontId="53" type="noConversion"/>
  </si>
  <si>
    <t>Device.Services.FAPService.{i}.CellConfig.{i}.NR.RAN.PHY.BWP.BWPUL.{i}.RACHConfigGeneric.PowerRampingStep</t>
    <phoneticPr fontId="53" type="noConversion"/>
  </si>
  <si>
    <t>Device.Services.FAPService.{i}.CellConfig.{i}.NR.RAN.PHY.BWP.BWPUL.{i}.RACHConfigGeneric.RaResponseWindow</t>
    <phoneticPr fontId="53" type="noConversion"/>
  </si>
  <si>
    <t xml:space="preserve">控制RootSequenceIndex范围。
取值范围：[0,1]
分别代表{ l839，l139}
</t>
    <phoneticPr fontId="53" type="noConversion"/>
  </si>
  <si>
    <t>Device.Services.FAPService.{i}.CellConfig.{i}.NR.RAN.PHY.BWP.BWPUL.{i}.RACHConfigCommon.RaContentionResolutionTimer</t>
    <phoneticPr fontId="53" type="noConversion"/>
  </si>
  <si>
    <t>Device.Services.FAPService.{i}.CellConfig.{i}.NR.RAN.PHY.BWP.BWPUL.{i}.RACHConfigCommon.RsrpThresholdSSB</t>
    <phoneticPr fontId="53" type="noConversion"/>
  </si>
  <si>
    <t>Device.Services.FAPService.{i}.CellConfig.{i}.NR.RAN.PHY.BWP.BWPUL.{i}.RACHConfigCommon.RootType</t>
    <phoneticPr fontId="53" type="noConversion"/>
  </si>
  <si>
    <t>Device.Services.FAPService.{i}.CellConfig.{i}.NR.RAN.PHY.BWP.BWPUL.{i}.RACHConfigCommon.RestrictedSetConfig</t>
    <phoneticPr fontId="53" type="noConversion"/>
  </si>
  <si>
    <t>Device.Services.FAPService.{i}.CellConfig.{i}.NR.RAN.PHY.BWP.BWPDL.{i}.PDCCH.PDCCHConfigCommon.SearchSpaceZero</t>
    <phoneticPr fontId="53" type="noConversion"/>
  </si>
  <si>
    <t>Device.Services.FAPService.{i}.CellConfig.{i}.NR.RAN.PHY.FrequencyInfoDLSIB.ScsSpecificCarrierList.{i}.</t>
    <phoneticPr fontId="53" type="noConversion"/>
  </si>
  <si>
    <t>Device.Services.FAPService.{i}.CellConfig.{i}.NR.RAN.PHY.BWP.BWPDL.{i}.</t>
    <phoneticPr fontId="53" type="noConversion"/>
  </si>
  <si>
    <t>Device.Services.FAPService.{i}.CellConfig.{i}.NR.RAN.PHY.BWP.BWPUL.{i}.</t>
    <phoneticPr fontId="53" type="noConversion"/>
  </si>
  <si>
    <t>下行BWP实例节点</t>
    <phoneticPr fontId="53" type="noConversion"/>
  </si>
  <si>
    <t>上行BWP实例节点</t>
    <phoneticPr fontId="53" type="noConversion"/>
  </si>
  <si>
    <t>Device.Services.FAPService.{i}.CellConfig.{i}.NR.RAN.PHY.BWP.BWPUL.{i}.PUSCHTimeDomainAllocationList.{i}.</t>
    <phoneticPr fontId="53" type="noConversion"/>
  </si>
  <si>
    <t>PUSCHTimeDomainAllocationList实例节点</t>
    <phoneticPr fontId="53" type="noConversion"/>
  </si>
  <si>
    <t>Device.Services.FAPService.{i}.CellConfig.{i}.NR.RAN.PHY.BWP.BWPDL.{i}.PDCCH.CommonSearchSpaceList.{i}.</t>
    <phoneticPr fontId="53" type="noConversion"/>
  </si>
  <si>
    <t>CommonSearchSpaceList实例节点</t>
    <phoneticPr fontId="53" type="noConversion"/>
  </si>
  <si>
    <t>Device.Services.FAPService.{i}.CellConfig.{i}.NR.RAN.PHY.BWP.BWPDL.{i}.PDSCH.PDSCHTimeDomainResourceAllocationList.{i}.K0</t>
    <phoneticPr fontId="53" type="noConversion"/>
  </si>
  <si>
    <t>Device.Services.FAPService.{i}.CellConfig.{i}.NR.RAN.PHY.BWP.BWPDL.{i}.PDSCH.PDSCHTimeDomainResourceAllocationList.{i}.</t>
    <phoneticPr fontId="53" type="noConversion"/>
  </si>
  <si>
    <r>
      <t>S</t>
    </r>
    <r>
      <rPr>
        <sz val="11"/>
        <color indexed="8"/>
        <rFont val="宋体"/>
        <family val="3"/>
        <charset val="134"/>
      </rPr>
      <t>K页:
1. 修订BWO以及对应信道参数修改，按3GPP协议调整节点顺序；</t>
    </r>
    <phoneticPr fontId="53" type="noConversion"/>
  </si>
  <si>
    <t>《硬件测试规范》-4扩展单元测试-4.1组网能力</t>
    <phoneticPr fontId="53" type="noConversion"/>
  </si>
  <si>
    <t>Device.FaultMgmt.SupportedAlarm.{i}</t>
    <phoneticPr fontId="53" type="noConversion"/>
  </si>
  <si>
    <t>Device.FAP.MRMgmt.Config.{i}.MrUrl</t>
    <phoneticPr fontId="53" type="noConversion"/>
  </si>
  <si>
    <t>Device.DeviceInfo.MU.{i}.Slot.{i}.EU.{i}.RU.{i}.SwUpgrade.Status</t>
    <phoneticPr fontId="53" type="noConversion"/>
  </si>
  <si>
    <t>(300,900,1800,3600)</t>
    <phoneticPr fontId="53" type="noConversion"/>
  </si>
  <si>
    <t>V1.1.2</t>
    <phoneticPr fontId="53" type="noConversion"/>
  </si>
  <si>
    <t>SS页：
根据接口规范删除600</t>
    <phoneticPr fontId="53" type="noConversion"/>
  </si>
  <si>
    <t>本地路由配置参数管理</t>
    <phoneticPr fontId="24" type="noConversion"/>
  </si>
  <si>
    <t>IpVer</t>
    <phoneticPr fontId="24" type="noConversion"/>
  </si>
  <si>
    <t>DstIpNetwork</t>
    <phoneticPr fontId="24" type="noConversion"/>
  </si>
  <si>
    <t>GatewayIpAddress</t>
    <phoneticPr fontId="24" type="noConversion"/>
  </si>
  <si>
    <t>IP地址版本</t>
    <phoneticPr fontId="24" type="noConversion"/>
  </si>
  <si>
    <t>目的网段</t>
    <phoneticPr fontId="24" type="noConversion"/>
  </si>
  <si>
    <t>网关地址</t>
    <phoneticPr fontId="24" type="noConversion"/>
  </si>
  <si>
    <t>unsignedInt[1:2]</t>
    <phoneticPr fontId="24" type="noConversion"/>
  </si>
  <si>
    <t>1:IPv4
2:IPv6</t>
    <phoneticPr fontId="24" type="noConversion"/>
  </si>
  <si>
    <t>V1.1.2</t>
    <phoneticPr fontId="53" type="noConversion"/>
  </si>
  <si>
    <t>SO页：
增加本地路由配置</t>
    <phoneticPr fontId="53" type="noConversion"/>
  </si>
  <si>
    <t>Device.Ethernet.Interface.{i}.IPv6Address.{i}.</t>
    <phoneticPr fontId="53" type="noConversion"/>
  </si>
  <si>
    <t>Device.Ethernet.Interface.{i}.VlanInterface.{i}.IPv4Address.{i}.PortType</t>
    <phoneticPr fontId="53" type="noConversion"/>
  </si>
  <si>
    <t>Device.Ethernet.Interface.{i}.VlanInterface.{i}.</t>
    <phoneticPr fontId="53" type="noConversion"/>
  </si>
  <si>
    <t>EthernetIPv4接口实例节点</t>
    <phoneticPr fontId="53" type="noConversion"/>
  </si>
  <si>
    <t>EthernetIPv6接口实例节点</t>
    <phoneticPr fontId="53" type="noConversion"/>
  </si>
  <si>
    <t>EthernetIP接口VLAN实例节点</t>
    <phoneticPr fontId="53" type="noConversion"/>
  </si>
  <si>
    <t>EthernetIP接口路由实例节点</t>
    <phoneticPr fontId="53" type="noConversion"/>
  </si>
  <si>
    <t>B</t>
    <phoneticPr fontId="53" type="noConversion"/>
  </si>
  <si>
    <t>Device.DeviceInfo.MU.{i}.Slot.{i}.EU.{i}.RU.{i}.Reboot</t>
    <phoneticPr fontId="53" type="noConversion"/>
  </si>
  <si>
    <t>unsignedInt</t>
    <phoneticPr fontId="53" type="noConversion"/>
  </si>
  <si>
    <t>ServerIP</t>
    <phoneticPr fontId="53" type="noConversion"/>
  </si>
  <si>
    <t>服务器IP</t>
    <phoneticPr fontId="53" type="noConversion"/>
  </si>
  <si>
    <t>string(64)</t>
    <phoneticPr fontId="53" type="noConversion"/>
  </si>
  <si>
    <t>/</t>
    <phoneticPr fontId="53" type="noConversion"/>
  </si>
  <si>
    <t>《5G NR无线网络扩展型皮基站设备功能测试规范—基本功能分册》</t>
    <phoneticPr fontId="53" type="noConversion"/>
  </si>
  <si>
    <t>上行速率</t>
    <phoneticPr fontId="53" type="noConversion"/>
  </si>
  <si>
    <t>单位8Kbps=1KB/s，配置上传限速为1600KB/s，就设置为1600</t>
    <phoneticPr fontId="53" type="noConversion"/>
  </si>
  <si>
    <t>下行速率</t>
    <phoneticPr fontId="53" type="noConversion"/>
  </si>
  <si>
    <t>unsignedInt[8:261120]</t>
    <phoneticPr fontId="53" type="noConversion"/>
  </si>
  <si>
    <t>流量限制</t>
    <phoneticPr fontId="53" type="noConversion"/>
  </si>
  <si>
    <t>TrafficLimit</t>
    <phoneticPr fontId="53" type="noConversion"/>
  </si>
  <si>
    <t>TrafficLimi</t>
    <phoneticPr fontId="53" type="noConversion"/>
  </si>
  <si>
    <t>unsignedInt[0:4294967295]</t>
    <phoneticPr fontId="53" type="noConversion"/>
  </si>
  <si>
    <t>单位MB</t>
    <phoneticPr fontId="53" type="noConversion"/>
  </si>
  <si>
    <t>Device.Services.FAPService.{i}.FAPControl.LocalBreakout.TrafficRules.RuleList.{i}.TrafficLimit</t>
    <phoneticPr fontId="53" type="noConversion"/>
  </si>
  <si>
    <t>CycleFrom</t>
  </si>
  <si>
    <t>CycleFrom</t>
    <phoneticPr fontId="53" type="noConversion"/>
  </si>
  <si>
    <t>RW</t>
    <phoneticPr fontId="53" type="noConversion"/>
  </si>
  <si>
    <t>dateTime</t>
    <phoneticPr fontId="53" type="noConversion"/>
  </si>
  <si>
    <t>Device.Services.FAPService.{i}.FAPControl.LocalBreakout.TrafficRules.RuleList.{i}.CycleFrom</t>
    <phoneticPr fontId="53" type="noConversion"/>
  </si>
  <si>
    <t>限制周期启始时间</t>
    <phoneticPr fontId="53" type="noConversion"/>
  </si>
  <si>
    <t>限制周期终止时间</t>
    <phoneticPr fontId="53" type="noConversion"/>
  </si>
  <si>
    <t>Device.Services.FAPService.{i}.FAPControl.LocalBreakout.TrafficRules.RuleList.{i}.CycleTo</t>
    <phoneticPr fontId="53" type="noConversion"/>
  </si>
  <si>
    <t>Device.Services.FAPService.{i}.FAPControl.LocalBreakout.TrafficRules.RuleList.{i}.ULRateLimit</t>
    <phoneticPr fontId="53" type="noConversion"/>
  </si>
  <si>
    <t>Device.Services.FAPService.{i}.FAPControl.LocalBreakout.TrafficRules.RuleList.{i}.DLRateLimit</t>
    <phoneticPr fontId="53" type="noConversion"/>
  </si>
  <si>
    <t>ULRateLimit</t>
    <phoneticPr fontId="53" type="noConversion"/>
  </si>
  <si>
    <t>DLRateLimit</t>
    <phoneticPr fontId="53" type="noConversion"/>
  </si>
  <si>
    <t>本地分流端口流量，当清除当前流量统计时，使用写功能，设置为0，以Mbyte为单位</t>
    <phoneticPr fontId="53" type="noConversion"/>
  </si>
  <si>
    <t>本地分流规则开关</t>
    <phoneticPr fontId="53" type="noConversion"/>
  </si>
  <si>
    <t>IP五元组分流规则参数管理</t>
    <phoneticPr fontId="53" type="noConversion"/>
  </si>
  <si>
    <t>DNS分流规则参数管理</t>
    <phoneticPr fontId="53" type="noConversion"/>
  </si>
  <si>
    <t>PLMN分流规则参数管理</t>
    <phoneticPr fontId="53" type="noConversion"/>
  </si>
  <si>
    <t>NSSAI分流规则参数管理</t>
    <phoneticPr fontId="53" type="noConversion"/>
  </si>
  <si>
    <t>流量限制分流规则参数管理</t>
    <phoneticPr fontId="53" type="noConversion"/>
  </si>
  <si>
    <t>unsignedInt[1:128]</t>
    <phoneticPr fontId="53" type="noConversion"/>
  </si>
  <si>
    <t>Device.Services.FAPService.{i}.FAPControl.LocalBreakout.DnsRules.Enable</t>
    <phoneticPr fontId="53" type="noConversion"/>
  </si>
  <si>
    <t>Device.Services.FAPService.{i}.FAPControl.LocalBreakout.PlmnRules.Enable</t>
    <phoneticPr fontId="53" type="noConversion"/>
  </si>
  <si>
    <t>Device.Services.FAPService.{i}.FAPControl.LocalBreakout.NssaiRules.Enable</t>
    <phoneticPr fontId="53" type="noConversion"/>
  </si>
  <si>
    <t>分流规则流量统计</t>
    <phoneticPr fontId="53" type="noConversion"/>
  </si>
  <si>
    <t>Device.Services.FAPService.{i}.FAPControl.LocalBreakout.TrafficStatistics.Dns.{i}.DomainIpList.{i}.DomainIp</t>
    <phoneticPr fontId="53" type="noConversion"/>
  </si>
  <si>
    <t>IPAddress</t>
    <phoneticPr fontId="53" type="noConversion"/>
  </si>
  <si>
    <t>IP地址</t>
    <phoneticPr fontId="53" type="noConversion"/>
  </si>
  <si>
    <t>string(512)</t>
    <phoneticPr fontId="53" type="noConversion"/>
  </si>
  <si>
    <t>V1.1.2</t>
    <phoneticPr fontId="53" type="noConversion"/>
  </si>
  <si>
    <t>unsignedint[22:32]</t>
    <phoneticPr fontId="53" type="noConversion"/>
  </si>
  <si>
    <t>3GPP TS38.413</t>
    <phoneticPr fontId="53" type="noConversion"/>
  </si>
  <si>
    <t>gNB参数</t>
    <phoneticPr fontId="53" type="noConversion"/>
  </si>
  <si>
    <t>小区标识参数</t>
    <phoneticPr fontId="53" type="noConversion"/>
  </si>
  <si>
    <t>Device.Services.FAPService.{i}.FAPControl.NR.RAN.Common.gNBIdLength</t>
    <phoneticPr fontId="53" type="noConversion"/>
  </si>
  <si>
    <t>Device.Services.FAPService.{i}.FAPControl.NR.RAN.Common.gNBName</t>
    <phoneticPr fontId="53" type="noConversion"/>
  </si>
  <si>
    <t>Device.DeviceInfo.MU.{i}.Slot.{i}.EU.{i}.RU.{i}.SwUpgrade.FailureCause</t>
    <phoneticPr fontId="53" type="noConversion"/>
  </si>
  <si>
    <t>Device.Services.FAPService.{i}.CellConfig.{i}.NR.RAN.SharedCell.EquipList.{i}.</t>
    <phoneticPr fontId="53" type="noConversion"/>
  </si>
  <si>
    <t>共享小区实例节点</t>
    <phoneticPr fontId="53" type="noConversion"/>
  </si>
  <si>
    <t>TR系列规范(TR098/TR181/TR069/TR196)协议</t>
    <phoneticPr fontId="53" type="noConversion"/>
  </si>
  <si>
    <t>string(128)</t>
    <phoneticPr fontId="53" type="noConversion"/>
  </si>
  <si>
    <t>Device.Services.FAPService.{i}.FAPControl.LocalBreakout.TrafficRules.RuleList.{i}.ServerIP</t>
    <phoneticPr fontId="53" type="noConversion"/>
  </si>
  <si>
    <t>Device.Services.FAPService.{i}.FAPControl.LocalBreakout.TrafficRules.RuleList.{i}.</t>
    <phoneticPr fontId="53" type="noConversion"/>
  </si>
  <si>
    <t>Device.Services.FAPService.{i}.FAPControl.LocalBreakout.TrafficStatistics.IP.{i}.IPAddress</t>
    <phoneticPr fontId="53" type="noConversion"/>
  </si>
  <si>
    <t>Device.Services.FAPService.{i}.FAPControl.LocalBreakout.TrafficStatistics.IP.{i}.</t>
    <phoneticPr fontId="53" type="noConversion"/>
  </si>
  <si>
    <t>Device.Services.FAPService.{i}.FAPControl.LocalBreakout.TrafficStatistics.Dns.{i}.DomainName</t>
    <phoneticPr fontId="53" type="noConversion"/>
  </si>
  <si>
    <t>Device.Services.FAPService.{i}.FAPControl.LocalBreakout.TrafficStatistics.Dns.{i}.</t>
    <phoneticPr fontId="53" type="noConversion"/>
  </si>
  <si>
    <t>Device.Services.FAPService.{i}.FAPControl.LocalBreakout.TrafficStatistics.Plmn.{i}.PLMNID</t>
    <phoneticPr fontId="53" type="noConversion"/>
  </si>
  <si>
    <t>Device.Services.FAPService.{i}.FAPControl.LocalBreakout.TrafficStatistics.Plmn.{i}.</t>
    <phoneticPr fontId="53" type="noConversion"/>
  </si>
  <si>
    <t>Device.Services.FAPService.{i}.FAPControl.LocalBreakout.TrafficStatistics.Nssai.{i}.SNSSAI</t>
    <phoneticPr fontId="53" type="noConversion"/>
  </si>
  <si>
    <t>Device.Services.FAPService.{i}.FAPControl.LocalBreakout.TrafficStatistics.Nssai.{i}.</t>
    <phoneticPr fontId="53" type="noConversion"/>
  </si>
  <si>
    <t>本地分流限制规则RuleList实例节点</t>
    <phoneticPr fontId="53" type="noConversion"/>
  </si>
  <si>
    <t>本地分流统计IP实例节点</t>
    <phoneticPr fontId="53" type="noConversion"/>
  </si>
  <si>
    <t>本地分流统计Dns实例节点</t>
    <phoneticPr fontId="53" type="noConversion"/>
  </si>
  <si>
    <t>本地分流统计Plmn实例节点</t>
    <phoneticPr fontId="53" type="noConversion"/>
  </si>
  <si>
    <t>本地分流统计Nssai实例节点</t>
    <phoneticPr fontId="53" type="noConversion"/>
  </si>
  <si>
    <t>3GPP TS38.331</t>
    <phoneticPr fontId="53" type="noConversion"/>
  </si>
  <si>
    <t>unsignedInt[0:4]</t>
    <phoneticPr fontId="53" type="noConversion"/>
  </si>
  <si>
    <t>Device.Services.FAPService.{i}.CellConfig.{i}.NR.RAN.Mobility.IdleMode.IntraFreq.SNonIntraSearchP</t>
    <phoneticPr fontId="53" type="noConversion"/>
  </si>
  <si>
    <t>同频RSRP测量启动门限</t>
    <phoneticPr fontId="53" type="noConversion"/>
  </si>
  <si>
    <t>同频RSRQ测量启动门限</t>
    <phoneticPr fontId="53" type="noConversion"/>
  </si>
  <si>
    <t>Device.Services.FAPService.{i}.CellConfig.{i}.NR.RAN.Mobility.IdleMode.IntraFreq.SNonIntraSearchQ</t>
    <phoneticPr fontId="53" type="noConversion"/>
  </si>
  <si>
    <t>Device.ManagementServer.UDPConnectionRequestAddress</t>
    <phoneticPr fontId="53" type="noConversion"/>
  </si>
  <si>
    <t>SA页：
1.增修改FailureCause长度为String512
2.增删Object中string(64)改为string(128)
SH页：
1.删除IP五元组测量周期和吞吐量，增加流量限制规则和吞吐量统计
SJ页：
1.修订gNBIDLength为unsignedint[22:32]
2.删除gNBID、Name、Length
3.增加共享小区配置模型
SF页：
1.增加gNBID、Name、Length
SK页：
1.修订BWPID由[1:5]改为[0:4]
SM页：
1.InterFreq.SNonIntraSearchQ&amp;InterFreq.SNonIntraSearchP修改为IntraFreq.SNonIntraSearchQ&amp;IntraFreq.SNonIntraSearchP
SC页：
1.UDPConnectionRequestAddress修改为只读属性</t>
    <phoneticPr fontId="53" type="noConversion"/>
  </si>
  <si>
    <t>自动开站阶段</t>
    <phoneticPr fontId="15" type="noConversion"/>
  </si>
  <si>
    <t>开站阶段</t>
  </si>
  <si>
    <t>开站阶段取值如下：
1:参数校验
2:参数配置
3:小区激活</t>
  </si>
  <si>
    <t>自动开站结果</t>
  </si>
  <si>
    <t>开站状态</t>
  </si>
  <si>
    <t>unsignedInt[1:2]</t>
  </si>
  <si>
    <t>1：开站成功（全部小区被激活，即标记为开站成功）
2：开站失败（存在一个小区未激活，即标记为开站失败）</t>
  </si>
  <si>
    <t>开站失败原因</t>
  </si>
  <si>
    <t>开站失败原因描述</t>
  </si>
  <si>
    <t>小区与RU映射</t>
  </si>
  <si>
    <t>RouteIndexList</t>
  </si>
  <si>
    <t>路由指示列表</t>
  </si>
  <si>
    <t>小区关联的RU列表，使用SA页RU的RouteIndex标识，RouteIndex为EU时，表示该EU下连接的RU都关联到该小区；RouteIndex为RU时，表示指定的RU关联到该小区，多个RouteIndex用逗号隔开</t>
  </si>
  <si>
    <t>RuList</t>
  </si>
  <si>
    <t>RU列表</t>
  </si>
  <si>
    <t>A</t>
    <phoneticPr fontId="53" type="noConversion"/>
  </si>
  <si>
    <t>V1.1.2</t>
    <phoneticPr fontId="53" type="noConversion"/>
  </si>
  <si>
    <t>Device.Services.FAPService.{i}.CellConfig.{i}.NR.RAN.RF.PSCHPowerOffset</t>
    <phoneticPr fontId="53" type="noConversion"/>
  </si>
  <si>
    <t>小区关联的RU列表，使用SA页RU的SerialNumber标识，多个RU用逗号隔开</t>
    <phoneticPr fontId="53" type="noConversion"/>
  </si>
  <si>
    <t>Device.Services.FAPService.{i}.CellConfig.{i}.NR.RAN.MaxTxPower</t>
    <phoneticPr fontId="53" type="noConversion"/>
  </si>
  <si>
    <t>小区最大发射功率</t>
    <phoneticPr fontId="53" type="noConversion"/>
  </si>
  <si>
    <t>Device.Services.FAPService.{i}.CellConfig.{i}.NR.RAN.RuList</t>
    <phoneticPr fontId="53" type="noConversion"/>
  </si>
  <si>
    <t>Device.Ethernet.IpRoute.{i}.IpVer</t>
    <phoneticPr fontId="53" type="noConversion"/>
  </si>
  <si>
    <t>Device.Ethernet.IpRoute.{i}.DstIpNetwork</t>
    <phoneticPr fontId="53" type="noConversion"/>
  </si>
  <si>
    <t>Device.Ethernet.IpRoute.{i}.PrefixLength</t>
    <phoneticPr fontId="53" type="noConversion"/>
  </si>
  <si>
    <t>R</t>
    <phoneticPr fontId="53" type="noConversion"/>
  </si>
  <si>
    <t>由MCC和MNC组成
根据配置的本地分流规则自动生成该PLMN流量统计</t>
    <phoneticPr fontId="53" type="noConversion"/>
  </si>
  <si>
    <t>根据配置的本地分流规则自动生成该域名IP地址流量统计</t>
    <phoneticPr fontId="53" type="noConversion"/>
  </si>
  <si>
    <t>根据配置的本地分流规则自动生成该域名流量统计</t>
    <phoneticPr fontId="53" type="noConversion"/>
  </si>
  <si>
    <t>根据配置的本地分流规则自动生成该IP地址流量统计</t>
    <phoneticPr fontId="53" type="noConversion"/>
  </si>
  <si>
    <t>由SST和SD组成
根据配置的本地分流规则自动生成该SNSSAI流量统计</t>
    <phoneticPr fontId="53" type="noConversion"/>
  </si>
  <si>
    <t>Device.Ethernet.IpRoute.{i}.GatewayIpAddress</t>
    <phoneticPr fontId="53" type="noConversion"/>
  </si>
  <si>
    <t>Device.Ethernet.IpRoute.{i}.InterfaceName</t>
    <phoneticPr fontId="53" type="noConversion"/>
  </si>
  <si>
    <t>InterfaceName</t>
    <phoneticPr fontId="53" type="noConversion"/>
  </si>
  <si>
    <t>Device.Ethernet.IpRoute.{i}.</t>
    <phoneticPr fontId="53" type="noConversion"/>
  </si>
  <si>
    <t>CB</t>
    <phoneticPr fontId="53" type="noConversion"/>
  </si>
  <si>
    <t>ConnectionRequestPassword</t>
    <phoneticPr fontId="53" type="noConversion"/>
  </si>
  <si>
    <t>Device.ManagementServer.ConnectionRequestURL</t>
    <phoneticPr fontId="53" type="noConversion"/>
  </si>
  <si>
    <t>取值范围：{0~4, 0x00000FFF}</t>
    <phoneticPr fontId="53" type="noConversion"/>
  </si>
  <si>
    <t>Device.DeviceInfo.MU.{i}.Slot.{i}.EU.{i}.RU.{i}.RFChannel.{i}.NoisePwdBm</t>
    <phoneticPr fontId="53" type="noConversion"/>
  </si>
  <si>
    <t>Device.FAP.SCMgmt.Config.{i}.SCNCGIList</t>
    <phoneticPr fontId="24" type="noConversion"/>
  </si>
  <si>
    <t>B</t>
    <phoneticPr fontId="24" type="noConversion"/>
  </si>
  <si>
    <t>Device.FAP.MRMgmt.Config.{i}.OmcName</t>
    <phoneticPr fontId="53" type="noConversion"/>
  </si>
  <si>
    <t>MR小区列表</t>
    <phoneticPr fontId="24" type="noConversion"/>
  </si>
  <si>
    <r>
      <rPr>
        <sz val="9"/>
        <color theme="1"/>
        <rFont val="Times New Roman"/>
        <family val="1"/>
      </rPr>
      <t>MR</t>
    </r>
    <r>
      <rPr>
        <sz val="9"/>
        <color theme="1"/>
        <rFont val="宋体"/>
        <family val="3"/>
        <charset val="134"/>
      </rPr>
      <t>文件类型，可以选择一种或多种，如开启多种测量类型，需要</t>
    </r>
    <r>
      <rPr>
        <sz val="9"/>
        <color theme="1"/>
        <rFont val="Times New Roman"/>
        <family val="1"/>
      </rPr>
      <t>“,”</t>
    </r>
    <r>
      <rPr>
        <sz val="9"/>
        <color theme="1"/>
        <rFont val="宋体"/>
        <family val="3"/>
        <charset val="134"/>
      </rPr>
      <t>进行分隔（</t>
    </r>
    <r>
      <rPr>
        <sz val="9"/>
        <color theme="1"/>
        <rFont val="Times New Roman"/>
        <family val="1"/>
      </rPr>
      <t>{MRO,MRE,MRS}</t>
    </r>
    <r>
      <rPr>
        <sz val="9"/>
        <color theme="1"/>
        <rFont val="宋体"/>
        <family val="3"/>
        <charset val="134"/>
      </rPr>
      <t>）</t>
    </r>
    <phoneticPr fontId="53" type="noConversion"/>
  </si>
  <si>
    <r>
      <t>是</t>
    </r>
    <r>
      <rPr>
        <sz val="9"/>
        <color theme="1"/>
        <rFont val="Times New Roman"/>
        <family val="1"/>
      </rPr>
      <t>UTC</t>
    </r>
    <r>
      <rPr>
        <sz val="9"/>
        <color theme="1"/>
        <rFont val="宋体"/>
        <family val="3"/>
        <charset val="134"/>
      </rPr>
      <t>中的一个绝对时间参考，用于决定</t>
    </r>
    <r>
      <rPr>
        <sz val="9"/>
        <color theme="1"/>
        <rFont val="Times New Roman"/>
        <family val="1"/>
      </rPr>
      <t>NanoCell</t>
    </r>
    <r>
      <rPr>
        <sz val="9"/>
        <color theme="1"/>
        <rFont val="宋体"/>
        <family val="3"/>
        <charset val="134"/>
      </rPr>
      <t>基站何时结束测量任务，当结束后将不再上载</t>
    </r>
    <r>
      <rPr>
        <sz val="9"/>
        <color theme="1"/>
        <rFont val="Times New Roman"/>
        <family val="1"/>
      </rPr>
      <t>MR</t>
    </r>
    <r>
      <rPr>
        <sz val="9"/>
        <color theme="1"/>
        <rFont val="宋体"/>
        <family val="3"/>
        <charset val="134"/>
      </rPr>
      <t>文件</t>
    </r>
    <r>
      <rPr>
        <sz val="9"/>
        <color theme="1"/>
        <rFont val="Times New Roman"/>
        <family val="1"/>
      </rPr>
      <t>;</t>
    </r>
    <r>
      <rPr>
        <sz val="9"/>
        <color theme="1"/>
        <rFont val="宋体"/>
        <family val="3"/>
        <charset val="134"/>
      </rPr>
      <t>参考时间，或未知的时间，值定义为</t>
    </r>
    <r>
      <rPr>
        <sz val="9"/>
        <color theme="1"/>
        <rFont val="Times New Roman"/>
        <family val="1"/>
      </rPr>
      <t>0001-01-01T00:00:00Z</t>
    </r>
    <r>
      <rPr>
        <sz val="9"/>
        <color theme="1"/>
        <rFont val="宋体"/>
        <family val="3"/>
        <charset val="134"/>
      </rPr>
      <t>，表明没有指定精确的时间参考</t>
    </r>
    <phoneticPr fontId="53" type="noConversion"/>
  </si>
  <si>
    <t>MRUrl详细说明了目标文件位置。该参数只用于详细描述目标文件位置，不用于指示任何要上载的本地文件的名字和位置</t>
    <phoneticPr fontId="53" type="noConversion"/>
  </si>
  <si>
    <t>根据《中国移动Nanocell基站设备网络管理南向接口技术规范v1.3.0》修正参数为MrUrl</t>
    <phoneticPr fontId="53" type="noConversion"/>
  </si>
  <si>
    <t>根据《中国移动Nanocell基站设备网络管理南向接口技术规范v1.3.0》修正参数为OmcName</t>
    <phoneticPr fontId="53" type="noConversion"/>
  </si>
  <si>
    <t>RW</t>
    <phoneticPr fontId="53" type="noConversion"/>
  </si>
  <si>
    <t>unsignedInt[0:128]</t>
    <phoneticPr fontId="24" type="noConversion"/>
  </si>
  <si>
    <t>Device.DeviceInfo.MU.{i}.Manufacturer</t>
    <phoneticPr fontId="53" type="noConversion"/>
  </si>
  <si>
    <t>Device.DeviceInfo.MU.{i}.Slot.{i}.Reboot</t>
    <phoneticPr fontId="53" type="noConversion"/>
  </si>
  <si>
    <t>备注说明</t>
    <phoneticPr fontId="53" type="noConversion"/>
  </si>
  <si>
    <t>Device.DeviceInfo.MU.{i}.AdditionalHardwareVersion</t>
    <phoneticPr fontId="53" type="noConversion"/>
  </si>
  <si>
    <t>Device.Ethernet.Interface.{i}.IPv6Address.{i}.DefaultGateway</t>
    <phoneticPr fontId="53" type="noConversion"/>
  </si>
  <si>
    <t>Device.Ethernet.Interface.{i}.VlanInterface.{i}.IPv6Address.{i}.DefaultGateway</t>
    <phoneticPr fontId="24" type="noConversion"/>
  </si>
  <si>
    <t>CB</t>
    <phoneticPr fontId="53" type="noConversion"/>
  </si>
  <si>
    <t>Device.Services.FAPService.{i}.FAPControl.LocalBreakout.TrafficStatistics.Plmn.{i}.Throughput</t>
    <phoneticPr fontId="53" type="noConversion"/>
  </si>
  <si>
    <t>Device.Services.FAPService.{i}.FAPControl.LocalBreakout.TrafficStatistics.Nssai.{i}.Throughput</t>
    <phoneticPr fontId="53" type="noConversion"/>
  </si>
  <si>
    <t>Device.Services.FAPService.{i}.FAPControl.LocalBreakout.TrafficStatistics.Dns.{i}.Throughput</t>
    <phoneticPr fontId="53" type="noConversion"/>
  </si>
  <si>
    <t>Device.Services.FAPService.{i}.FAPControl.LocalBreakout.TrafficStatistics.IP.{i}.Throughput</t>
    <phoneticPr fontId="53" type="noConversion"/>
  </si>
  <si>
    <t>QoS映射DRB参数管理</t>
    <phoneticPr fontId="24" type="noConversion"/>
  </si>
  <si>
    <t>CB</t>
    <phoneticPr fontId="24" type="noConversion"/>
  </si>
  <si>
    <t>《5G NR无线网络扩展型皮基站设备功能测试规范—基本功能分册》</t>
  </si>
  <si>
    <t>MappingDrbIndex</t>
    <phoneticPr fontId="24" type="noConversion"/>
  </si>
  <si>
    <t>映射到的DRB</t>
    <phoneticPr fontId="24" type="noConversion"/>
  </si>
  <si>
    <t>字符串，描述5QI与DRB映射关系，DRB之间使用","分割，例如：某5QI使用的DRB是5,10和32，则表示为"5,10,32"</t>
    <phoneticPr fontId="24" type="noConversion"/>
  </si>
  <si>
    <t>SG页：
增加自动开站参数模型
SA页：
删除RU MaxTxPower
增加RU下RFChannel的TxPower
修订RU.{i}.NoisePwdBm为RU.{i}.RF.{i}.NoisePwdBm
增加节能管理参数
SJ页：
增加RU和小区关联关系
增加小区最大发射功率
增加节能管理参数
增加IPv6的默认网关
SO页：
删除路由配置表的接口interface{i}
SH页：
修改DNS优先级
修改流量统计规则IP、DNS、PLMN、SNSSAI为只读属性，取值根据本地分流规则自动产生
SC页：
STUN改为CB类
SR页：
增加NCGI小区列表</t>
    <phoneticPr fontId="53" type="noConversion"/>
  </si>
  <si>
    <t>Device.Services.FAPService.{i}.CellConfig.{i}.NR.RAN.EnergySaveParam.EnergySavingType</t>
    <phoneticPr fontId="15" type="noConversion"/>
  </si>
  <si>
    <t>EnergySavingType</t>
  </si>
  <si>
    <t>小区节能策略</t>
  </si>
  <si>
    <t>节能模式配置：
Enumerate{NOT_SAVING,DEEP_SAVING,SHALLOW_SAVING,SLOT_SWITCH}</t>
    <phoneticPr fontId="15" type="noConversion"/>
  </si>
  <si>
    <t>Device.Services.FAPService.{i}.CellConfig.{i}.NR.RAN.EnergySaveParam.EnergySavingTime</t>
    <phoneticPr fontId="15" type="noConversion"/>
  </si>
  <si>
    <t>EnergySavingTime</t>
  </si>
  <si>
    <t>节能策略开始与结束时间</t>
  </si>
  <si>
    <t>定义休眠的开始(时\分)与结束时间(时分)
实例：01:00:00-06:00:00</t>
    <phoneticPr fontId="15" type="noConversion"/>
  </si>
  <si>
    <t>Device.Services.FAPService.{i}.CellConfig.{i}.NR.RAN.EnergySaveParam.EnergySavingDelayTime</t>
  </si>
  <si>
    <t>EnergySavingDelayTime</t>
  </si>
  <si>
    <t>节能策略迟滞时间</t>
  </si>
  <si>
    <t>节能策略迟滞时间，取值  0..15分钟。当小区总负荷在该时间段内持续低于门限值时启动对应休眠策略</t>
  </si>
  <si>
    <t>Device.Services.FAPService.{i}.CellConfig.{i}.NR.RAN.EnergySaveParam.PrbLowThreshold</t>
  </si>
  <si>
    <t>PrbLowThreshold</t>
  </si>
  <si>
    <t>Device.Services.FAPService.{i}.CellConfig.{i}.NR.RAN.EnergySaveParam.RRCLowThreshold</t>
  </si>
  <si>
    <t>RRCLowThreshold</t>
  </si>
  <si>
    <t>RRC接入用户数低门限</t>
  </si>
  <si>
    <t>RRC连接用户数低门限</t>
  </si>
  <si>
    <t>节能管理参数</t>
    <phoneticPr fontId="53" type="noConversion"/>
  </si>
  <si>
    <t>PRB利用率低门限</t>
    <phoneticPr fontId="53" type="noConversion"/>
  </si>
  <si>
    <t>Device.DeviceInfo.MU.{i}.Slot.{i}.EU.{i}.RU.{i}.RFChannel.{i}.TxGain</t>
    <phoneticPr fontId="53" type="noConversion"/>
  </si>
  <si>
    <t>TxGain</t>
    <phoneticPr fontId="53" type="noConversion"/>
  </si>
  <si>
    <t>下行发射功率增益</t>
    <phoneticPr fontId="53" type="noConversion"/>
  </si>
  <si>
    <t>V1.1.2</t>
    <phoneticPr fontId="53" type="noConversion"/>
  </si>
  <si>
    <t>VoNRSwitch</t>
  </si>
  <si>
    <t>VoNR开关</t>
  </si>
  <si>
    <t>RW</t>
    <phoneticPr fontId="53" type="noConversion"/>
  </si>
  <si>
    <t>根据需求建议增加VoNR的开关配置节点</t>
  </si>
  <si>
    <t>VoNR开关，0：不开启，1：开启</t>
    <phoneticPr fontId="53" type="noConversion"/>
  </si>
  <si>
    <t>Device.Services.FAPService.{i}.CellConfig.{i}.NR.VoNR.VoSupport</t>
    <phoneticPr fontId="53" type="noConversion"/>
  </si>
  <si>
    <t>Device.Services.FAPService.{i}.CellConfig.{i}.NR.VoNR.VoNRSwitch</t>
    <phoneticPr fontId="15" type="noConversion"/>
  </si>
  <si>
    <t>Device.Services.FAPService.{i}.CellConfig.{i}.NR.VoNR.SPSSwitchQCI1Ul</t>
    <phoneticPr fontId="53" type="noConversion"/>
  </si>
  <si>
    <t>默认寻呼周期</t>
  </si>
  <si>
    <t>A</t>
    <phoneticPr fontId="15" type="noConversion"/>
  </si>
  <si>
    <t>RW</t>
    <phoneticPr fontId="15" type="noConversion"/>
  </si>
  <si>
    <t>string(64)</t>
    <phoneticPr fontId="53" type="noConversion"/>
  </si>
  <si>
    <t>string(64)</t>
    <phoneticPr fontId="15" type="noConversion"/>
  </si>
  <si>
    <r>
      <t>指示</t>
    </r>
    <r>
      <rPr>
        <sz val="9"/>
        <color theme="1"/>
        <rFont val="Times New Roman"/>
        <family val="1"/>
      </rPr>
      <t>PCCH</t>
    </r>
    <r>
      <rPr>
        <sz val="9"/>
        <color theme="1"/>
        <rFont val="宋体"/>
        <family val="3"/>
        <charset val="134"/>
      </rPr>
      <t>的默认寻呼周期。
取值Enumerate{</t>
    </r>
    <r>
      <rPr>
        <sz val="9"/>
        <color theme="1"/>
        <rFont val="Times New Roman"/>
        <family val="1"/>
      </rPr>
      <t>:rf32, rf64, rf128}</t>
    </r>
    <phoneticPr fontId="15" type="noConversion"/>
  </si>
  <si>
    <t>DefaultPagingCycle</t>
    <phoneticPr fontId="53" type="noConversion"/>
  </si>
  <si>
    <t>nAndPagingFrameOffset</t>
    <phoneticPr fontId="53" type="noConversion"/>
  </si>
  <si>
    <t>该参数用于表示寻呼周期内寻呼帧的个数。
nAndPagingFrameOffset
取值范围 structure {
n（寻呼周期内PF个数）:=enum{oneT, halfT,quarterT, oneEighthT,oneSixteenthT}，
    PagingFrameOffset(寻呼偏置)  :=INTERGER
}；   nAndPagingFrameOffset取值为oneT，则PagingFrameOffset 为NULL。
Used to derive the number of total paging frames in T (corresponding to parameter N in TS 38.304 [20]) and paging frame offset (corresponding to parameter PF_offset in TS 38.304 [20]). 详见3GPP 38.331 section 6.3.2</t>
    <phoneticPr fontId="53" type="noConversion"/>
  </si>
  <si>
    <t>PF中PO个数</t>
    <phoneticPr fontId="53" type="noConversion"/>
  </si>
  <si>
    <t>指示PF中寻呼时机PO的个数。Enum{four,two,one}</t>
    <phoneticPr fontId="53" type="noConversion"/>
  </si>
  <si>
    <t>5QI</t>
    <phoneticPr fontId="24" type="noConversion"/>
  </si>
  <si>
    <t>5QI，TS23.501</t>
    <phoneticPr fontId="24" type="noConversion"/>
  </si>
  <si>
    <t>PCI冲突和混淆检测功能开关</t>
    <phoneticPr fontId="24" type="noConversion"/>
  </si>
  <si>
    <t>PCI冲突和混淆检测功能开关,(0=false,1=true)</t>
    <phoneticPr fontId="24" type="noConversion"/>
  </si>
  <si>
    <t>SJ页：
增加节能策略
VoNR不需要List多实例，删除，增加VoNR开关
SA页：
删除RU下的节能参数
修改RU TxPower为TxGain
SK页：
增加PCCH寻呼参数配置
SM页：
修改Smeasure在NR下
SG页：
增加PCI冲突混淆检测开关</t>
    <phoneticPr fontId="53" type="noConversion"/>
  </si>
  <si>
    <t>Device.FAP.MRMgmt.Config.{i}.MRNCGIList</t>
    <phoneticPr fontId="24" type="noConversion"/>
  </si>
  <si>
    <t>MRNCGIList</t>
    <phoneticPr fontId="24" type="noConversion"/>
  </si>
  <si>
    <t>Device.DeviceInfo.MU.{i}.ManufacturerOUI</t>
    <phoneticPr fontId="53" type="noConversion"/>
  </si>
  <si>
    <t>FailureCause</t>
    <phoneticPr fontId="53" type="noConversion"/>
  </si>
  <si>
    <t>Device.Services.FAPService.{i}.FAPControl.SelfConfig.Startup.FailureCause</t>
    <phoneticPr fontId="53" type="noConversion"/>
  </si>
  <si>
    <t>Device.Services.FAPService.{i}.CellConfig.{i}.NR.RAN.RouteIndexList</t>
    <phoneticPr fontId="53" type="noConversion"/>
  </si>
  <si>
    <t>Device.Services.FAPService.{i}.FAPControl.NR.SelfConfig.SONConfigParam.MROEnable</t>
    <phoneticPr fontId="53" type="noConversion"/>
  </si>
  <si>
    <t>Device.Services.FAPService.{i}.FAPControl.SelfConfig.Startup.Status</t>
    <phoneticPr fontId="53" type="noConversion"/>
  </si>
  <si>
    <t>Device.Services.FAPService.{i}.FAPControl.SelfConfig.Startup.Stage</t>
    <phoneticPr fontId="53" type="noConversion"/>
  </si>
  <si>
    <t>AdministrativeState</t>
  </si>
  <si>
    <t>OperationalState</t>
  </si>
  <si>
    <t>AM</t>
  </si>
  <si>
    <t>nRPCI</t>
  </si>
  <si>
    <t>BF</t>
  </si>
  <si>
    <t>nRTac</t>
  </si>
  <si>
    <t>AH，AM</t>
  </si>
  <si>
    <t>nCI</t>
  </si>
  <si>
    <t>AH，BF</t>
  </si>
  <si>
    <t>/</t>
    <phoneticPr fontId="53" type="noConversion"/>
  </si>
  <si>
    <t>/</t>
    <phoneticPr fontId="53" type="noConversion"/>
  </si>
  <si>
    <t>AO</t>
  </si>
  <si>
    <t>prachConfigIndex</t>
  </si>
  <si>
    <t>rachOccasionNumber</t>
  </si>
  <si>
    <t>rachOccasionStart</t>
  </si>
  <si>
    <t>preambleReceivedTargetPower</t>
  </si>
  <si>
    <t>preambleTransMax</t>
  </si>
  <si>
    <t>powerRampingStep</t>
  </si>
  <si>
    <t>raResponseWindow</t>
  </si>
  <si>
    <t xml:space="preserve">prach-RootSequenceIndex </t>
  </si>
  <si>
    <t>msg1SubcarrierSpacing</t>
  </si>
  <si>
    <t>restrictedSetConfig</t>
  </si>
  <si>
    <t>msg3TransformPrecoding</t>
  </si>
  <si>
    <t>msg3DeltaPreamble</t>
  </si>
  <si>
    <t>p0NominalWithGrant</t>
  </si>
  <si>
    <t>p0NominalPUCCH</t>
  </si>
  <si>
    <t>ns</t>
  </si>
  <si>
    <t>AH</t>
  </si>
  <si>
    <t>/</t>
    <phoneticPr fontId="53" type="noConversion"/>
  </si>
  <si>
    <t>ssbPeriodicityServingCell</t>
    <phoneticPr fontId="53" type="noConversion"/>
  </si>
  <si>
    <t>rsrpThresholdSSB</t>
    <phoneticPr fontId="53" type="noConversion"/>
  </si>
  <si>
    <t>AA</t>
    <phoneticPr fontId="24" type="noConversion"/>
  </si>
  <si>
    <t>AB AC</t>
    <phoneticPr fontId="24" type="noConversion"/>
  </si>
  <si>
    <t>SerialNumber</t>
    <phoneticPr fontId="15" type="noConversion"/>
  </si>
  <si>
    <t>AD</t>
    <phoneticPr fontId="24" type="noConversion"/>
  </si>
  <si>
    <t xml:space="preserve">AD </t>
    <phoneticPr fontId="24" type="noConversion"/>
  </si>
  <si>
    <t xml:space="preserve"> AE</t>
    <phoneticPr fontId="24" type="noConversion"/>
  </si>
  <si>
    <t>AG</t>
    <phoneticPr fontId="24" type="noConversion"/>
  </si>
  <si>
    <t>gNBIdLength</t>
    <phoneticPr fontId="24" type="noConversion"/>
  </si>
  <si>
    <t>gNBId</t>
    <phoneticPr fontId="24" type="noConversion"/>
  </si>
  <si>
    <t>/</t>
    <phoneticPr fontId="53" type="noConversion"/>
  </si>
  <si>
    <t>64位不够用，建议按38.331中的定义：
FreqBandIndicatorNR：INTEGER (1..1024)</t>
    <phoneticPr fontId="53" type="noConversion"/>
  </si>
  <si>
    <t>扩展单元下行误码率</t>
    <phoneticPr fontId="53" type="noConversion"/>
  </si>
  <si>
    <t>AI</t>
  </si>
  <si>
    <t>nTAC</t>
  </si>
  <si>
    <t>AJ</t>
  </si>
  <si>
    <t>DlEarfcn</t>
  </si>
  <si>
    <t>Tac</t>
  </si>
  <si>
    <t>AK</t>
  </si>
  <si>
    <t>rsrpThreshold</t>
  </si>
  <si>
    <t>rsrqThreshold</t>
  </si>
  <si>
    <t>sinrThreshold</t>
  </si>
  <si>
    <t>maxRptCellNum</t>
  </si>
  <si>
    <t>rptAmount</t>
  </si>
  <si>
    <t>rptInterval</t>
  </si>
  <si>
    <t>rptQuantityCell</t>
  </si>
  <si>
    <t>includeBeamMeasurements</t>
  </si>
  <si>
    <t>eventOffset</t>
  </si>
  <si>
    <t>A5Thrd2RSRP</t>
  </si>
  <si>
    <t>A5Thrd2RSRQ</t>
  </si>
  <si>
    <t>A5Thrd2Sinr</t>
  </si>
  <si>
    <t>/</t>
    <phoneticPr fontId="53" type="noConversion"/>
  </si>
  <si>
    <t>AK</t>
    <phoneticPr fontId="53" type="noConversion"/>
  </si>
  <si>
    <t>AS</t>
  </si>
  <si>
    <t>IpAddressList/LocIpv6AddrList</t>
  </si>
  <si>
    <t>Latitude</t>
  </si>
  <si>
    <t>Longitude</t>
  </si>
  <si>
    <t>用于NR测量中,触发量为RSRP时,A2事件触发条件的绝对门限</t>
    <phoneticPr fontId="53" type="noConversion"/>
  </si>
  <si>
    <t>Device.Services.FAPService.{i}.CellConfig.{i}.NR.RAN.Mobility.ConnMode.NR.A2MeasureCtrl.{i}.Enable</t>
    <phoneticPr fontId="53" type="noConversion"/>
  </si>
  <si>
    <t>Device.Services.FAPService.{i}.CellConfig.{i}.NR.RAN.Mobility.ConnMode.NR.A2MeasureCtrl.{i}.A2ThresholdRSRP</t>
    <phoneticPr fontId="53" type="noConversion"/>
  </si>
  <si>
    <t>Uu口RRCReject信令采集的策略，仅标识采集配置策略，不标识采集开启。(0=false,1=true)。</t>
    <phoneticPr fontId="53" type="noConversion"/>
  </si>
  <si>
    <t>Uu口RRCReconfigurationComplete信令采集的策略，仅标识采集配置策略，不标识采集开启。(0=false,1=true)。</t>
    <phoneticPr fontId="53" type="noConversion"/>
  </si>
  <si>
    <t>小区当前操作状态：(0=false,1=true)
false：禁止
true:启动</t>
    <phoneticPr fontId="24" type="noConversion"/>
  </si>
  <si>
    <t>(0=false,1=true)若置为True，UE认为同频小区间的SFN和帧定时相同</t>
    <phoneticPr fontId="53" type="noConversion"/>
  </si>
  <si>
    <t>Device.Services.FAPService.{i}.CellConfig.{i}.NR.RAN.Mobility.ConnMode.NR.A1MeasureCtrl.{i}.Enable</t>
    <phoneticPr fontId="53" type="noConversion"/>
  </si>
  <si>
    <t>Device.Services.FAPService.{i}.CellConfig.{i}.NR.RAN.Mobility.ConnMode.NR.A1MeasureCtrl.{i}.A1ThresholdRSRP</t>
    <phoneticPr fontId="53" type="noConversion"/>
  </si>
  <si>
    <t>boolean</t>
    <phoneticPr fontId="53" type="noConversion"/>
  </si>
  <si>
    <t>指示是否使用波束赋形功能</t>
    <phoneticPr fontId="53" type="noConversion"/>
  </si>
  <si>
    <t>某小区的离开状态满足时,UE是否触发测量上报过程；
0:代表不满足条件的小区离开测量列表时不进行上报；
1:代表都会触发测量结果的填写以及上报消息的发送</t>
    <phoneticPr fontId="53" type="noConversion"/>
  </si>
  <si>
    <t>是否启用该表项</t>
    <phoneticPr fontId="53" type="noConversion"/>
  </si>
  <si>
    <t>供运营商使用的小区预留标志</t>
    <phoneticPr fontId="53" type="noConversion"/>
  </si>
  <si>
    <t>(0=false,1=true)</t>
    <phoneticPr fontId="53" type="noConversion"/>
  </si>
  <si>
    <t>是否启用该表项，（0：不启用，1：启用）</t>
    <phoneticPr fontId="53" type="noConversion"/>
  </si>
  <si>
    <t>指示是否使用波束赋形功能（0：不启用，1：启用）</t>
    <phoneticPr fontId="53" type="noConversion"/>
  </si>
  <si>
    <t>是否启用该表项（0：不启用，1：启用）</t>
    <phoneticPr fontId="53" type="noConversion"/>
  </si>
  <si>
    <t>是否启用该表项（0：不启用，1：启用）</t>
    <phoneticPr fontId="53" type="noConversion"/>
  </si>
  <si>
    <t>指示是否使用波束赋形功能。（0：不启用，1：启用）</t>
    <phoneticPr fontId="53" type="noConversion"/>
  </si>
  <si>
    <t>指示是否所有邻小区使用天线端口1（0：是，1：否）</t>
    <phoneticPr fontId="53" type="noConversion"/>
  </si>
  <si>
    <t>(false:0,true:1)</t>
    <phoneticPr fontId="53" type="noConversion"/>
  </si>
  <si>
    <t>(false:0,true:1)</t>
    <phoneticPr fontId="24" type="noConversion"/>
  </si>
  <si>
    <t>(0:false,true:1)</t>
    <phoneticPr fontId="53" type="noConversion"/>
  </si>
  <si>
    <r>
      <t>SC采集周期，可以选择一种（</t>
    </r>
    <r>
      <rPr>
        <sz val="9"/>
        <color theme="1"/>
        <rFont val="Times New Roman"/>
        <family val="1"/>
      </rPr>
      <t>{1024ms, 2048ms, 5120ms, 10000ms, 60000ms, 360000ms}</t>
    </r>
    <r>
      <rPr>
        <sz val="9"/>
        <color theme="1"/>
        <rFont val="宋体"/>
        <family val="3"/>
        <charset val="134"/>
      </rPr>
      <t>）。</t>
    </r>
    <r>
      <rPr>
        <sz val="9"/>
        <color theme="1"/>
        <rFont val="Times New Roman"/>
        <family val="1"/>
      </rPr>
      <t xml:space="preserve"> </t>
    </r>
    <phoneticPr fontId="24" type="noConversion"/>
  </si>
  <si>
    <t>string</t>
    <phoneticPr fontId="53" type="noConversion"/>
  </si>
  <si>
    <t>性能补采参数管理</t>
    <phoneticPr fontId="53" type="noConversion"/>
  </si>
  <si>
    <t>Device.FAP.SCMgmt.Config.{i}.SCSamplingBeginTime</t>
    <phoneticPr fontId="24" type="noConversion"/>
  </si>
  <si>
    <t>ReplenishEnable</t>
    <phoneticPr fontId="53" type="noConversion"/>
  </si>
  <si>
    <t>Device.FAP.PerfMgmt.Config.{i}.ReplenishEndTime</t>
    <phoneticPr fontId="53" type="noConversion"/>
  </si>
  <si>
    <t>ReplenishEndTime</t>
    <phoneticPr fontId="53" type="noConversion"/>
  </si>
  <si>
    <t>补采开关</t>
  </si>
  <si>
    <t>补采开始时间</t>
  </si>
  <si>
    <t>补采结束时间</t>
  </si>
  <si>
    <t>/</t>
    <phoneticPr fontId="53" type="noConversion"/>
  </si>
  <si>
    <t>(0=false,1=true),若该开关置为true，则设备按照补采开始时间和结束时间进行性能文件重新上报操作。
当重新上报完成之后，该开关置为false</t>
    <phoneticPr fontId="53" type="noConversion"/>
  </si>
  <si>
    <t>本参数指定需要重新上传的性能数据文件的开始采集时间。举例说明：若OMC发现2021-05-01 10:15:00至2021-05-01 10:45:00的性能文件缺失，当前处于+8时区，该参数取值为：“2021-05-01T02:15:00Z”</t>
    <phoneticPr fontId="53" type="noConversion"/>
  </si>
  <si>
    <r>
      <t>本参数指定需要重新上传的性能数据文件的结束采集时间。举例说明：若</t>
    </r>
    <r>
      <rPr>
        <sz val="9"/>
        <color indexed="8"/>
        <rFont val="宋体"/>
        <family val="3"/>
        <charset val="134"/>
      </rPr>
      <t>OMC发现</t>
    </r>
    <r>
      <rPr>
        <sz val="9"/>
        <color indexed="8"/>
        <rFont val="Times New Roman"/>
        <family val="1"/>
      </rPr>
      <t>2021-05-01 10:15:00</t>
    </r>
    <r>
      <rPr>
        <sz val="9"/>
        <color indexed="8"/>
        <rFont val="宋体"/>
        <family val="3"/>
        <charset val="134"/>
      </rPr>
      <t>至2021-05-01 10:45:00的性能文件缺失，当前处于</t>
    </r>
    <r>
      <rPr>
        <sz val="9"/>
        <color indexed="8"/>
        <rFont val="Times New Roman"/>
        <family val="1"/>
      </rPr>
      <t>+8</t>
    </r>
    <r>
      <rPr>
        <sz val="9"/>
        <color indexed="8"/>
        <rFont val="宋体"/>
        <family val="3"/>
        <charset val="134"/>
      </rPr>
      <t xml:space="preserve">时区，该参数取值为：“2021-05-01T02:45:00Z” </t>
    </r>
    <phoneticPr fontId="53" type="noConversion"/>
  </si>
  <si>
    <t>激活时间，格式如：2012-12-11T19:15:00Z，下发命令后设备只要在大于等于激活时间里开启，就会激活系统备份版本。</t>
    <phoneticPr fontId="53" type="noConversion"/>
  </si>
  <si>
    <t>2012-12-11T19:15:00Z</t>
    <phoneticPr fontId="53" type="noConversion"/>
  </si>
  <si>
    <t>限制周期终止时间，格式yyyy-mm-ddThh:mm:ss；如2020-12-11T19:15:00Z，精确到分钟</t>
    <phoneticPr fontId="53" type="noConversion"/>
  </si>
  <si>
    <t>限制周期起始时间，格式yyyy-mm-ddThh:mm:ss；如2020-12-11T19:15:00Z，精确到分钟</t>
    <phoneticPr fontId="53" type="noConversion"/>
  </si>
  <si>
    <t>PCI自优化算法开关</t>
    <phoneticPr fontId="53" type="noConversion"/>
  </si>
  <si>
    <t>ANR双向邻区添加开关</t>
    <phoneticPr fontId="53" type="noConversion"/>
  </si>
  <si>
    <t>(0=false,2=true)，ANR双向邻区添加开关</t>
    <phoneticPr fontId="53" type="noConversion"/>
  </si>
  <si>
    <t>Device.Services.FAPService.{i}.FAPControl.NR.SelfConfig.SONConfigParam.PCI.Enable</t>
    <phoneticPr fontId="24" type="noConversion"/>
  </si>
  <si>
    <t>Device.Services.FAPService.{i}.FAPControl.NR.SelfConfig.SONConfigParam.ANR.Enable</t>
    <phoneticPr fontId="53" type="noConversion"/>
  </si>
  <si>
    <t>Device.Services.FAPService.{i}.FAPControl.NR.SelfConfig.SONConfigParam.ANR.InterFeqEnable</t>
    <phoneticPr fontId="53" type="noConversion"/>
  </si>
  <si>
    <t>Enable</t>
    <phoneticPr fontId="53" type="noConversion"/>
  </si>
  <si>
    <t>InterFeqEnable</t>
    <phoneticPr fontId="53" type="noConversion"/>
  </si>
  <si>
    <t>EUTRANEnable</t>
    <phoneticPr fontId="53" type="noConversion"/>
  </si>
  <si>
    <t>BiNRCellEnable</t>
    <phoneticPr fontId="53" type="noConversion"/>
  </si>
  <si>
    <t>Device.Services.FAPService.{i}.FAPControl.NR.SelfConfig.SONConfigParam.ANR.AutoAdjustEnable</t>
    <phoneticPr fontId="53" type="noConversion"/>
  </si>
  <si>
    <t>Device.Services.FAPService.{i}.CellConfig.{i}.NR.RAN.RF.SsbFrequency</t>
    <phoneticPr fontId="53" type="noConversion"/>
  </si>
  <si>
    <t>SSB频点号</t>
    <phoneticPr fontId="53" type="noConversion"/>
  </si>
  <si>
    <t>RW</t>
    <phoneticPr fontId="53" type="noConversion"/>
  </si>
  <si>
    <t>事件性MR添加邻区依照绝对电平开关</t>
    <phoneticPr fontId="53" type="noConversion"/>
  </si>
  <si>
    <t>&lt;&lt;5G NR扩展型皮基站设备规范—SON分册&gt;&gt;</t>
    <phoneticPr fontId="53" type="noConversion"/>
  </si>
  <si>
    <t>(0=false,1=true)，E-UTRAN异系统ANR算法开关</t>
    <phoneticPr fontId="53" type="noConversion"/>
  </si>
  <si>
    <t>(0=false,1=true)，该开关打开后，添加邻区需同时考虑绝对电平和相对电平</t>
    <phoneticPr fontId="53" type="noConversion"/>
  </si>
  <si>
    <t>Device.Services.FAPService.{i}.FAPControl.NR.SelfConfig.SONConfigParam.ANR.KPIPeriod</t>
    <phoneticPr fontId="53" type="noConversion"/>
  </si>
  <si>
    <t>KPIPeriod</t>
    <phoneticPr fontId="53" type="noConversion"/>
  </si>
  <si>
    <t>邻区优化KPI统计周期</t>
    <phoneticPr fontId="53" type="noConversion"/>
  </si>
  <si>
    <t>unsignedInt</t>
    <phoneticPr fontId="53" type="noConversion"/>
  </si>
  <si>
    <t>包括邻区邻区添加、删除、属性调整相关的KPI，例如发现次数，切换次数，切换成功率等KPI的统计周期
以分钟为单位，支持按天、小时、分钟为粒度进行设置</t>
    <phoneticPr fontId="53" type="noConversion"/>
  </si>
  <si>
    <t>AutoAdjustEnable</t>
    <phoneticPr fontId="53" type="noConversion"/>
  </si>
  <si>
    <t>Device.Services.FAPService.{i}.FAPControl.NR.SelfConfig.SONConfigParam.ANR.AutoRemoveEnable</t>
    <phoneticPr fontId="53" type="noConversion"/>
  </si>
  <si>
    <t>AutoRemoveEnable</t>
    <phoneticPr fontId="53" type="noConversion"/>
  </si>
  <si>
    <t>Device.Services.FAPService.{i}.FAPControl.NR.SelfConfig.SONConfigParam.ANR.AutoRemovePeriod</t>
    <phoneticPr fontId="53" type="noConversion"/>
  </si>
  <si>
    <t>AutoRemovePeriod</t>
    <phoneticPr fontId="53" type="noConversion"/>
  </si>
  <si>
    <t>Device.Services.FAPService.{i}.FAPControl.NR.SelfConfig.SONConfigParam.ANR.AutoRemoveMaxCell</t>
    <phoneticPr fontId="53" type="noConversion"/>
  </si>
  <si>
    <t>AutoRemoveMaxCell</t>
    <phoneticPr fontId="53" type="noConversion"/>
  </si>
  <si>
    <t>邻区属性自动调整的使能开关</t>
    <phoneticPr fontId="53" type="noConversion"/>
  </si>
  <si>
    <t>邻区自动删除的使能开关</t>
    <phoneticPr fontId="53" type="noConversion"/>
  </si>
  <si>
    <t>邻区自动删除功能触发周期</t>
    <phoneticPr fontId="53" type="noConversion"/>
  </si>
  <si>
    <t>邻区自动删除功能单周期内可删除最大个数</t>
    <phoneticPr fontId="53" type="noConversion"/>
  </si>
  <si>
    <t>(0=false,1=true)，开启该开关后，邻区自动删除机制生效</t>
    <phoneticPr fontId="53" type="noConversion"/>
  </si>
  <si>
    <t>unsignedInt</t>
    <phoneticPr fontId="53" type="noConversion"/>
  </si>
  <si>
    <t>以分钟为单位，支持按天、小时、分钟为粒度进行设置</t>
    <phoneticPr fontId="53" type="noConversion"/>
  </si>
  <si>
    <t>支持单周期内可删除最大个数可配置</t>
    <phoneticPr fontId="53" type="noConversion"/>
  </si>
  <si>
    <t>禁止删除标识</t>
    <phoneticPr fontId="53" type="noConversion"/>
  </si>
  <si>
    <t>该标志位被设置后， 该邻区不允许被删除，
1=禁止删除该邻区；
0=允许删除该邻区</t>
    <phoneticPr fontId="53" type="noConversion"/>
  </si>
  <si>
    <t>&lt;&lt;5G NR扩展型皮基站设备规范—SON分册&gt;&gt;</t>
    <phoneticPr fontId="53" type="noConversion"/>
  </si>
  <si>
    <t>邻区PLMN ID，由MCC和MNC组成</t>
    <phoneticPr fontId="53" type="noConversion"/>
  </si>
  <si>
    <t>邻区被设为黑名单的切换次数门限</t>
    <phoneticPr fontId="53" type="noConversion"/>
  </si>
  <si>
    <t>/</t>
    <phoneticPr fontId="53" type="noConversion"/>
  </si>
  <si>
    <t>若在统计周期内切换次数高于此门限且成功率低于此门限，则系统自动将邻区设置为“No HO”</t>
    <phoneticPr fontId="53" type="noConversion"/>
  </si>
  <si>
    <t>邻区被设为黑名单的切换成功率门限</t>
    <phoneticPr fontId="53" type="noConversion"/>
  </si>
  <si>
    <t>射频状态</t>
    <phoneticPr fontId="53" type="noConversion"/>
  </si>
  <si>
    <t>状态</t>
    <phoneticPr fontId="53" type="noConversion"/>
  </si>
  <si>
    <t>制造商OUI</t>
    <phoneticPr fontId="53" type="noConversion"/>
  </si>
  <si>
    <t>序列号</t>
    <phoneticPr fontId="53" type="noConversion"/>
  </si>
  <si>
    <t>设备型号</t>
    <phoneticPr fontId="53" type="noConversion"/>
  </si>
  <si>
    <t>硬件版本</t>
    <phoneticPr fontId="53" type="noConversion"/>
  </si>
  <si>
    <t>软件版本</t>
    <phoneticPr fontId="53" type="noConversion"/>
  </si>
  <si>
    <t>供应商代号</t>
    <phoneticPr fontId="53" type="noConversion"/>
  </si>
  <si>
    <t>重启开关</t>
    <phoneticPr fontId="53" type="noConversion"/>
  </si>
  <si>
    <t>0:不重启
1:重启</t>
    <phoneticPr fontId="53" type="noConversion"/>
  </si>
  <si>
    <t>RW</t>
    <phoneticPr fontId="53" type="noConversion"/>
  </si>
  <si>
    <t>RW</t>
    <phoneticPr fontId="53" type="noConversion"/>
  </si>
  <si>
    <t>Device.Services.FAPService.{i}.FAPControl.NR.SelfConfig.SONConfigParam.ANR.BiNRCellEnable</t>
    <phoneticPr fontId="53" type="noConversion"/>
  </si>
  <si>
    <t>邻区添加绝对电平强度</t>
    <phoneticPr fontId="53" type="noConversion"/>
  </si>
  <si>
    <t>邻区添加相对电平强度</t>
    <phoneticPr fontId="53" type="noConversion"/>
  </si>
  <si>
    <t>Device.Services.FAPService.{i}.CellConfig.{i}.NR.RAN.NeighborList.LTECell.{i}.QRxLevMinOffsetCell</t>
    <phoneticPr fontId="53" type="noConversion"/>
  </si>
  <si>
    <t>Device.Services.FAPService.{i}.CellConfig.{i}.NR.RAN.NeighborList.LTECell.{i}.QQualMinOffsetCell</t>
    <phoneticPr fontId="53" type="noConversion"/>
  </si>
  <si>
    <t>Device.Services.FAPService.{i}.CellConfig.{i}.NR.RAN.NeighborList.NRCell.{i}.QRxLevMinOffsetCell</t>
    <phoneticPr fontId="53" type="noConversion"/>
  </si>
  <si>
    <t>Device.Services.FAPService.{i}.CellConfig.{i}.NR.RAN.NeighborList.NRCell.{i}.QQualMinOffsetCell</t>
    <phoneticPr fontId="53" type="noConversion"/>
  </si>
  <si>
    <t>小区专用最低接入信号质量偏移值</t>
    <phoneticPr fontId="53" type="noConversion"/>
  </si>
  <si>
    <t>Device.Services.FAPService.{i}.CellConfig.{i}.NR.RAN.Mobility.ConnMode.NR.A1MeasureCtrl.2.A1ThresholdRSRP</t>
    <phoneticPr fontId="53" type="noConversion"/>
  </si>
  <si>
    <t>(0=false,1=true)，开启该开关后，邻区属性自动调整机制生效</t>
    <phoneticPr fontId="53" type="noConversion"/>
  </si>
  <si>
    <t>Device.Services.FAPService.{i}.FAPControl.NR.SelfConfig.SONConfigParam.ANR.BlackList.NoHOThreshold</t>
    <phoneticPr fontId="53" type="noConversion"/>
  </si>
  <si>
    <t>NoHOThreshold</t>
    <phoneticPr fontId="53" type="noConversion"/>
  </si>
  <si>
    <t>Device.Services.FAPService.{i}.FAPControl.NR.SelfConfig.SONConfigParam.ANR.BlackList.HOSuccessThreshold</t>
    <phoneticPr fontId="53" type="noConversion"/>
  </si>
  <si>
    <t>HOSuccessThreshold</t>
    <phoneticPr fontId="53" type="noConversion"/>
  </si>
  <si>
    <t>unsignedInt[0:100]</t>
    <phoneticPr fontId="53" type="noConversion"/>
  </si>
  <si>
    <t>若在统计周期内切换次数高于此门限且成功率低于此门限，则系统自动将邻区设置为“No HO”，指切换成功率百分比，例如：填写为“50”指50%的切换成功率</t>
    <phoneticPr fontId="53" type="noConversion"/>
  </si>
  <si>
    <t>Device.Services.FAPService.{i}.FAPControl.NR.SelfConfig.SONConfigParam.ANR.EUTRANEnable</t>
    <phoneticPr fontId="53" type="noConversion"/>
  </si>
  <si>
    <t>string</t>
    <phoneticPr fontId="53" type="noConversion"/>
  </si>
  <si>
    <t>测量报告中的上报量
{rsrp,rsrq,sinr}</t>
    <phoneticPr fontId="53" type="noConversion"/>
  </si>
  <si>
    <t>Device.Services.FAPService.{i}.CellConfig.{i}.NR.RAN.Mobility.ConnMode.NR.A1MeasureCtrl.1.A1ThresholdRSRP</t>
    <phoneticPr fontId="53" type="noConversion"/>
  </si>
  <si>
    <t>Device.Services.FAPService.{i}.FAPControl.NR.SelfConfig.SONConfigParam.ANR.RSRPReferenceEnable</t>
    <phoneticPr fontId="53" type="noConversion"/>
  </si>
  <si>
    <t>RSRPReferenceEnable</t>
    <phoneticPr fontId="53" type="noConversion"/>
  </si>
  <si>
    <t>Device.Services.FAPService.{i}.FAPControl.NR.SelfConfig.SONConfigParam.CandidateARFCNList</t>
    <phoneticPr fontId="53" type="noConversion"/>
  </si>
  <si>
    <t>候选频点列表</t>
    <phoneticPr fontId="53" type="noConversion"/>
  </si>
  <si>
    <t>NR侦听频点列表（ARFCN格式列表）（NRSnifferFreqBandList和NRSnifferChannelList二选一）</t>
    <phoneticPr fontId="53" type="noConversion"/>
  </si>
  <si>
    <t>LTE侦听频段列表(188000..192000,257000..262000,230000..237000)频段随机组合（LTESnifferFreqBandList和LTESnifferChannelList二选一）</t>
    <phoneticPr fontId="53" type="noConversion"/>
  </si>
  <si>
    <t>Device.Services.FAPService.{i}.FAPControl.NR.SelfConfig.SONConfigParam.ANR.InterFeqCandidateARFCNList</t>
    <phoneticPr fontId="53" type="noConversion"/>
  </si>
  <si>
    <t>InterFeqCandidateARFCNList</t>
    <phoneticPr fontId="53" type="noConversion"/>
  </si>
  <si>
    <t>string(64)</t>
    <phoneticPr fontId="53" type="noConversion"/>
  </si>
  <si>
    <t>小区载频的SSB ARFCN列表，ARFCN间以“,”分割</t>
    <phoneticPr fontId="53" type="noConversion"/>
  </si>
  <si>
    <t>用于NR测量中，触发量为RSRP时，A1事件触发条件的绝对门限</t>
    <phoneticPr fontId="53" type="noConversion"/>
  </si>
  <si>
    <t>用于NR测量中，触发量为RSRQ时，A1事件触发条件的绝对门限</t>
    <phoneticPr fontId="53" type="noConversion"/>
  </si>
  <si>
    <t>A3RSRPOffset</t>
    <phoneticPr fontId="53" type="noConversion"/>
  </si>
  <si>
    <t>用于NR测量中,邻区添加绝对电平强度，测量的RSRP</t>
    <phoneticPr fontId="53" type="noConversion"/>
  </si>
  <si>
    <t>Device.Services.FAPService.{i}.FAPControl.NR.SelfConfig.SONConfigParam.ANR.RSRPThreshold</t>
    <phoneticPr fontId="53" type="noConversion"/>
  </si>
  <si>
    <t>RSRPThreshold</t>
    <phoneticPr fontId="53" type="noConversion"/>
  </si>
  <si>
    <t>用于NR测量中,邻区添加相对电平强度，与A3 RSRP的偏移量</t>
    <phoneticPr fontId="53" type="noConversion"/>
  </si>
  <si>
    <t>Device.Services.FAPService.{i}.FAPControl.NR.SelfConfig.SONConfigParam.ANR.A3RSRPOffset</t>
    <phoneticPr fontId="53" type="noConversion"/>
  </si>
  <si>
    <t>Device.FAP.PerfMgmt.Config.{i}.ReplenishEnable</t>
    <phoneticPr fontId="53" type="noConversion"/>
  </si>
  <si>
    <t>Device.FAP.PerfMgmt.Config.{i}.Alias</t>
    <phoneticPr fontId="53" type="noConversion"/>
  </si>
  <si>
    <t>由MCC和MNC组成</t>
    <phoneticPr fontId="53" type="noConversion"/>
  </si>
  <si>
    <t>NCGI列表，表示哪些小区需要执行MR任务
all代表基站下所有小区都采集,NCGI由PLMN和NCI组成，PLMN与NCI之间使用“-”分割，NCGI之间使用“,”分割，例如，“46000-107909121，46000-107909122”</t>
    <phoneticPr fontId="24" type="noConversion"/>
  </si>
  <si>
    <t>NCGI列表，表示哪些小区需要上报软采，需要","进行分隔。例如，“46000-107909121，46000-107909122”</t>
    <phoneticPr fontId="24" type="noConversion"/>
  </si>
  <si>
    <t>Device.Services.FAPService.{i}.Transport.SCTP.Enable</t>
    <phoneticPr fontId="53" type="noConversion"/>
  </si>
  <si>
    <r>
      <t>v</t>
    </r>
    <r>
      <rPr>
        <sz val="9"/>
        <color indexed="8"/>
        <rFont val="宋体"/>
        <family val="3"/>
        <charset val="134"/>
      </rPr>
      <t>lan子接口的默认网关</t>
    </r>
    <phoneticPr fontId="24" type="noConversion"/>
  </si>
  <si>
    <t>dateTime</t>
    <phoneticPr fontId="53" type="noConversion"/>
  </si>
  <si>
    <t>Device.Services.FAPService.{i}.CellConfig.{i}.NR.RAN.NeighborList.NRCell.{i}.NoHOEnable</t>
    <phoneticPr fontId="53" type="noConversion"/>
  </si>
  <si>
    <t>NoHOEnable</t>
    <phoneticPr fontId="53" type="noConversion"/>
  </si>
  <si>
    <t>Device.Services.FAPService.{i}.CellConfig.{i}.NR.RAN.NeighborList.NRCell.{i}.NoRemoveEnable</t>
    <phoneticPr fontId="53" type="noConversion"/>
  </si>
  <si>
    <t>Device.Services.FAPService.{i}.CellConfig.{i}.NR.RAN.NeighborList.NRCell.{i}.Blacklisted</t>
    <phoneticPr fontId="24" type="noConversion"/>
  </si>
  <si>
    <t>上报设备的UTC时间。格式yyyy-mm-ddThh:mm:ssZ；如2020-12-11T19:15:00Z，精确到秒。</t>
    <phoneticPr fontId="24" type="noConversion"/>
  </si>
  <si>
    <t>TR系列规范(TR098/TR181)</t>
    <phoneticPr fontId="24" type="noConversion"/>
  </si>
  <si>
    <t xml:space="preserve">IEEE 1003.1(POSIX）格式的时区字符串,格式如下：
std offset[dst[offset][,start[/time],end[/time]]]
字符串不包含空格，方括号[]包含的内容可省略。
std：标准时区名称，至少要包含3个字母，大小写均可。如果名称包含除字母以外的字符，需要用&lt;&gt;包含。
offset：标准时区偏移，格式为[+|-]hh[:mm[:ss]]，符号+可省略。。符号+表示时区时间偏移比UTC时间提前，符号-表示时区时间偏移比标准时间推后。
dst：夏时令名称，格式和标准时区名称一致。
offset：夏时令偏移，格式和标准时区偏移一致。
start：夏时令起始日期，格式如下：
    Jn      J是固定开头，表示Julian Days(儒略日)，n是一个1~365的整数，对应一年中的第n天。这种记法不区分闰年和平年，所以59表示2月29日，60表示3月1日。
    n       n是一个0~365的整数，这种记法需要考虑到闰年的2月29日。
    Mm.w.d  M是固定开头。d是一个0~6的整数，表示一周中的第几天，第一天是周天；w是一个1~5的整数，表示一个月中的第几周；m是一个1~12的数字，表示一年中的第几个月。
time：夏时令起始时间，以本地时区时间为准，格式和标准时区偏移一致。
end：夏时令结束日期，格式与夏时令起始日期一致。
time：夏时令结束时间，格式和标准时区偏移一致。
当配置夏时令时，可以省略一些参数去使用默认值，以下是各可选配置的默认值：
dst：如果不设置，则时区没有夏时令，比如：CST-8；
offset：夏时令偏移，默认值为标准时区偏移值减去一个小时；
start：夏时令起始日期，默认值为M3.2.0；
time：夏时令起始时间，默认值为2（即凌晨2点，+02:00）；
end：夏时令结束日期，默认值为M11.1.0；
time：夏时令结束时间，默认为2（即凌晨2点，+02:00）。
比如，以下时区：
    EST+5EDT,M4.1.0/2,M11.1.0/2
    表示本地时区的名称为EST，时区时间的偏移为+5，则本地时间是UTC时间再减去5个小时。时区设置了夏时制规则，夏时令名称为EDT，夏时令在每年的4月份的第一周的周天的凌晨2:00:00（本地时间）开始生效，在每年的11月份第一周周天凌晨2:00:00结束，夏令时的时间偏移没有设置，默认为(+5-1)=+4，所以夏时令的时间为UTC时间减去4个小时。
比如，东八区的时间设置：
    CST-8
    表示本地时区的名称为CST，时区时间的偏移为-8，则本地时间是UTC时间再加上8个小时，且本时区没有配置夏时令。
</t>
    <phoneticPr fontId="24" type="noConversion"/>
  </si>
  <si>
    <t>参照官网数据模型（TR098）的定义实现，使用IEEE 1003.1(POSIX）格式的时区字符串。</t>
    <phoneticPr fontId="24" type="noConversion"/>
  </si>
  <si>
    <t>Device.Services.FAPService.{i}.CellConfig.{i}.NR.RAN.NeighborList.NRCell.{i}.NoXnEnable</t>
    <phoneticPr fontId="24" type="noConversion"/>
  </si>
  <si>
    <t>NoXnEnable</t>
    <phoneticPr fontId="24" type="noConversion"/>
  </si>
  <si>
    <t>禁止建立Xn标识</t>
    <phoneticPr fontId="24" type="noConversion"/>
  </si>
  <si>
    <t>该参数表示是否允许本小区与该邻区是否可建立Xn连接。1=禁止向该小区建立Xn连接；0=允许向该小区建立Xn连接</t>
    <phoneticPr fontId="24" type="noConversion"/>
  </si>
  <si>
    <t>Device.Services.FAPService.{i}.CellConfig.{i}.NR.RAN.NeighborList.LTECell.{i}.NoHOEnable</t>
    <phoneticPr fontId="24" type="noConversion"/>
  </si>
  <si>
    <t>NoHOEnable</t>
    <phoneticPr fontId="24" type="noConversion"/>
  </si>
  <si>
    <t>禁止切换标识</t>
    <phoneticPr fontId="24" type="noConversion"/>
  </si>
  <si>
    <t>邻小区是否可以被UE作为切换目标，
1=禁止向该小区切换；
0=允许向该小区切换</t>
    <phoneticPr fontId="24" type="noConversion"/>
  </si>
  <si>
    <t>Device.Services.FAPService.{i}.CellConfig.{i}.NR.RAN.NeighborList.LTECell.{i}.NoRemoveEnable</t>
    <phoneticPr fontId="24" type="noConversion"/>
  </si>
  <si>
    <t>NoRemove</t>
    <phoneticPr fontId="24" type="noConversion"/>
  </si>
  <si>
    <t>禁止删除标识</t>
    <phoneticPr fontId="24" type="noConversion"/>
  </si>
  <si>
    <t>该标志位被设置后， 该邻区不允许被删除，
1=禁止删除该邻区；
0=允许删除该邻区</t>
    <phoneticPr fontId="24" type="noConversion"/>
  </si>
  <si>
    <t>Device.Services.FAPService.{i}.CellConfig.{i}.NR.RAN.Mobility.ConnMode.NR.PeriodMeasCtrl.{i}.MeasurePurpose</t>
    <phoneticPr fontId="24" type="noConversion"/>
  </si>
  <si>
    <t>用于表明当前周期配置的使用目的,Enumerate{anr,purpose1,purpose2,purpose3}</t>
    <phoneticPr fontId="24" type="noConversion"/>
  </si>
  <si>
    <t>unsignedInt[1:4]</t>
    <phoneticPr fontId="53" type="noConversion"/>
  </si>
  <si>
    <t>Device.FAP.MRMgmt.Config.{i}.MeasureItems</t>
  </si>
  <si>
    <t>MeasureItems</t>
  </si>
  <si>
    <t>测量项</t>
  </si>
  <si>
    <t xml:space="preserve">  unsignedInt[0:3279165]</t>
    <phoneticPr fontId="53" type="noConversion"/>
  </si>
  <si>
    <t>unsignedInt</t>
    <phoneticPr fontId="53" type="noConversion"/>
  </si>
  <si>
    <t>unsignedInt[0:255,...]</t>
    <phoneticPr fontId="24" type="noConversion"/>
  </si>
  <si>
    <t>Device.Services.FAPService.{i}.CellConfig.{i}.NR.RAN.Mobility.ConnMode.NR.ReportCGI.{i}.</t>
    <phoneticPr fontId="24" type="noConversion"/>
  </si>
  <si>
    <t>Device.Services.FAPService.{i}.FAPControl.NR.AMFPoolConfigParam.{i}.GUAMI.{i}</t>
    <phoneticPr fontId="53" type="noConversion"/>
  </si>
  <si>
    <t>GUAMI实例节点</t>
    <phoneticPr fontId="53" type="noConversion"/>
  </si>
  <si>
    <t>R</t>
    <phoneticPr fontId="53" type="noConversion"/>
  </si>
  <si>
    <t>SerialNumber</t>
    <phoneticPr fontId="53" type="noConversion"/>
  </si>
  <si>
    <t>V1.2</t>
    <phoneticPr fontId="53" type="noConversion"/>
  </si>
  <si>
    <t>FirstUseDate</t>
    <phoneticPr fontId="53" type="noConversion"/>
  </si>
  <si>
    <t>Device.DeviceInfo.MU.{i}.Slot.{i}.FirstUseDate</t>
    <phoneticPr fontId="53" type="noConversion"/>
  </si>
  <si>
    <t>首次使用日期</t>
    <phoneticPr fontId="53" type="noConversion"/>
  </si>
  <si>
    <t>A</t>
    <phoneticPr fontId="53" type="noConversion"/>
  </si>
  <si>
    <t>UDPConnectionRequestAddress</t>
    <phoneticPr fontId="53" type="noConversion"/>
  </si>
  <si>
    <t>TR系列规范(TR098/TR181/中国移动Nanocell基站设备网络管理南向接口技术规范v1.3.0)</t>
    <phoneticPr fontId="53" type="noConversion"/>
  </si>
  <si>
    <t>TR系列规范(TR098/TR181)/NRM数据配置要求</t>
    <phoneticPr fontId="53" type="noConversion"/>
  </si>
  <si>
    <t>RW</t>
    <phoneticPr fontId="53" type="noConversion"/>
  </si>
  <si>
    <t>负载均衡参数</t>
    <phoneticPr fontId="53" type="noConversion"/>
  </si>
  <si>
    <t>启用或禁用该接口</t>
    <phoneticPr fontId="53" type="noConversion"/>
  </si>
  <si>
    <t>表明接口的状态</t>
    <phoneticPr fontId="53" type="noConversion"/>
  </si>
  <si>
    <t>接口的物理地址</t>
    <phoneticPr fontId="53" type="noConversion"/>
  </si>
  <si>
    <t>信号传送介质类型</t>
    <phoneticPr fontId="53" type="noConversion"/>
  </si>
  <si>
    <t>IPv6 地址</t>
    <phoneticPr fontId="24" type="noConversion"/>
  </si>
  <si>
    <t>WAN 接口的默认网关</t>
    <phoneticPr fontId="53" type="noConversion"/>
  </si>
  <si>
    <t>NTP使能开关</t>
    <phoneticPr fontId="53" type="noConversion"/>
  </si>
  <si>
    <t>测量启动门限</t>
    <phoneticPr fontId="53" type="noConversion"/>
  </si>
  <si>
    <t>Device.Services.FAPService.{i}.CellConfig.{i}.NR.RAN.Mobility.ConnMode.NR.MeasureCtrl.Smeasure</t>
    <phoneticPr fontId="53" type="noConversion"/>
  </si>
  <si>
    <t>A1事件测量控制参数</t>
    <phoneticPr fontId="53" type="noConversion"/>
  </si>
  <si>
    <t>Device.Services.FAPService.{i}.CellConfig.{i}.NR.RAN.Mobility.ConnMode.NR.A3MeasureCtrl.{i}.IncludeBeamMeasurements</t>
    <phoneticPr fontId="53" type="noConversion"/>
  </si>
  <si>
    <t>重选公共参数</t>
    <phoneticPr fontId="53" type="noConversion"/>
  </si>
  <si>
    <t>同频重选参数</t>
    <phoneticPr fontId="53" type="noConversion"/>
  </si>
  <si>
    <t>异频重选参数</t>
    <phoneticPr fontId="53" type="noConversion"/>
  </si>
  <si>
    <t>异系统重选参数</t>
    <phoneticPr fontId="53" type="noConversion"/>
  </si>
  <si>
    <t>周期性测量的配置</t>
    <phoneticPr fontId="53" type="noConversion"/>
  </si>
  <si>
    <t xml:space="preserve">报告CGI的测量配置 </t>
    <phoneticPr fontId="53" type="noConversion"/>
  </si>
  <si>
    <t>使能开关</t>
    <phoneticPr fontId="53" type="noConversion"/>
  </si>
  <si>
    <t>MU&amp;Slot,SerialNumber增加描述“设备序列号，以“-NR”结尾”</t>
    <phoneticPr fontId="53" type="noConversion"/>
  </si>
  <si>
    <t>Device.Services.FAPService.{i}.CellConfig.{i}.NR.CN.EmergencyAreaID</t>
    <phoneticPr fontId="53" type="noConversion"/>
  </si>
  <si>
    <t>Device.Services.FAPService.{i}.CellConfig.{i}.NR.CN.PLMNList.{i}.CellReservedForOperatorUse</t>
    <phoneticPr fontId="53" type="noConversion"/>
  </si>
  <si>
    <t>CN参数管理</t>
    <phoneticPr fontId="53" type="noConversion"/>
  </si>
  <si>
    <t>Device.Services.FAPService.{i}.CellConfig.{i}.NR.CN.CellReservedForOtherUse</t>
    <phoneticPr fontId="53" type="noConversion"/>
  </si>
  <si>
    <t>Device.Services.FAPService.{i}.CellConfig.{i}.NR.CN.TA.{i}.TAC</t>
    <phoneticPr fontId="53" type="noConversion"/>
  </si>
  <si>
    <t>Device.Services.FAPService.{i}.CellConfig.{i}.NR.CN.TA.{i}.Ranac</t>
    <phoneticPr fontId="53" type="noConversion"/>
  </si>
  <si>
    <t>Device.Services.FAPService.{i}.CellConfig.{i}.NR.CN.TA.{i}.CellReservedForOperatorUse</t>
    <phoneticPr fontId="53" type="noConversion"/>
  </si>
  <si>
    <t>Device.Services.FAPService.{i}.CellConfig.{i}.NR.CN.TA.{i}.PLMNList.{i}.PLMNID</t>
    <phoneticPr fontId="53" type="noConversion"/>
  </si>
  <si>
    <t>Device.Services.FAPService.{i}.CellConfig.{i}.NR.CN.TA.{i}.PLMNList.{i}.SliceList.{i}.SNSSAI</t>
    <phoneticPr fontId="53" type="noConversion"/>
  </si>
  <si>
    <t>V1.2</t>
    <phoneticPr fontId="53" type="noConversion"/>
  </si>
  <si>
    <t>Device.Services.FAPService.{i}.FAPControl.LocalBreakout.DnsRules.RuleList.{i}.</t>
    <phoneticPr fontId="53" type="noConversion"/>
  </si>
  <si>
    <t>1:成功
2:失败</t>
    <phoneticPr fontId="53" type="noConversion"/>
  </si>
  <si>
    <t>1:成功
2:失败</t>
    <phoneticPr fontId="53" type="noConversion"/>
  </si>
  <si>
    <t>SJ页5GC、NGC修改为CN 
SA页，SoftwareUpgradeStatus修订为：1：成功，2：失败</t>
    <phoneticPr fontId="53" type="noConversion"/>
  </si>
  <si>
    <t>RW</t>
    <phoneticPr fontId="53" type="noConversion"/>
  </si>
  <si>
    <t>1.扩展型皮基站主机单元与各扩展单元和远端单元可采用树状组网方式（包含菊花链、星形等）：主机单元为根节点，扩展单元为树枝节点，远端单元为叶节点；
2.本参数指示从主机单元的某一板卡的某一端口或非板卡形态的主机单元的某一端口到射频单元RU.{i}的路由路径，并与每个扩展单元的唯一标识对应，通过本参数和EU.{i}.RU.{i}可呈现整个组网拓扑结构及各单元所处位置；
3.RouteIndex取值规则从左至右根据从主机单元某一板卡的某一端口(板卡与端口间以“.”分割)到射频单元RU.{i}的路由使用的各级扩展单元级联端口号逐级取值，每级之间以下划线“_”分割，直至到达本节点EU.{i}，EU.{i}与RU链接的下联端口用“+”表示。例如：“EU.{i}.RU.{i}.RouteIndex = 3.2_1_5+4”代表该路由起始于主机单元（第零级）第3板卡的南向级联端口2，经过第一级扩展单元南向级联端口1，第二级扩展单元南向级联端口5、第三级扩展单元下联端口4路由到本RU.{i}；非板卡类型主机单元，路由表示为2_1_5+4，2表示该路由起始于主机单元（第零级）的端口2。
4.通过RouteIndex取值中数值个数还能体现本射频单元RU.{i}所处级数，例如“EU.{i}.RouteIndex = 3.2_1_5+4”说明该射频单元RU.{i}位于第四级（主机单元为第零级）。</t>
    <phoneticPr fontId="53" type="noConversion"/>
  </si>
  <si>
    <t>1.扩展型皮基站主机单元与各扩展单元和远端单元可采用树状组网方式（包含菊花链、星形等）：主机单元为根节点，扩展单元为树枝节点，远端单元为叶节点；
2.本参数指示从扩展型主机单元某一板卡的某一端口或非板卡形态的主机单元的某一端口到扩展单元EU.{i}的路由路径，并与每个扩展单元的唯一标识对应，通过本参数和EU.{i}.RU.{i}可呈现整个组网拓扑结构及各单元所处位置；
3.RouteIndex取值规则为使用上一级单元的下联端口作为本级单元的路由标识，从左至右根据主机单元，当某一板卡的某一端口(板卡与端口间以“.”分割。非板卡结构MU直接使用端口号)到扩展单元EU.{i}的路由使用的各级设备端口号逐级取值，每级之间以下划线“_”分割，直至到达本节点EU.{i}。例如：“EU.{i}.RouteIndex = 3.2” 代表起始于主机单元（第零级）占用第3槽位的板卡的端口2相连接的EU。“EU.{i}.RouteIndex = 3.2_1_5_4”代表该路由起始于主机单元（第零级）占用第3槽位的板卡的端口2，经过第一级扩展单元南向级联端口1，第二级扩展单元南向向级联端口5，第三级扩展单元南向端口4路由到本扩展单元EU.{i}；非板卡类型主机单元，路由表示为2_1_5_4，2表示该路由起始于主机单元（第零级）的端口2。 
4.通过RouteIndex取值中数值个数还能体现本扩展单元EU.{i}所处级数，例如“EU.{i}.RouteIndex = 3.2_1_5_4”说明该扩展单元EU.{i}位于第四级（主机单元为第零级）。</t>
    <phoneticPr fontId="53" type="noConversion"/>
  </si>
  <si>
    <t>扩展型皮站-扩展单元（EU）参数管理</t>
    <phoneticPr fontId="53" type="noConversion"/>
  </si>
  <si>
    <t>扩展型皮站-远端单元（RU）参数管理</t>
    <phoneticPr fontId="53" type="noConversion"/>
  </si>
  <si>
    <t>多实例删除：
扩展型皮基站本地侧删除一个多实例时，需调用此模型通知网管具体删除的多实例节点， 保证两边的数据统一性。
例：当远端(汇聚)设备部署位置拆除时，扩展型皮基站需要用此模型路径然后才用《南向接口技术规范》中valuechange事件上报网管。
DelEndPoint=Device.DeviceInfo.MU.1.Slot.1.EU.1.RU.3，同时当存在多个新增实例时使用","进行分割</t>
    <phoneticPr fontId="53" type="noConversion"/>
  </si>
  <si>
    <t>多实例新增：
扩展型皮基站本地侧增加一个多实例时，需调用此模型通知网管具体增加的多实例节点， 保证两边的数据统一性。
例：远端(汇聚)单元接入时，扩展型皮基站需要用此型路径然后才用《南向接口技术规范》中valuechange事件上报网管。
AddEndPoint=Device.DeviceInfo.MU.1.Slot.1.EU.1.RU.3，同时当存在多个新增实例时使用","进行分割</t>
    <phoneticPr fontId="53" type="noConversion"/>
  </si>
  <si>
    <t>核心网相关参数，初始化网管通过TR069协议报文ParameterList字段下发扩展型皮基站</t>
    <phoneticPr fontId="53" type="noConversion"/>
  </si>
  <si>
    <t>核心网相关参数，初始化网管通过TR070协议报文ParameterList字段下发扩展型皮基站</t>
    <phoneticPr fontId="53" type="noConversion"/>
  </si>
  <si>
    <t>扩展型皮基站重要性为CB</t>
    <phoneticPr fontId="53" type="noConversion"/>
  </si>
  <si>
    <t>扩展型皮站-主机单元（MU）参数管理中，基于IP五元组的规则列表中，如果某一项为空则表示不考虑该项对分流的影响，例如，规则配置为SourceIp=192.168.10.10，其他SourceMask、SourcePort、TargetIp、TargetMask、TargetPort、ProtocolType均为空，则分流规则只依赖于SourceIp</t>
    <phoneticPr fontId="53" type="noConversion"/>
  </si>
  <si>
    <t>扩展型皮基站开关：(0=false,1=true)
true：标识开启
false：标识关闭</t>
    <phoneticPr fontId="53" type="noConversion"/>
  </si>
  <si>
    <t>修正参数类型
扩展型皮基站开关：(0=false,1=true)
true：标识开启小区闭塞
false：标识关闭小区解闭塞</t>
    <phoneticPr fontId="53" type="noConversion"/>
  </si>
  <si>
    <t>中国移动5G扩展型皮基站网管南向接口数据模型规范</t>
    <phoneticPr fontId="53" type="noConversion"/>
  </si>
  <si>
    <t>all代表所有测量项都采集，取值范围"MR.NRScArfcn,MR.NRScPci,MR.NRScSSRSRP,MR.NRScSSRSRQ,MR.NRScSSSINR,MR.NRScTadv,MR.NRScPHR,MR.hAOA,MR.vAOA,MR.NRUEPlrUL,MR.NRUEPlrDL,MR.NRNcArfcn,MR.NRNcPci,MR.NRNcSSRSRP,MR.NRNcSSRSRQ,MR.NRNcSSSINR,MR.LteNcEarfcn,MR.LteNcPci,MR.LteNcRSRP,MR.LteNcRSRQ,MR.PLMN,MR.NRScSSBIndexId,MR.NRNcSSBIndexId"，多个测量项用","隔开</t>
    <phoneticPr fontId="24" type="noConversion"/>
  </si>
  <si>
    <t>根据《5G NR数字蜂窝移动通信网无线操作维护中心（OMC-R）测量报告技术要求V1.2.0》</t>
    <phoneticPr fontId="53" type="noConversion"/>
  </si>
  <si>
    <t>设备序列号，以“-NR”结尾</t>
    <phoneticPr fontId="53" type="noConversion"/>
  </si>
  <si>
    <t>ManagedObjectInstance</t>
    <phoneticPr fontId="53" type="noConversion"/>
  </si>
  <si>
    <t>RW</t>
    <phoneticPr fontId="53" type="noConversion"/>
  </si>
  <si>
    <t>ProvisioningCode</t>
    <phoneticPr fontId="53" type="noConversion"/>
  </si>
  <si>
    <t>Manufacturer</t>
    <phoneticPr fontId="53" type="noConversion"/>
  </si>
  <si>
    <t>Device.SoftwareCtrl.SystemCurrentVersion</t>
    <phoneticPr fontId="53" type="noConversion"/>
  </si>
  <si>
    <t>AdministrativeState</t>
    <phoneticPr fontId="53" type="noConversion"/>
  </si>
  <si>
    <t>Device.DeviceInfo.MU.{i}.SoftwareVersion</t>
    <phoneticPr fontId="53" type="noConversion"/>
  </si>
  <si>
    <t>Version</t>
    <phoneticPr fontId="53" type="noConversion"/>
  </si>
  <si>
    <t>SwVersion</t>
    <phoneticPr fontId="53" type="noConversion"/>
  </si>
  <si>
    <t>Device.DeviceInfo.MU.{i}.HardwarePlatform</t>
    <phoneticPr fontId="53" type="noConversion"/>
  </si>
  <si>
    <t>Device.FAP.GPS.LockedLatitude</t>
    <phoneticPr fontId="53" type="noConversion"/>
  </si>
  <si>
    <t>Device.DeviceInfo.MU.{i}.ClockSource</t>
    <phoneticPr fontId="53" type="noConversion"/>
  </si>
  <si>
    <t>ClockSource</t>
    <phoneticPr fontId="53" type="noConversion"/>
  </si>
  <si>
    <t>时钟源类型</t>
    <phoneticPr fontId="53" type="noConversion"/>
  </si>
  <si>
    <t>AA</t>
    <phoneticPr fontId="53" type="noConversion"/>
  </si>
  <si>
    <t>ClockSource</t>
    <phoneticPr fontId="53" type="noConversion"/>
  </si>
  <si>
    <t>R</t>
    <phoneticPr fontId="53" type="noConversion"/>
  </si>
  <si>
    <t>Enumerate{
   GPS, GLONASS, BDS, 1588v2,
   GPS/GLONASS, // GPS 为主，GLONASS 为从
   BDS/GPS，
   GPS/BDS，
   GALILEO，
   GPS/GALILEO， //
   GPS/GALILEO/GLONASS, GPS/GALILEO/BDS
}</t>
    <phoneticPr fontId="53" type="noConversion"/>
  </si>
  <si>
    <t>Device.Services.FAPService.{i}.FAPControl.NR.RAN.Common.AdminState</t>
    <phoneticPr fontId="53" type="noConversion"/>
  </si>
  <si>
    <t>AdminState</t>
    <phoneticPr fontId="53" type="noConversion"/>
  </si>
  <si>
    <t>AdminState</t>
    <phoneticPr fontId="53" type="noConversion"/>
  </si>
  <si>
    <t>A</t>
    <phoneticPr fontId="53" type="noConversion"/>
  </si>
  <si>
    <t>AA</t>
    <phoneticPr fontId="53" type="noConversion"/>
  </si>
  <si>
    <t>unsignedInt[1:3]</t>
    <phoneticPr fontId="53" type="noConversion"/>
  </si>
  <si>
    <t>管理的状态，取值范围为{Locked，Unlocked，ShuttingDown}，依据x.731的状态转换来上报。</t>
    <phoneticPr fontId="53" type="noConversion"/>
  </si>
  <si>
    <t>基站的管理状态</t>
    <phoneticPr fontId="53" type="noConversion"/>
  </si>
  <si>
    <t>V1.3</t>
    <phoneticPr fontId="53" type="noConversion"/>
  </si>
  <si>
    <t>ACS向基站发起连接请求通知时所使用的HTTPURL。其形式如下：http://host:port/SOAP/HNBServlet?a=1的"主机"部分可以是基站管理接口的IP地址，用以替代域名。</t>
    <phoneticPr fontId="53" type="noConversion"/>
  </si>
  <si>
    <t>AA&amp;AF</t>
    <phoneticPr fontId="24" type="noConversion"/>
  </si>
  <si>
    <t>UserLabel</t>
    <phoneticPr fontId="24" type="noConversion"/>
  </si>
  <si>
    <t>Device.Services.FAPService.{i}.CellConfig.{i}.NR.VoNR.PdcpInitParam.{i}.RohcEn</t>
    <phoneticPr fontId="53" type="noConversion"/>
  </si>
  <si>
    <t>PdcpSnSizeUL</t>
    <phoneticPr fontId="53" type="noConversion"/>
  </si>
  <si>
    <r>
      <t>PDCP层UL SN号长度，参考TS38.331的 6.3.2节PDCP-Config：pdcp-SN-SizeUL参数
取值范围说明：List of structure 
{
  QCI: Integer, //  QCI or  mapped 5QI 
  PdcpSnSize: ENUMERATED 
}
PdcpSnSize::=ENUMERATED {</t>
    </r>
    <r>
      <rPr>
        <sz val="10"/>
        <rFont val="宋体"/>
        <family val="3"/>
        <charset val="134"/>
      </rPr>
      <t xml:space="preserve">len12bits, len18bits}
</t>
    </r>
    <phoneticPr fontId="53" type="noConversion"/>
  </si>
  <si>
    <r>
      <t>A</t>
    </r>
    <r>
      <rPr>
        <sz val="9"/>
        <color indexed="8"/>
        <rFont val="宋体"/>
        <family val="3"/>
        <charset val="134"/>
      </rPr>
      <t>F</t>
    </r>
    <phoneticPr fontId="53" type="noConversion"/>
  </si>
  <si>
    <t>QCI</t>
    <phoneticPr fontId="15" type="noConversion"/>
  </si>
  <si>
    <t>PDCP层UL SN号长度中的QCI</t>
    <phoneticPr fontId="53" type="noConversion"/>
  </si>
  <si>
    <t>PDCP层DL SN号长度中的SN长度</t>
    <phoneticPr fontId="53" type="noConversion"/>
  </si>
  <si>
    <t>PDCP层UL SN号长度中的SN长度</t>
    <phoneticPr fontId="53" type="noConversion"/>
  </si>
  <si>
    <r>
      <t>PDCP层UL SN号长度，参考TS38.331的 6.3.2节PDCP-Config：pdcp-SN-SizeUL参数
取值范围说明：List of structure 
{
  QCI: Integer, //  QCI or  mapped 5QI 
  PdcpSnSize: ENUMERATED 
}
PdcpSnSize::=ENUMERATED {</t>
    </r>
    <r>
      <rPr>
        <sz val="10"/>
        <rFont val="宋体"/>
        <family val="3"/>
        <charset val="134"/>
      </rPr>
      <t xml:space="preserve">len12bits, len18bits}
</t>
    </r>
    <r>
      <rPr>
        <sz val="11"/>
        <color theme="1"/>
        <rFont val="宋体"/>
        <family val="2"/>
        <charset val="134"/>
        <scheme val="minor"/>
      </rPr>
      <t/>
    </r>
    <phoneticPr fontId="53" type="noConversion"/>
  </si>
  <si>
    <t>unsignedInt[12,18]</t>
    <phoneticPr fontId="53" type="noConversion"/>
  </si>
  <si>
    <t>unsignedInt[1:11}</t>
    <phoneticPr fontId="53" type="noConversion"/>
  </si>
  <si>
    <r>
      <t>PDCP层UL SN号长度，参考TS38.331的 6.3.2节PDCP-Config：pdcp-SN-SizeUL参数
取值范围说明：List of structure 
{
  QCI: Integer, //  QCI or  mapped 5QI 
  PdcpSnSize: ENUMERATED 
}
PdcpSnSize::=ENUMERATED {</t>
    </r>
    <r>
      <rPr>
        <sz val="10"/>
        <rFont val="宋体"/>
        <family val="3"/>
        <charset val="134"/>
      </rPr>
      <t xml:space="preserve">len12bits, len18bits},12对应len12bits
</t>
    </r>
    <r>
      <rPr>
        <sz val="11"/>
        <color theme="1"/>
        <rFont val="宋体"/>
        <family val="2"/>
        <charset val="134"/>
        <scheme val="minor"/>
      </rPr>
      <t/>
    </r>
    <phoneticPr fontId="53" type="noConversion"/>
  </si>
  <si>
    <r>
      <t>A</t>
    </r>
    <r>
      <rPr>
        <sz val="9"/>
        <color indexed="8"/>
        <rFont val="宋体"/>
        <family val="3"/>
        <charset val="134"/>
      </rPr>
      <t>F</t>
    </r>
    <phoneticPr fontId="53" type="noConversion"/>
  </si>
  <si>
    <t>DiscardTimer</t>
    <phoneticPr fontId="53" type="noConversion"/>
  </si>
  <si>
    <t>RW</t>
    <phoneticPr fontId="53" type="noConversion"/>
  </si>
  <si>
    <t xml:space="preserve">PDCP SDU的丢弃时间，参考TS38.331的 6.3.2节PDCP-Config： discardTimer参数
         取值范围: 
取值范围说明：List of structure 
{
  QCI: Integer,
  DiscardTimer: ENUMERATED 
}
DiscardTimer::= ENUMERATED {ms10, ms20, ms30, ms40, ms50, ms60, ms75, ms100, ms150, ms200,ms250, ms300, ms500, ms750, ms1500, infinity} </t>
    <phoneticPr fontId="53" type="noConversion"/>
  </si>
  <si>
    <t>PDCP层SDU丢弃时间</t>
    <phoneticPr fontId="53" type="noConversion"/>
  </si>
  <si>
    <t>unsignedInt[10,20,30,40,50,60,75,100,150,200,250,300,500,750,1500,0x0000FFFF]</t>
    <phoneticPr fontId="53" type="noConversion"/>
  </si>
  <si>
    <t>安全参数管理</t>
    <phoneticPr fontId="24" type="noConversion"/>
  </si>
  <si>
    <t>CipheringAlgorithm</t>
    <phoneticPr fontId="53" type="noConversion"/>
  </si>
  <si>
    <t>IntegrityProtAlgorithm</t>
    <phoneticPr fontId="53" type="noConversion"/>
  </si>
  <si>
    <t>B</t>
    <phoneticPr fontId="53" type="noConversion"/>
  </si>
  <si>
    <t>AG</t>
    <phoneticPr fontId="53" type="noConversion"/>
  </si>
  <si>
    <t>boolean</t>
    <phoneticPr fontId="53" type="noConversion"/>
  </si>
  <si>
    <t>{0:关闭,1:开启}</t>
    <phoneticPr fontId="53" type="noConversion"/>
  </si>
  <si>
    <t>Nia0Enable</t>
    <phoneticPr fontId="53" type="noConversion"/>
  </si>
  <si>
    <t>Nia1Enable</t>
  </si>
  <si>
    <t>Nia2Enable</t>
  </si>
  <si>
    <t>Nia3Enable</t>
  </si>
  <si>
    <t>完整性保护算法nia0</t>
    <phoneticPr fontId="53" type="noConversion"/>
  </si>
  <si>
    <t>完整性保护算法nia1</t>
  </si>
  <si>
    <t>完整性保护算法nia2</t>
  </si>
  <si>
    <t>完整性保护算法nia3</t>
  </si>
  <si>
    <t>Nea0Enable</t>
    <phoneticPr fontId="53" type="noConversion"/>
  </si>
  <si>
    <t>Nea1Enable</t>
  </si>
  <si>
    <t>Nea2Enable</t>
  </si>
  <si>
    <t>Nea3Enable</t>
  </si>
  <si>
    <t>加密算法Nea0Enable</t>
    <phoneticPr fontId="53" type="noConversion"/>
  </si>
  <si>
    <t>加密算法Nea1Enable</t>
  </si>
  <si>
    <t>加密算法Nea2Enable</t>
  </si>
  <si>
    <t>加密算法Nea3Enable</t>
  </si>
  <si>
    <t>DRX参数管理</t>
    <phoneticPr fontId="53" type="noConversion"/>
  </si>
  <si>
    <t>Device.Services.FAPService.{i}.CellConfig.{i}.NR.RAN.RadioBearParam.{i}.5QI</t>
    <phoneticPr fontId="24" type="noConversion"/>
  </si>
  <si>
    <t>Device.Services.FAPService.{i}.CellConfig.{i}.NR.RAN.RadioBearParam.{i}.MappingDrbIndex</t>
    <phoneticPr fontId="24" type="noConversion"/>
  </si>
  <si>
    <t>Device.Services.FAPService.{i}.CellConfig.{i}.NR.RAN.IntegrityProtAlgorithm.Nia0Enable</t>
    <phoneticPr fontId="24" type="noConversion"/>
  </si>
  <si>
    <t>Device.Services.FAPService.{i}.CellConfig.{i}.NR.RAN.IntegrityProtAlgorithm.Nia1Enable</t>
    <phoneticPr fontId="53" type="noConversion"/>
  </si>
  <si>
    <t>Device.Services.FAPService.{i}.CellConfig.{i}.NR.RAN.IntegrityProtAlgorithm.Nia2Enable</t>
    <phoneticPr fontId="53" type="noConversion"/>
  </si>
  <si>
    <t>Device.Services.FAPService.{i}.CellConfig.{i}.NR.RAN.IntegrityProtAlgorithm.Nia3Enable</t>
    <phoneticPr fontId="53" type="noConversion"/>
  </si>
  <si>
    <t>Device.Services.FAPService.{i}.CellConfig.{i}.NR.RAN.CipheringAlgorithm.Nea0Enable</t>
    <phoneticPr fontId="24" type="noConversion"/>
  </si>
  <si>
    <t>Device.Services.FAPService.{i}.CellConfig.{i}.NR.RAN.CipheringAlgorithm.Nea1Enable</t>
    <phoneticPr fontId="53" type="noConversion"/>
  </si>
  <si>
    <t>Device.Services.FAPService.{i}.CellConfig.{i}.NR.RAN.CipheringAlgorithm.Nea2Enable</t>
    <phoneticPr fontId="53" type="noConversion"/>
  </si>
  <si>
    <t>Device.Services.FAPService.{i}.CellConfig.{i}.NR.RAN.CipheringAlgorithm.Nea3Enable</t>
    <phoneticPr fontId="53" type="noConversion"/>
  </si>
  <si>
    <t>DrxLongCycle中的QCI</t>
    <phoneticPr fontId="53" type="noConversion"/>
  </si>
  <si>
    <t>PLMNID</t>
    <phoneticPr fontId="53" type="noConversion"/>
  </si>
  <si>
    <t>小区PLMNID</t>
    <phoneticPr fontId="53" type="noConversion"/>
  </si>
  <si>
    <t>AH</t>
    <phoneticPr fontId="53" type="noConversion"/>
  </si>
  <si>
    <t>DrxLongCycle</t>
    <phoneticPr fontId="53" type="noConversion"/>
  </si>
  <si>
    <t>string(6)</t>
    <phoneticPr fontId="53" type="noConversion"/>
  </si>
  <si>
    <t>QCI</t>
    <phoneticPr fontId="53" type="noConversion"/>
  </si>
  <si>
    <t>DRX长周期的长度</t>
    <phoneticPr fontId="53" type="noConversion"/>
  </si>
  <si>
    <t>字符串取值：ms10, ms20, ms32, ms40, ms60, ms64, ms70, ms80, ms128, ms160, ms256, ms320, ms512, ms640, ms1024, ms1280, ms2048, ms2560, ms5120, ms10240, spare12, spare11, spare10, spare9, spare8, spare7 spare6, spare5, spare4, spare3, spare2, spare1</t>
    <phoneticPr fontId="53" type="noConversion"/>
  </si>
  <si>
    <t>Device.Services.FAPService.{i}.CellConfig.{i}.NR.RAN.RRCTimers.T304</t>
    <phoneticPr fontId="53" type="noConversion"/>
  </si>
  <si>
    <t>Device.Services.FAPService.{i}.CellConfig.{i}.NR.RAN.NeighborList.NRCell.{i}.PhyCellID</t>
    <phoneticPr fontId="53" type="noConversion"/>
  </si>
  <si>
    <t>Device.Services.FAPService.{i}.CellConfig.{i}.NR.RAN.NeighborList.NRCell.{i}.Qoffset</t>
    <phoneticPr fontId="53" type="noConversion"/>
  </si>
  <si>
    <t>Device.Services.FAPService.{i}.CellConfig.{i}.NR.RAN.NeighborList.LTECell.{i}.TAC</t>
    <phoneticPr fontId="53" type="noConversion"/>
  </si>
  <si>
    <t>Device.Services.FAPService.{i}.CellConfig.{i}.NR.RAN.NeighborList.LTECell.{i}.PLMNID</t>
    <phoneticPr fontId="53" type="noConversion"/>
  </si>
  <si>
    <t>TcRAT</t>
    <phoneticPr fontId="53" type="noConversion"/>
  </si>
  <si>
    <t>LTE小区制式</t>
    <phoneticPr fontId="53" type="noConversion"/>
  </si>
  <si>
    <t>AJ</t>
    <phoneticPr fontId="53" type="noConversion"/>
  </si>
  <si>
    <t>unsignedInt[1,2]</t>
    <phoneticPr fontId="53" type="noConversion"/>
  </si>
  <si>
    <t>改参数用于指示该邻区关系对应的LTE邻区制式，{1:TDD,2:FDD}。</t>
    <phoneticPr fontId="53" type="noConversion"/>
  </si>
  <si>
    <t>rsrpThreshold</t>
    <phoneticPr fontId="53" type="noConversion"/>
  </si>
  <si>
    <t>Device.Services.FAPService.{i}.CellConfig.{i}.NR.RAN.Mobility.ConnMode.NR.A1MeasureCtrl.1.ReportAmount</t>
    <phoneticPr fontId="53" type="noConversion"/>
  </si>
  <si>
    <t>Device.Services.FAPService.{i}.CellConfig.{i}.NR.RAN.Mobility.ConnMode.NR.A3MeasureCtrl.{i}.A3OffsetRSRP</t>
    <phoneticPr fontId="53" type="noConversion"/>
  </si>
  <si>
    <t>Device.Services.FAPService.{i}.CellConfig.{i}.NR.RAN.Mobility.ConnMode.NR.A3MeasureCtrl.{i}.A3OffsetSINR</t>
    <phoneticPr fontId="53" type="noConversion"/>
  </si>
  <si>
    <t>Device.Services.FAPService.{i}.CellConfig.{i}.NR.RAN.Mobility.ConnMode.NR.A1MeasureCtrl.{i}.TimeToTrigger</t>
    <phoneticPr fontId="53" type="noConversion"/>
  </si>
  <si>
    <t>Device.Services.FAPService.{i}.CellConfig.{i}.NR.RAN.Mobility.ConnMode.NR.A1MeasureCtrl.2.ReportInterval</t>
    <phoneticPr fontId="53" type="noConversion"/>
  </si>
  <si>
    <t>Device.Services.FAPService.{i}.CellConfig.{i}.NR.RAN.Mobility.ConnMode.NR.A1MeasureCtrl.2.ReportAmount</t>
    <phoneticPr fontId="53" type="noConversion"/>
  </si>
  <si>
    <t>Device.Services.FAPService.{i}.CellConfig.{i}.NR.RAN.Mobility.ConnMode.NR.A1MeasureCtrl.2.ReportQuantityCell</t>
    <phoneticPr fontId="53" type="noConversion"/>
  </si>
  <si>
    <t>Device.Services.FAPService.{i}.CellConfig.{i}.NR.RAN.Mobility.ConnMode.IRAT.B1MeasureCtrl.{i}.MaxReportCells</t>
    <phoneticPr fontId="53" type="noConversion"/>
  </si>
  <si>
    <t>Device.Services.FAPService.{i}.CellConfig.{i}.NR.RAN.Mobility.ConnMode.NR.A1MeasureCtrl.1.ReportQuantityCell</t>
    <phoneticPr fontId="53" type="noConversion"/>
  </si>
  <si>
    <t>Device.Services.FAPService.{i}.CellConfig.{i}.NR.RAN.Mobility.ConnMode.NR.A5MeasureCtrl.1.IncludeBeamMeasurements</t>
    <phoneticPr fontId="53" type="noConversion"/>
  </si>
  <si>
    <t>用来指示测量参考信号的类型，是ssb还是csi-rs,{ssb,csi-rs}</t>
    <phoneticPr fontId="53" type="noConversion"/>
  </si>
  <si>
    <t>某小区的离开状态满足时,UE是否触发测量上报过程；
0:代表不满足条件的小区离开测量列表时不进行上报；
1:代表都会触发测量结果的填写以及上报消息的发送</t>
    <phoneticPr fontId="53" type="noConversion"/>
  </si>
  <si>
    <t>rptQuantityRsIndex</t>
    <phoneticPr fontId="53" type="noConversion"/>
  </si>
  <si>
    <t>A1事件RS测量上报量</t>
    <phoneticPr fontId="53" type="noConversion"/>
  </si>
  <si>
    <t>B</t>
    <phoneticPr fontId="53" type="noConversion"/>
  </si>
  <si>
    <t>AK</t>
    <phoneticPr fontId="53" type="noConversion"/>
  </si>
  <si>
    <t>string</t>
    <phoneticPr fontId="53" type="noConversion"/>
  </si>
  <si>
    <t>测量报告中的上报量
{rsrp,rsrq,sinr}</t>
    <phoneticPr fontId="53" type="noConversion"/>
  </si>
  <si>
    <t>A2事件RS测量上报量</t>
    <phoneticPr fontId="53" type="noConversion"/>
  </si>
  <si>
    <t>A3事件RS测量上报量</t>
    <phoneticPr fontId="53" type="noConversion"/>
  </si>
  <si>
    <t>A4事件RS测量上报量</t>
    <phoneticPr fontId="53" type="noConversion"/>
  </si>
  <si>
    <t>A5事件RS测量上报量</t>
    <phoneticPr fontId="53" type="noConversion"/>
  </si>
  <si>
    <t>A</t>
    <phoneticPr fontId="53" type="noConversion"/>
  </si>
  <si>
    <t>该参数用于指示RS测量上报量:{rsrp,rsrq,sinr,NULL}</t>
    <phoneticPr fontId="53" type="noConversion"/>
  </si>
  <si>
    <t>Device.Services.FAPService.{i}.CellConfig.{i}.NR.RAN.Mobility.ConnMode.NR.A1MeasureCtrl.1.MaxNrofRSIndexToReport</t>
    <phoneticPr fontId="53" type="noConversion"/>
  </si>
  <si>
    <t>Device.Services.FAPService.{i}.CellConfig.{i}.NR.RAN.Mobility.ConnMode.NR.A1MeasureCtrl.1.RptQuantityRsIndex</t>
    <phoneticPr fontId="53" type="noConversion"/>
  </si>
  <si>
    <t>RptQuantityRsIndex</t>
    <phoneticPr fontId="53" type="noConversion"/>
  </si>
  <si>
    <t>MaxNrofRSIndexToReport</t>
    <phoneticPr fontId="53" type="noConversion"/>
  </si>
  <si>
    <t>RS测量上报资源最大个数</t>
    <phoneticPr fontId="53" type="noConversion"/>
  </si>
  <si>
    <t>maxNrofRSIndexToReport</t>
    <phoneticPr fontId="53" type="noConversion"/>
  </si>
  <si>
    <t>unsignedInt[1:32,0x0000FFFF]</t>
    <phoneticPr fontId="53" type="noConversion"/>
  </si>
  <si>
    <t>该参数用于指示RS测量上报资源最大个数,1~32协议规定，0x0000FFFF表示不携带该值</t>
    <phoneticPr fontId="53" type="noConversion"/>
  </si>
  <si>
    <t>Device.Services.FAPService.{i}.CellConfig.{i}.NR.RAN.Mobility.ConnMode.NR.A1MeasureCtrl.2.MaxNrofRSIndexToReport</t>
    <phoneticPr fontId="53" type="noConversion"/>
  </si>
  <si>
    <t>Device.Services.FAPService.{i}.CellConfig.{i}.NR.RAN.Mobility.ConnMode.NR.A1MeasureCtrl.2.RptQuantityRsIndex</t>
    <phoneticPr fontId="53" type="noConversion"/>
  </si>
  <si>
    <t>Device.Services.FAPService.{i}.CellConfig.{i}.NR.RAN.Mobility.ConnMode.NR.A1MeasureCtrl.{i}.MaxNrofRSIndexToReport</t>
    <phoneticPr fontId="53" type="noConversion"/>
  </si>
  <si>
    <t>Device.Services.FAPService.{i}.CellConfig.{i}.NR.RAN.Mobility.ConnMode.NR.A1MeasureCtrl.{i}.RptQuantityRsIndex</t>
    <phoneticPr fontId="53" type="noConversion"/>
  </si>
  <si>
    <t>Device.Services.FAPService.{i}.CellConfig.{i}.NR.RAN.Mobility.ConnMode.NR.A2MeasureCtrl.1.MaxNrofRSIndexToReport</t>
    <phoneticPr fontId="53" type="noConversion"/>
  </si>
  <si>
    <t>Device.Services.FAPService.{i}.CellConfig.{i}.NR.RAN.Mobility.ConnMode.NR.A2MeasureCtrl.1.RptQuantityRsIndex</t>
    <phoneticPr fontId="53" type="noConversion"/>
  </si>
  <si>
    <t>Device.Services.FAPService.{i}.CellConfig.{i}.NR.RAN.Mobility.ConnMode.NR.A2MeasureCtrl.2.RptQuantityRsIndex</t>
    <phoneticPr fontId="53" type="noConversion"/>
  </si>
  <si>
    <t>Device.Services.FAPService.{i}.CellConfig.{i}.NR.RAN.Mobility.ConnMode.NR.A2MeasureCtrl.2.MaxNrofRSIndexToReport</t>
    <phoneticPr fontId="53" type="noConversion"/>
  </si>
  <si>
    <t>Device.Services.FAPService.{i}.CellConfig.{i}.NR.RAN.Mobility.ConnMode.NR.A2MeasureCtrl.{i}.MaxNrofRSIndexToReport</t>
    <phoneticPr fontId="53" type="noConversion"/>
  </si>
  <si>
    <t>Device.Services.FAPService.{i}.CellConfig.{i}.NR.RAN.Mobility.ConnMode.NR.A2MeasureCtrl.{i}.RptQuantityRsIndex</t>
    <phoneticPr fontId="53" type="noConversion"/>
  </si>
  <si>
    <t>Device.Services.FAPService.{i}.CellConfig.{i}.NR.RAN.Mobility.ConnMode.NR.A3MeasureCtrl.1.RptQuantityRsIndex</t>
    <phoneticPr fontId="53" type="noConversion"/>
  </si>
  <si>
    <t>Device.Services.FAPService.{i}.CellConfig.{i}.NR.RAN.Mobility.ConnMode.NR.A3MeasureCtrl.1.MaxNrofRSIndexToReport</t>
    <phoneticPr fontId="53" type="noConversion"/>
  </si>
  <si>
    <t>Device.Services.FAPService.{i}.CellConfig.{i}.NR.RAN.Mobility.ConnMode.NR.A3MeasureCtrl.2.RptQuantityRsIndex</t>
    <phoneticPr fontId="53" type="noConversion"/>
  </si>
  <si>
    <t>Device.Services.FAPService.{i}.CellConfig.{i}.NR.RAN.Mobility.ConnMode.NR.A3MeasureCtrl.2.MaxNrofRSIndexToReport</t>
    <phoneticPr fontId="53" type="noConversion"/>
  </si>
  <si>
    <t>Device.Services.FAPService.{i}.CellConfig.{i}.NR.RAN.Mobility.ConnMode.NR.A3MeasureCtrl.{i}.MaxNrofRSIndexToReport</t>
    <phoneticPr fontId="53" type="noConversion"/>
  </si>
  <si>
    <t>Device.Services.FAPService.{i}.CellConfig.{i}.NR.RAN.Mobility.ConnMode.NR.A3MeasureCtrl.{i}.RptQuantityRsIndex</t>
    <phoneticPr fontId="53" type="noConversion"/>
  </si>
  <si>
    <t>Device.Services.FAPService.{i}.CellConfig.{i}.NR.RAN.Mobility.ConnMode.NR.A4MeasureCtrl.1.MaxNrofRSIndexToReport</t>
    <phoneticPr fontId="53" type="noConversion"/>
  </si>
  <si>
    <t>Device.Services.FAPService.{i}.CellConfig.{i}.NR.RAN.Mobility.ConnMode.NR.A4MeasureCtrl.1.RptQuantityRsIndex</t>
    <phoneticPr fontId="53" type="noConversion"/>
  </si>
  <si>
    <t>Device.Services.FAPService.{i}.CellConfig.{i}.NR.RAN.Mobility.ConnMode.NR.A4MeasureCtrl.{i}.MaxNrofRSIndexToReport</t>
    <phoneticPr fontId="53" type="noConversion"/>
  </si>
  <si>
    <t>Device.Services.FAPService.{i}.CellConfig.{i}.NR.RAN.Mobility.ConnMode.NR.A4MeasureCtrl.{i}.RptQuantityRsIndex</t>
    <phoneticPr fontId="53" type="noConversion"/>
  </si>
  <si>
    <t>Device.Services.FAPService.{i}.CellConfig.{i}.NR.RAN.Mobility.ConnMode.NR.A5MeasureCtrl.1.MaxNrofRSIndexToReport</t>
    <phoneticPr fontId="53" type="noConversion"/>
  </si>
  <si>
    <t>Device.Services.FAPService.{i}.CellConfig.{i}.NR.RAN.Mobility.ConnMode.NR.A5MeasureCtrl.1.RptQuantityRsIndex</t>
    <phoneticPr fontId="53" type="noConversion"/>
  </si>
  <si>
    <t>Device.Services.FAPService.{i}.CellConfig.{i}.NR.RAN.Mobility.ConnMode.NR.A5MeasureCtrl.{i}.MaxNrofRSIndexToReport</t>
    <phoneticPr fontId="53" type="noConversion"/>
  </si>
  <si>
    <t>Device.Services.FAPService.{i}.CellConfig.{i}.NR.RAN.Mobility.ConnMode.NR.A5MeasureCtrl.{i}.RptQuantityRsIndex</t>
    <phoneticPr fontId="53" type="noConversion"/>
  </si>
  <si>
    <t>PDCP参数管理</t>
    <phoneticPr fontId="53" type="noConversion"/>
  </si>
  <si>
    <t>RLC层QCI</t>
    <phoneticPr fontId="53" type="noConversion"/>
  </si>
  <si>
    <t>AM</t>
    <phoneticPr fontId="53" type="noConversion"/>
  </si>
  <si>
    <t>RlcMode</t>
    <phoneticPr fontId="53" type="noConversion"/>
  </si>
  <si>
    <t xml:space="preserve">RLC传输模式，对应协议RLC-Config参数,
取值范围说明：List of structure 
{
   QCI: ENUMERATED，
   Mode: ENUMERATED
}
QCI::=   ENUMERATED{1，2，3，4，5，6，7，8，9，OTHER，...}
 注：QCI 根据NSA 或SA 填写 QCI 或 映射的5QI。
Mode::= ENUMERATED {AM,UM} 
</t>
    <phoneticPr fontId="53" type="noConversion"/>
  </si>
  <si>
    <r>
      <t>R</t>
    </r>
    <r>
      <rPr>
        <sz val="9"/>
        <color indexed="8"/>
        <rFont val="宋体"/>
        <family val="3"/>
        <charset val="134"/>
      </rPr>
      <t>LC工作模式</t>
    </r>
    <phoneticPr fontId="53" type="noConversion"/>
  </si>
  <si>
    <t>Device.Services.FAPService.{i}.CellConfig.{i}.NR.RAN.RLC.{i}.QCI</t>
    <phoneticPr fontId="53" type="noConversion"/>
  </si>
  <si>
    <t>Device.Services.FAPService.{i}.CellConfig.{i}.NR.RAN.RLC.{i}.DlRlcSnSize</t>
    <phoneticPr fontId="53" type="noConversion"/>
  </si>
  <si>
    <t>Device.Services.FAPService.{i}.CellConfig.{i}.NR.RAN.RLC.{i}.UlRlcSnSize</t>
    <phoneticPr fontId="53" type="noConversion"/>
  </si>
  <si>
    <t>DlRlcSnSize</t>
    <phoneticPr fontId="15" type="noConversion"/>
  </si>
  <si>
    <t>UlRlcSnSize</t>
    <phoneticPr fontId="15" type="noConversion"/>
  </si>
  <si>
    <t>下行RLC序列号长度</t>
    <phoneticPr fontId="53" type="noConversion"/>
  </si>
  <si>
    <t>上行RLC序列号长度</t>
    <phoneticPr fontId="53" type="noConversion"/>
  </si>
  <si>
    <t>DlRlcSnSize</t>
    <phoneticPr fontId="53" type="noConversion"/>
  </si>
  <si>
    <t>UlRlcSnSize</t>
    <phoneticPr fontId="53" type="noConversion"/>
  </si>
  <si>
    <t>gNodeB和UE的下行RLC序列号长度
 DlRlcSnSize::=ENUMERATED {len6bits,len12bits, len18bits}</t>
    <phoneticPr fontId="15" type="noConversion"/>
  </si>
  <si>
    <t>gNodeB和UE的上行RLC序列号长度UlRlcSnSize::=ENUMERATED {len6bits,len12bits, len18bits}</t>
    <phoneticPr fontId="15" type="noConversion"/>
  </si>
  <si>
    <r>
      <t>unsignedInt</t>
    </r>
    <r>
      <rPr>
        <sz val="9"/>
        <color indexed="8"/>
        <rFont val="宋体"/>
        <family val="3"/>
        <charset val="134"/>
      </rPr>
      <t>[6,12,18]</t>
    </r>
    <phoneticPr fontId="53" type="noConversion"/>
  </si>
  <si>
    <r>
      <t>unsignedInt</t>
    </r>
    <r>
      <rPr>
        <sz val="9"/>
        <color indexed="8"/>
        <rFont val="宋体"/>
        <family val="3"/>
        <charset val="134"/>
      </rPr>
      <t>[6,12,18]</t>
    </r>
    <r>
      <rPr>
        <sz val="11"/>
        <color theme="1"/>
        <rFont val="宋体"/>
        <family val="2"/>
        <charset val="134"/>
        <scheme val="minor"/>
      </rPr>
      <t/>
    </r>
    <phoneticPr fontId="53" type="noConversion"/>
  </si>
  <si>
    <t>Device.Services.FAPService.{i}.CellConfig.{i}.NR.RAN.PDCP.{i}.QCI</t>
    <phoneticPr fontId="53" type="noConversion"/>
  </si>
  <si>
    <t>Device.Services.FAPService.{i}.CellConfig.{i}.NR.RAN.PDCP.{i}.PdcpSnSizeUL</t>
    <phoneticPr fontId="53" type="noConversion"/>
  </si>
  <si>
    <t>Device.Services.FAPService.{i}.CellConfig.{i}.NR.RAN.PDCP.{i}.PdcpSnSizeDL</t>
    <phoneticPr fontId="53" type="noConversion"/>
  </si>
  <si>
    <t>PdcpSnSizeUL</t>
    <phoneticPr fontId="15" type="noConversion"/>
  </si>
  <si>
    <t>PdcpSnSizeDL</t>
    <phoneticPr fontId="15" type="noConversion"/>
  </si>
  <si>
    <t>PdcpSnSizeDL</t>
    <phoneticPr fontId="53" type="noConversion"/>
  </si>
  <si>
    <t>PdcpSnSizeUL,DL</t>
    <phoneticPr fontId="53" type="noConversion"/>
  </si>
  <si>
    <t>RLC参数管理</t>
    <phoneticPr fontId="53" type="noConversion"/>
  </si>
  <si>
    <t>DrxAlgoSwitch</t>
    <phoneticPr fontId="53" type="noConversion"/>
  </si>
  <si>
    <t>AM</t>
    <phoneticPr fontId="53" type="noConversion"/>
  </si>
  <si>
    <t>DRX算法开关</t>
    <phoneticPr fontId="53" type="noConversion"/>
  </si>
  <si>
    <t>{0:关闭,1:开启}</t>
    <phoneticPr fontId="53" type="noConversion"/>
  </si>
  <si>
    <t>Device.Services.FAPService.{i}.CellConfig.{i}.NR.RAN.RLC.{i}.RlcMode</t>
    <phoneticPr fontId="53" type="noConversion"/>
  </si>
  <si>
    <t>RlcMode</t>
    <phoneticPr fontId="15" type="noConversion"/>
  </si>
  <si>
    <t>Device.Services.FAPService.{i}.CellConfig.{i}.NR.RAN.RLC.{i}.GNBRlcReassemblyTimer</t>
    <phoneticPr fontId="53" type="noConversion"/>
  </si>
  <si>
    <t>GNBRlcReassemblyTimer</t>
    <phoneticPr fontId="53" type="noConversion"/>
  </si>
  <si>
    <t>GNBRLC重组定时器</t>
    <phoneticPr fontId="53" type="noConversion"/>
  </si>
  <si>
    <t>RLF恢复定时器，ms1000对应1000，ms3000对应3000，依次类推。
取值范围：[0~6]
{ms1000,ms3000, ms5000,ms10000, ms15000,ms20000, ms30000}</t>
    <phoneticPr fontId="53" type="noConversion"/>
  </si>
  <si>
    <t>DrxonDurationTimer</t>
    <phoneticPr fontId="53" type="noConversion"/>
  </si>
  <si>
    <t>DrxInactivityTimer</t>
    <phoneticPr fontId="53" type="noConversion"/>
  </si>
  <si>
    <t>DRX持续时间定时器</t>
  </si>
  <si>
    <t>DRX非激活定时器</t>
  </si>
  <si>
    <t>DRX周期内终端持续监听PDCCH的时间,字符串取值 ms1_32, ms2_32, ms3_32, ms4_32, ms5_32, ms6_32, ms7_32, ms8_32, ms9_32, ms10_32, ms11_32, ms12_32, ms13_32, ms14_32, ms15_32, ms16_32, ms17_32, ms18_32, ms19_32, ms20_32,ms21_32, ms22_32, ms23_32, ms24_32, ms25_32, ms26_32,ms27_32, ms28_32, ms29_32, ms30_32, ms31_32, ms1, ms2, ms3, ms4, ms5, ms6, ms8, ms10, ms20, ms30, ms40, ms50, ms60, ms80, ms100, ms200, ms300, ms400, ms500, ms600, ms800, ms1000, ms1200, ms1600, spare8, spare7 spare6, spare5, spare4, spare3, spare2, spare1
注：ms1_32 表示 1/32ms  ... ms31_32表示 31/32ms</t>
    <phoneticPr fontId="53" type="noConversion"/>
  </si>
  <si>
    <t>新传调度之后的持续监听PDCCH时间，字符串取值ms0, ms1, ms2, ms3, ms4, ms5, ms6, ms8, ms10, ms20, ms30, ms40, ms50, ms60, ms80, ms100, ms200, ms300, ms500, ms750, ms1280, ms1920, ms2560, spare9, spare8, spare7, spare6, spare5, spare4, spare3, spare2, spare1</t>
    <phoneticPr fontId="53" type="noConversion"/>
  </si>
  <si>
    <t>Msg1FrequencyStart</t>
    <phoneticPr fontId="53" type="noConversion"/>
  </si>
  <si>
    <t>ssb-perRACH-OccasionAndCB-PreamblesPerSSB</t>
    <phoneticPr fontId="53" type="noConversion"/>
  </si>
  <si>
    <t>CBPreamblesPerSSB</t>
    <phoneticPr fontId="53" type="noConversion"/>
  </si>
  <si>
    <t>Msg1SubcarrierSpacing</t>
    <phoneticPr fontId="53" type="noConversion"/>
  </si>
  <si>
    <t>Msg3Transform Precoder</t>
    <phoneticPr fontId="53" type="noConversion"/>
  </si>
  <si>
    <t>Device.Services.FAPService.{i}.CellConfig.{i}.NR.RAN.PDCP.{i}.DiscardTimer</t>
    <phoneticPr fontId="53" type="noConversion"/>
  </si>
  <si>
    <t xml:space="preserve">Device.Services.FAPService.{i}.CellConfig.{i}.NR.RAN.PHY.BWP.BWPDL.{i}.PDSCH.DlDmrsMaxLength </t>
    <phoneticPr fontId="53" type="noConversion"/>
  </si>
  <si>
    <t xml:space="preserve">DlDmrsMaxLength </t>
    <phoneticPr fontId="53" type="noConversion"/>
  </si>
  <si>
    <t>下行DMRS最大符号个数</t>
    <phoneticPr fontId="53" type="noConversion"/>
  </si>
  <si>
    <t>CA</t>
    <phoneticPr fontId="53" type="noConversion"/>
  </si>
  <si>
    <t>AO</t>
    <phoneticPr fontId="53" type="noConversion"/>
  </si>
  <si>
    <t>DlDmrsMaxLength</t>
    <phoneticPr fontId="53" type="noConversion"/>
  </si>
  <si>
    <t>取值范围:{1，2}</t>
    <phoneticPr fontId="53" type="noConversion"/>
  </si>
  <si>
    <t xml:space="preserve">Device.Services.FAPService.{i}.CellConfig.{i}.NR.RAN.PHY.BWP.BWPUL.{i}.PUSCH.UlDmrsMaxLength   </t>
    <phoneticPr fontId="53" type="noConversion"/>
  </si>
  <si>
    <t xml:space="preserve">UlDmrsMaxLength   </t>
    <phoneticPr fontId="53" type="noConversion"/>
  </si>
  <si>
    <t>上行行DMRS最大符号个数</t>
    <phoneticPr fontId="53" type="noConversion"/>
  </si>
  <si>
    <t>UlDmrsMaxLength</t>
    <phoneticPr fontId="53" type="noConversion"/>
  </si>
  <si>
    <t>取值范围：{1, 2}</t>
    <phoneticPr fontId="53" type="noConversion"/>
  </si>
  <si>
    <t xml:space="preserve">Device.Services.FAPService.{i}.CellConfig.{i}.NR.RAN.PHY.BWP.BWPUL.{i}.PUSCH.UlAdditionalDmrsPos   </t>
    <phoneticPr fontId="53" type="noConversion"/>
  </si>
  <si>
    <t>UlAdditionalDmrsPos</t>
    <phoneticPr fontId="53" type="noConversion"/>
  </si>
  <si>
    <t>上行Additional DMRS位置</t>
    <phoneticPr fontId="53" type="noConversion"/>
  </si>
  <si>
    <t>取值范围:{0,1,2，3}</t>
    <phoneticPr fontId="53" type="noConversion"/>
  </si>
  <si>
    <t xml:space="preserve">Device.Services.FAPService.{i}.CellConfig.{i}.NR.RAN.PHY.BWP.BWPDL.{i}.PDSCH.DlAdditionalDmrsPos </t>
    <phoneticPr fontId="53" type="noConversion"/>
  </si>
  <si>
    <t>DlAdditionalDmrsPos</t>
    <phoneticPr fontId="53" type="noConversion"/>
  </si>
  <si>
    <t>下行Additional DMRS位置</t>
    <phoneticPr fontId="53" type="noConversion"/>
  </si>
  <si>
    <t>deltaFPUCCHf0</t>
    <phoneticPr fontId="53" type="noConversion"/>
  </si>
  <si>
    <t>PUCCH Format 0功率偏移</t>
    <phoneticPr fontId="53" type="noConversion"/>
  </si>
  <si>
    <t>AQ</t>
    <phoneticPr fontId="53" type="noConversion"/>
  </si>
  <si>
    <t>该参数指示了PUCCH format 0物理信道上的所需要的功率偏移,单位dB</t>
    <phoneticPr fontId="53" type="noConversion"/>
  </si>
  <si>
    <t>deltaFPUCCHf1</t>
  </si>
  <si>
    <t>deltaFPUCCHf2</t>
  </si>
  <si>
    <t>deltaFPUCCHf3</t>
  </si>
  <si>
    <t>deltaFPUCCHf4</t>
  </si>
  <si>
    <t>PUCCH Format 1功率偏移</t>
  </si>
  <si>
    <t>PUCCH Format 2功率偏移</t>
  </si>
  <si>
    <t>PUCCH Format 3功率偏移</t>
  </si>
  <si>
    <t>PUCCH Format 4功率偏移</t>
  </si>
  <si>
    <t>该参数指示了PUCCH format 1物理信道上的所需要的功率偏移,单位dB</t>
  </si>
  <si>
    <t>该参数指示了PUCCH format 2物理信道上的所需要的功率偏移,单位dB</t>
  </si>
  <si>
    <t>该参数指示了PUCCH format 3物理信道上的所需要的功率偏移,单位dB</t>
  </si>
  <si>
    <t>该参数指示了PUCCH format 4物理信道上的所需要的功率偏移,单位dB</t>
  </si>
  <si>
    <t>int[-16:15]</t>
    <phoneticPr fontId="53" type="noConversion"/>
  </si>
  <si>
    <t>srsPowerControlAdjustmentStates</t>
    <phoneticPr fontId="53" type="noConversion"/>
  </si>
  <si>
    <t>/</t>
    <phoneticPr fontId="53" type="noConversion"/>
  </si>
  <si>
    <t>SRS功率控制调整状态</t>
    <phoneticPr fontId="53" type="noConversion"/>
  </si>
  <si>
    <t xml:space="preserve">该参数用于指示SRS是单独功控或者跟随着PUSCH同时功控,
字符串取值：{sameAsFci2, separateClosedLoop，sameAsFci1} </t>
    <phoneticPr fontId="53" type="noConversion"/>
  </si>
  <si>
    <t>srsAlpha</t>
    <phoneticPr fontId="53" type="noConversion"/>
  </si>
  <si>
    <t>SRS路损因子</t>
    <phoneticPr fontId="53" type="noConversion"/>
  </si>
  <si>
    <t>srsP0</t>
    <phoneticPr fontId="53" type="noConversion"/>
  </si>
  <si>
    <t>SRS的目标接收功率</t>
    <phoneticPr fontId="53" type="noConversion"/>
  </si>
  <si>
    <t>该参数用于设置SRS功控的目标接收功率，单位dBm</t>
    <phoneticPr fontId="53" type="noConversion"/>
  </si>
  <si>
    <t>unsignedInt[1:8]</t>
    <phoneticPr fontId="53" type="noConversion"/>
  </si>
  <si>
    <t>该参数用于设置SRS功控的路损因子ENUMERATED {alpha0, alpha04, alpha05, alpha06, alpha07, alpha08, alpha09, alpha1}</t>
    <phoneticPr fontId="53" type="noConversion"/>
  </si>
  <si>
    <t>PuschTpcAccumulation</t>
    <phoneticPr fontId="53" type="noConversion"/>
  </si>
  <si>
    <t>puschTpcAccumulation</t>
    <phoneticPr fontId="53" type="noConversion"/>
  </si>
  <si>
    <t>PUSCH累积式功控开关</t>
    <phoneticPr fontId="53" type="noConversion"/>
  </si>
  <si>
    <t xml:space="preserve">{ 关闭:0, 打开:1 }  </t>
    <phoneticPr fontId="53" type="noConversion"/>
  </si>
  <si>
    <t>DeltaFPUCCHf0</t>
    <phoneticPr fontId="53" type="noConversion"/>
  </si>
  <si>
    <t>DeltaFPUCCHf4</t>
    <phoneticPr fontId="53" type="noConversion"/>
  </si>
  <si>
    <t>DeltaFPUCCHf3</t>
    <phoneticPr fontId="53" type="noConversion"/>
  </si>
  <si>
    <t>DeltaFPUCCHf1</t>
    <phoneticPr fontId="53" type="noConversion"/>
  </si>
  <si>
    <t>DeltaFPUCCHf2</t>
    <phoneticPr fontId="53" type="noConversion"/>
  </si>
  <si>
    <t>Device.Services.FAPService.{i}.CellConfig.{i}.NR.RAN.PHY.BWP.BWPUL.{i}.SrsPowerControlAdjustmentStates</t>
    <phoneticPr fontId="53" type="noConversion"/>
  </si>
  <si>
    <t>Device.Services.FAPService.{i}.CellConfig.{i}.NR.RAN.PHY.BWP.BWPUL.{i}.SrsAlpha</t>
    <phoneticPr fontId="53" type="noConversion"/>
  </si>
  <si>
    <t>Device.Services.FAPService.{i}.CellConfig.{i}.NR.RAN.PHY.BWP.BWPUL.{i}.SrsP0</t>
    <phoneticPr fontId="53" type="noConversion"/>
  </si>
  <si>
    <t>SrsPowerControlAdjustmentStates</t>
    <phoneticPr fontId="53" type="noConversion"/>
  </si>
  <si>
    <t>SrsAlpha</t>
    <phoneticPr fontId="53" type="noConversion"/>
  </si>
  <si>
    <t>SrsP0</t>
    <phoneticPr fontId="53" type="noConversion"/>
  </si>
  <si>
    <t>p0NominalWithoutGrant</t>
    <phoneticPr fontId="53" type="noConversion"/>
  </si>
  <si>
    <t>P0NominalWithoutGrant</t>
    <phoneticPr fontId="53" type="noConversion"/>
  </si>
  <si>
    <t>免授权或SPS调度时PUSCH小区级的期望接收功率</t>
    <phoneticPr fontId="53" type="noConversion"/>
  </si>
  <si>
    <t>int[-202:24]</t>
    <phoneticPr fontId="53" type="noConversion"/>
  </si>
  <si>
    <t>免授权或SPS调度时PUSCH小区级的期望接收功率,单位dBm</t>
    <phoneticPr fontId="53" type="noConversion"/>
  </si>
  <si>
    <t>msg3Alpha</t>
    <phoneticPr fontId="53" type="noConversion"/>
  </si>
  <si>
    <t>Msg3Alpha</t>
    <phoneticPr fontId="53" type="noConversion"/>
  </si>
  <si>
    <t>MSG3时的路损补偿因子</t>
    <phoneticPr fontId="53" type="noConversion"/>
  </si>
  <si>
    <t>该参数用于设置MSG3场景时的路损补偿因子，字符串取值： {alpha0, alpha04, alpha05, alpha06, alpha07, alpha08, alpha09, alpha1}</t>
    <phoneticPr fontId="53" type="noConversion"/>
  </si>
  <si>
    <t>twoPUSCHPCAdjustmentStates</t>
    <phoneticPr fontId="53" type="noConversion"/>
  </si>
  <si>
    <t>TwoPUSCHPCAdjustmentStates</t>
    <phoneticPr fontId="53" type="noConversion"/>
  </si>
  <si>
    <t>PUSCH功率调整因子类型</t>
    <phoneticPr fontId="53" type="noConversion"/>
  </si>
  <si>
    <t xml:space="preserve">该参数用于设置PUSCH功率调整因子类型。当需要同时具备两种功率调整因子，则配置twoStates；当只需一种调整因子,则配置onestate。       ENUMERATED {oneState,twoStates}  </t>
    <phoneticPr fontId="53" type="noConversion"/>
  </si>
  <si>
    <t>Device.Services.FAPService.{i}.CellConfig.{i}.NR.RAN.PHY.PUSCH.PuschTpcAccumulation</t>
    <phoneticPr fontId="53" type="noConversion"/>
  </si>
  <si>
    <t>deltaMCS</t>
    <phoneticPr fontId="53" type="noConversion"/>
  </si>
  <si>
    <t>DeltaMCS</t>
    <phoneticPr fontId="53" type="noConversion"/>
  </si>
  <si>
    <t>MCS功率补偿</t>
    <phoneticPr fontId="53" type="noConversion"/>
  </si>
  <si>
    <t xml:space="preserve">该参数用于判决是否开启MCS功率补偿开关,ENUMERATED {1:enabled,2:disabled}  </t>
    <phoneticPr fontId="53" type="noConversion"/>
  </si>
  <si>
    <t>powerControlLoopToUse</t>
    <phoneticPr fontId="53" type="noConversion"/>
  </si>
  <si>
    <t>PowerControlLoopToUse</t>
    <phoneticPr fontId="53" type="noConversion"/>
  </si>
  <si>
    <t>PUSCH免授权和SPS时功率调整因子索引</t>
    <phoneticPr fontId="53" type="noConversion"/>
  </si>
  <si>
    <t>PUSCH免授权和SPS时f(i)索引,ENUMERATED {1:n0, 2:n1},</t>
    <phoneticPr fontId="53" type="noConversion"/>
  </si>
  <si>
    <t>Device.Services.FAPService.{i}.CellConfig.{i}.NR.RAN.PHY.BWP.BWPUL.{i}.PUSCHConfigCommon.P0NominalWithGrant</t>
    <phoneticPr fontId="53" type="noConversion"/>
  </si>
  <si>
    <t>Device.Services.FAPService.{i}.CellConfig.{i}.NR.RAN.PHY.BWP.BWPUL.{i}.PUSCHPowerControl.P0NominalWithoutGrant</t>
    <phoneticPr fontId="53" type="noConversion"/>
  </si>
  <si>
    <t>该连接可用的最大速率模式</t>
    <phoneticPr fontId="53" type="noConversion"/>
  </si>
  <si>
    <t>"10","100","1000","Auto"</t>
    <phoneticPr fontId="53" type="noConversion"/>
  </si>
  <si>
    <t>MaxBitRate</t>
    <phoneticPr fontId="53" type="noConversion"/>
  </si>
  <si>
    <t>PortType</t>
    <phoneticPr fontId="53" type="noConversion"/>
  </si>
  <si>
    <t>SignTransMedia</t>
    <phoneticPr fontId="53" type="noConversion"/>
  </si>
  <si>
    <t>{Optic,Electric,Auto},Auto表示自适应</t>
    <phoneticPr fontId="53" type="noConversion"/>
  </si>
  <si>
    <t>Status</t>
    <phoneticPr fontId="53" type="noConversion"/>
  </si>
  <si>
    <t>Enable</t>
    <phoneticPr fontId="53" type="noConversion"/>
  </si>
  <si>
    <t>PortLocation</t>
    <phoneticPr fontId="53" type="noConversion"/>
  </si>
  <si>
    <t>端口位置</t>
    <phoneticPr fontId="53" type="noConversion"/>
  </si>
  <si>
    <t>AS</t>
    <phoneticPr fontId="53" type="noConversion"/>
  </si>
  <si>
    <t>Device.Services.FAPService.{i}.CellConfig.{i}.NR.RAN.RRCTimers.T320</t>
    <phoneticPr fontId="53" type="noConversion"/>
  </si>
  <si>
    <t>Device.Services.FAPService.{i}.CellConfig.{i}.NR.RAN.PHY.BWP.BWPUL.{i}.PUSCH.UlTimeAlignmentTimer</t>
    <phoneticPr fontId="53" type="noConversion"/>
  </si>
  <si>
    <t>UlTimeAlignmentTimer</t>
    <phoneticPr fontId="53" type="noConversion"/>
  </si>
  <si>
    <t>AU</t>
    <phoneticPr fontId="53" type="noConversion"/>
  </si>
  <si>
    <t>上行时间对齐定时器</t>
    <phoneticPr fontId="53" type="noConversion"/>
  </si>
  <si>
    <t>该参数表示UE上行时间对齐的定时器长度，该定时器超时，则认为UE上行失步。字符串取值 {ms500, ms750, ms1280, ms1920, ms2560, ms5120, ms10240, infinity}</t>
    <phoneticPr fontId="53" type="noConversion"/>
  </si>
  <si>
    <t>defaultPagingCycle</t>
    <phoneticPr fontId="53" type="noConversion"/>
  </si>
  <si>
    <t>Ns</t>
    <phoneticPr fontId="53" type="noConversion"/>
  </si>
  <si>
    <t>SsbPeriodicityServingCell</t>
    <phoneticPr fontId="53" type="noConversion"/>
  </si>
  <si>
    <t>subCarrierSpacingCommon</t>
    <phoneticPr fontId="53" type="noConversion"/>
  </si>
  <si>
    <t>Device.Services.FAPService.{i}.CellConfig.{i}.NR.RAN.PHY.SubCarrierSpacingCommon</t>
    <phoneticPr fontId="53" type="noConversion"/>
  </si>
  <si>
    <t>SubCarrierSpacingCommon</t>
    <phoneticPr fontId="53" type="noConversion"/>
  </si>
  <si>
    <t>ssPBCHBlockPower</t>
    <phoneticPr fontId="53" type="noConversion"/>
  </si>
  <si>
    <t>PucchPcSwitch</t>
    <phoneticPr fontId="53" type="noConversion"/>
  </si>
  <si>
    <t>BF</t>
    <phoneticPr fontId="53" type="noConversion"/>
  </si>
  <si>
    <t>上行PUCCH闭环功控开关</t>
    <phoneticPr fontId="53" type="noConversion"/>
  </si>
  <si>
    <t>上行PUCCH闭环功控开关,取值范围: ENUMERATED{1:ON，2:OFF}</t>
    <phoneticPr fontId="53" type="noConversion"/>
  </si>
  <si>
    <t>PuschPcSwitch</t>
    <phoneticPr fontId="53" type="noConversion"/>
  </si>
  <si>
    <t>上行PUSCH闭环功控开关</t>
    <phoneticPr fontId="53" type="noConversion"/>
  </si>
  <si>
    <t>上行PUSCH闭环功控开关,取值范围: ENUMERATED{1:ON，2:OFF}</t>
    <phoneticPr fontId="53" type="noConversion"/>
  </si>
  <si>
    <t>NRARFCNDL</t>
    <phoneticPr fontId="53" type="noConversion"/>
  </si>
  <si>
    <t>Device.Services.FAPService.{i}.CellConfig.{i}.NR.RAN.PHY.FrequencyInfoDLSIB.OffsetToPointA</t>
    <phoneticPr fontId="53" type="noConversion"/>
  </si>
  <si>
    <t>Device.Services.FAPService.{i}.CellConfig.{i}.NR.RAN.PHY.TddULDLConfigurationCommon.pattern1.NrofDownlinkSlots</t>
    <phoneticPr fontId="53" type="noConversion"/>
  </si>
  <si>
    <t>模式1的连续下行时隙数</t>
    <phoneticPr fontId="53" type="noConversion"/>
  </si>
  <si>
    <t>模式1的连续下行符号数</t>
    <phoneticPr fontId="53" type="noConversion"/>
  </si>
  <si>
    <t>Device.Services.FAPService.{i}.CellConfig.{i}.NR.RAN.PHY.TddULDLConfigurationCommon.pattern1.NrofDownlinkSymbols</t>
    <phoneticPr fontId="53" type="noConversion"/>
  </si>
  <si>
    <t>Device.Services.FAPService.{i}.CellConfig.{i}.NR.RAN.PHY.TddULDLConfigurationCommon.pattern1.NrofUplinkSlots</t>
    <phoneticPr fontId="53" type="noConversion"/>
  </si>
  <si>
    <t>Device.Services.FAPService.{i}.CellConfig.{i}.NR.RAN.PHY.TddULDLConfigurationCommon.pattern1.NrofUplinkSymbols</t>
    <phoneticPr fontId="53" type="noConversion"/>
  </si>
  <si>
    <t>取值范围：{0, 1, 2, 3, 4,5,6,7,8,9}
0代表ms0p5，1代表ms0p625，2代表ms1，3代表ms1p25，4代表ms2，5代表ms2p5，6代表ms3，7代表ms4,8代表ms5,9代表ms10.</t>
    <phoneticPr fontId="53" type="noConversion"/>
  </si>
  <si>
    <t xml:space="preserve">取值范围：{0, 1, 2, 3, 4,5,6,7,8,9,0x00000FFF}
0代表ms0p5，1代表ms0p625，2代表ms1，3代表ms1p25，4代表ms2，5代表ms2p5，6代表ms3，7代表ms4，8代表ms5,9代表ms100x00000FFF代表无效值
</t>
    <phoneticPr fontId="53" type="noConversion"/>
  </si>
  <si>
    <t>Device.Services.FAPService.{i}.CellConfig.{i}.NR.RAN.PHY.TddULDLConfigurationCommon.pattern2.NrofDownlinkSlots</t>
    <phoneticPr fontId="53" type="noConversion"/>
  </si>
  <si>
    <t>Device.Services.FAPService.{i}.CellConfig.{i}.NR.RAN.PHY.TddULDLConfigurationCommon.pattern2.NrofDownlinkSymbols</t>
    <phoneticPr fontId="53" type="noConversion"/>
  </si>
  <si>
    <t>Device.Services.FAPService.{i}.CellConfig.{i}.NR.RAN.PHY.TddULDLConfigurationCommon.pattern2.NrofUplinkSymbols</t>
    <phoneticPr fontId="53" type="noConversion"/>
  </si>
  <si>
    <t>Device.Services.FAPService.{i}.CellConfig.{i}.NR.RAN.PHY.BWP.BWPUL.{i}.PUCCH.PucchRBNum</t>
    <phoneticPr fontId="53" type="noConversion"/>
  </si>
  <si>
    <t>PucchRBNum</t>
    <phoneticPr fontId="53" type="noConversion"/>
  </si>
  <si>
    <t>长格式PUCCH的RB个数</t>
    <phoneticPr fontId="53" type="noConversion"/>
  </si>
  <si>
    <t>Device.Services.FAPService.{i}.CellConfig.{i}.NR.RAN.PHY.FrequencyInfoDLSIB.MultiFrequencyBandListNRSIB.{i}.FreqBandIndicatorNR</t>
    <phoneticPr fontId="53" type="noConversion"/>
  </si>
  <si>
    <t>FreqBandIndList实际值
总个数最大为8，即i最大取8</t>
    <phoneticPr fontId="53" type="noConversion"/>
  </si>
  <si>
    <t>unsignedInt[1:1024]</t>
    <phoneticPr fontId="53" type="noConversion"/>
  </si>
  <si>
    <t>Device.Services.FAPService.{i}.CellConfig.{i}.NR.RAN.Mobility.IdleMode.Common.Qhyst</t>
    <phoneticPr fontId="53" type="noConversion"/>
  </si>
  <si>
    <t>Device.Services.FAPService.{i}.CellConfig.{i}.NR.RAN.Mobility.IdleMode.IntraFreq.CellReselectionPriority</t>
    <phoneticPr fontId="53" type="noConversion"/>
  </si>
  <si>
    <t>Device.Services.FAPService.{i}.CellConfig.{i}.NR.RAN.Mobility.IdleMode.IntraFreq.TReselectionNR</t>
    <phoneticPr fontId="53" type="noConversion"/>
  </si>
  <si>
    <t>同频小区重选优先级附加值</t>
    <phoneticPr fontId="53" type="noConversion"/>
  </si>
  <si>
    <t>Device.Services.FAPService.{i}.CellConfig.{i}.NR.RAN.Mobility.IdleMode.IntraFreq.ThreshServingLowP</t>
    <phoneticPr fontId="53" type="noConversion"/>
  </si>
  <si>
    <t>Device.Services.FAPService.{i}.CellConfig.{i}.NR.RAN.Mobility.IdleMode.InterFreq.Carrier.{i}.QRxLevMin</t>
    <phoneticPr fontId="53" type="noConversion"/>
  </si>
  <si>
    <t>Device.Services.FAPService.{i}.CellConfig.{i}.NR.RAN.Mobility.IdleMode.IntraFreq.QRxLevMinSIB2</t>
    <phoneticPr fontId="53" type="noConversion"/>
  </si>
  <si>
    <t>DeviceInfo</t>
    <phoneticPr fontId="53" type="noConversion"/>
  </si>
  <si>
    <t>用户友好名</t>
    <phoneticPr fontId="53" type="noConversion"/>
  </si>
  <si>
    <t>UserLabel</t>
    <phoneticPr fontId="53" type="noConversion"/>
  </si>
  <si>
    <t>UserLabel</t>
    <phoneticPr fontId="53" type="noConversion"/>
  </si>
  <si>
    <t>Device.Services.FAPService.{i}.CellConfig.{i}.NR.RAN.Common.cellType</t>
    <phoneticPr fontId="53" type="noConversion"/>
  </si>
  <si>
    <t>Device.Services.FAPService.{i}.CellConfig.{i}.NR.RAN.UserLabel</t>
    <phoneticPr fontId="53" type="noConversion"/>
  </si>
  <si>
    <t>Device.Ethernet.Interface.{i}.UserLabel</t>
    <phoneticPr fontId="53" type="noConversion"/>
  </si>
  <si>
    <t>Device.DeviceInfo.MU.{i}.DnPrefix</t>
    <phoneticPr fontId="53" type="noConversion"/>
  </si>
  <si>
    <t>DnPrefix</t>
    <phoneticPr fontId="53" type="noConversion"/>
  </si>
  <si>
    <t>DN前缀</t>
    <phoneticPr fontId="53" type="noConversion"/>
  </si>
  <si>
    <t>中国移动室分系统OMC南向接口要求 第2部分：皮基站技术要求_0611_clean</t>
    <phoneticPr fontId="53" type="noConversion"/>
  </si>
  <si>
    <t>Device.Services.FAPService.{i}.CellConfig.{i}.NR.RAN.NeighborList.LTECell.{i}.TcRAT</t>
    <phoneticPr fontId="53" type="noConversion"/>
  </si>
  <si>
    <t>Device.DeviceInfo.MU.{i}.Slot.{i}.SlotsOccupied</t>
    <phoneticPr fontId="53" type="noConversion"/>
  </si>
  <si>
    <t>R</t>
    <phoneticPr fontId="53" type="noConversion"/>
  </si>
  <si>
    <t>由MU的实例号、Slot板卡的实例号、端口号，例如，MU实例1的Slot2的端口3表示为“1.2+3”，在没有Slot作为传输板时，上例表示为“1+3”</t>
    <phoneticPr fontId="53" type="noConversion"/>
  </si>
  <si>
    <t>Device.Services.FAPService.{i}.CellConfig.{i}.NR.RAN.PHY.BWP.BWPUL.{i}.PUSCHPowerControl.Msg3Alpha</t>
    <phoneticPr fontId="53" type="noConversion"/>
  </si>
  <si>
    <t>Device.Services.FAPService.{i}.CellConfig.{i}.NR.RAN.PHY.BWP.BWPUL.{i}.PUSCHPowerControl.TwoPUSCHPCAdjustmentStates</t>
    <phoneticPr fontId="53" type="noConversion"/>
  </si>
  <si>
    <t>Device.Services.FAPService.{i}.CellConfig.{i}.NR.RAN.PHY.BWP.BWPUL.{i}.PUSCHPowerControl.DeltaMCS</t>
    <phoneticPr fontId="53" type="noConversion"/>
  </si>
  <si>
    <t>Device.Services.FAPService.{i}.CellConfig.{i}.NR.RAN.PHY.BWP.BWPUL.{i}.PUSCHPowerControl.PuschPcSwitch</t>
    <phoneticPr fontId="53" type="noConversion"/>
  </si>
  <si>
    <t>Device.Services.FAPService.{i}.CellConfig.{i}.NR.RAN.PHY.BWP.BWPUL.{i}.ConfiguredGrantConfig.PowerControlLoopToUse</t>
    <phoneticPr fontId="53" type="noConversion"/>
  </si>
  <si>
    <t>Device.Services.FAPService.{i}.CellConfig.{i}.NR.RAN.PHY.BWP.BWPUL.{i}.PUCCHPowerControl.DeltaFPUCCHf0</t>
    <phoneticPr fontId="53" type="noConversion"/>
  </si>
  <si>
    <t>Device.Services.FAPService.{i}.CellConfig.{i}.NR.RAN.PHY.BWP.BWPUL.{i}.PUCCHPowerControl.DeltaFPUCCHf1</t>
    <phoneticPr fontId="53" type="noConversion"/>
  </si>
  <si>
    <t>Device.Services.FAPService.{i}.CellConfig.{i}.NR.RAN.PHY.BWP.BWPUL.{i}.PUCCHPowerControl.DeltaFPUCCHf2</t>
    <phoneticPr fontId="53" type="noConversion"/>
  </si>
  <si>
    <t>Device.Services.FAPService.{i}.CellConfig.{i}.NR.RAN.PHY.BWP.BWPUL.{i}.PUCCHPowerControl.DeltaFPUCCHf3</t>
    <phoneticPr fontId="53" type="noConversion"/>
  </si>
  <si>
    <t>Device.Services.FAPService.{i}.CellConfig.{i}.NR.RAN.PHY.BWP.BWPUL.{i}.PUCCHPowerControl.DeltaFPUCCHf4</t>
    <phoneticPr fontId="53" type="noConversion"/>
  </si>
  <si>
    <t>Device.Services.FAPService.{i}.CellConfig.{i}.NR.RAN.PHY.BWP.BWPUL.{i}.PUCCHPowerControl.PucchPcSwitch</t>
    <phoneticPr fontId="53" type="noConversion"/>
  </si>
  <si>
    <t>Device.Services.FAPService.{i}.CellConfig.{i}.NR.RAN.PCCHConfig.Ns</t>
    <phoneticPr fontId="53" type="noConversion"/>
  </si>
  <si>
    <t>Device.Services.FAPService.{i}.CellConfig.{i}.NR.RAN.PCCHConfig.DefaultPagingCycle</t>
    <phoneticPr fontId="15" type="noConversion"/>
  </si>
  <si>
    <t>寻呼参数管理</t>
    <phoneticPr fontId="53" type="noConversion"/>
  </si>
  <si>
    <t xml:space="preserve">RLC传输模式，对应协议RLC-Config参数,ENUMERATED {1:AM:2:UM} 
</t>
    <phoneticPr fontId="15" type="noConversion"/>
  </si>
  <si>
    <t>Device.Services.FAPService.{i}.CellConfig.{i}.NR.RAN.Drx.{i}.DrxAlgoSwitch</t>
    <phoneticPr fontId="53" type="noConversion"/>
  </si>
  <si>
    <t>Device.Services.FAPService.{i}.CellConfig.{i}.NR.RAN.Drx.{i}.DrxonDurationTimer</t>
    <phoneticPr fontId="53" type="noConversion"/>
  </si>
  <si>
    <t>Device.Services.FAPService.{i}.CellConfig.{i}.NR.RAN.Drx.{i}.DrxLongCycle</t>
    <phoneticPr fontId="53" type="noConversion"/>
  </si>
  <si>
    <t>Device.Services.FAPService.{i}.CellConfig.{i}.NR.RAN.Drx.{i}.DrxInactivityTimer</t>
    <phoneticPr fontId="53" type="noConversion"/>
  </si>
  <si>
    <t>NoRemoveEnable</t>
    <phoneticPr fontId="53" type="noConversion"/>
  </si>
  <si>
    <t>CycleTo</t>
    <phoneticPr fontId="53" type="noConversion"/>
  </si>
  <si>
    <t>CycleTo</t>
    <phoneticPr fontId="53" type="noConversion"/>
  </si>
  <si>
    <t>SourceIPv6</t>
    <phoneticPr fontId="53" type="noConversion"/>
  </si>
  <si>
    <t>Device.Services.FAPService.{i}.FAPControl.LocalBreakout.IpRules.RuleList.{i}.SourcePrefixLength</t>
    <phoneticPr fontId="24" type="noConversion"/>
  </si>
  <si>
    <t>SourcePrefixLength</t>
    <phoneticPr fontId="53" type="noConversion"/>
  </si>
  <si>
    <t>Device.Services.FAPService.{i}.FAPControl.LocalBreakout.IpRules.RuleList.{i}.TargetIPv6</t>
    <phoneticPr fontId="24" type="noConversion"/>
  </si>
  <si>
    <t>TargetIPv6</t>
    <phoneticPr fontId="53" type="noConversion"/>
  </si>
  <si>
    <t>Device.Services.FAPService.{i}.FAPControl.LocalBreakout.IpRules.RuleList.{i}.TargetPrefixLength</t>
    <phoneticPr fontId="24" type="noConversion"/>
  </si>
  <si>
    <t>TargetPrefixLength</t>
    <phoneticPr fontId="53" type="noConversion"/>
  </si>
  <si>
    <t>Device.DeviceInfo.MU.{i}.SerialNumber</t>
    <phoneticPr fontId="53" type="noConversion"/>
  </si>
  <si>
    <t>Device.DeviceInfo.MU.{i}.Slot.{i}.EU.{i}.RU.{i}.SerialNumber</t>
    <phoneticPr fontId="53" type="noConversion"/>
  </si>
  <si>
    <t>Device.Services.FAPService.{i}.FAPControl.NR.XnIpAddrMapInfo.{i}.TAISupportList.{i}.BroadcastPLMNs.{i}.PLMNID</t>
    <phoneticPr fontId="53" type="noConversion"/>
  </si>
  <si>
    <t>Device.Services.FAPService.{i}.CellConfig.{i}.NR.RAN.Mobility.ConnMode.IRAT.B2MeasureCtrl.{i}.B2Threshold2EUTRARSRQ</t>
  </si>
  <si>
    <t>Device.Services.FAPService.{i}.CellConfig.{i}.NR.RAN.Mobility.ConnMode.IRAT.B2MeasureCtrl.{i}.B2Threshold2EUTRASINR</t>
  </si>
  <si>
    <t>Device.Services.FAPService.{i}.CellConfig.{i}.NR.RAN.Mobility.ConnMode.IRAT.B2MeasureCtrl.{i}.B2Threshold2EUTRARSRP</t>
  </si>
  <si>
    <t>Device.Services.FAPService.{i}.CellConfig.{i}.NR.RAN.PHY.FrequencyInfoDLSIB.ScsSpecificCarrierList.{i}.SCSSpecificCarrier.SubcarrierSpacing</t>
    <phoneticPr fontId="53" type="noConversion"/>
  </si>
  <si>
    <t>unsignedInt[0,5,10,15,20,25,30,35,40,45,50,55,60,65,70,75,80,85,90,95,100,110,120,130,140,150,160,170,180,190,200,0x0000FFFF]</t>
    <phoneticPr fontId="53" type="noConversion"/>
  </si>
  <si>
    <t>该参数表示RLC重组定时器的时长
取值：0:ms0, 5:ms5, 10:ms10, 15:ms15, 20:ms20, 25:ms25, 30:ms30, 35:ms35,40:ms40, 45:ms45, 50:ms50, 55:ms55, 60:ms60,65:ms65,70:ms70,75:ms75,80:ms80, 85:ms85, 90:ms90, 95:ms95,100:ms100, 110:ms110,120:ms120, 130:ms130, 140:ms140, 150:ms150, 160:ms160, 170:ms170,180:ms180, 190:ms190, 200:ms200,0x0000FFFF:spare1</t>
    <phoneticPr fontId="15" type="noConversion"/>
  </si>
  <si>
    <t>Device.Services.FAPService.{i}.CellConfig.{i}.NR.RAN.PCCHConfig.N</t>
    <phoneticPr fontId="53" type="noConversion"/>
  </si>
  <si>
    <t>N</t>
    <phoneticPr fontId="53" type="noConversion"/>
  </si>
  <si>
    <t>unsignedInt[0:15]</t>
    <phoneticPr fontId="53" type="noConversion"/>
  </si>
  <si>
    <t>unsignedInt[1,2,4,8,16]</t>
    <phoneticPr fontId="53" type="noConversion"/>
  </si>
  <si>
    <t>寻呼总帧数</t>
    <phoneticPr fontId="53" type="noConversion"/>
  </si>
  <si>
    <t>Device.Services.FAPService.{i}.CellConfig.{i}.NR.RAN.PCCHConfig.PagingFrameOffset</t>
    <phoneticPr fontId="53" type="noConversion"/>
  </si>
  <si>
    <t>PagingFrameOffset</t>
    <phoneticPr fontId="53" type="noConversion"/>
  </si>
  <si>
    <t>寻呼偏置</t>
    <phoneticPr fontId="53" type="noConversion"/>
  </si>
  <si>
    <t>Device.Services.FAPService.{i}.CellConfig.{i}.NR.RAN.Drx.{i}.QCI</t>
    <phoneticPr fontId="53" type="noConversion"/>
  </si>
  <si>
    <t>The IE CellIdentity is used to unambiguously identify a cell within a PLMN</t>
    <phoneticPr fontId="53" type="noConversion"/>
  </si>
  <si>
    <t>Device.Services.FAPService.{i}.CellConfig.{i}.NR.RAN.RF.NRARFCNDL</t>
    <phoneticPr fontId="53" type="noConversion"/>
  </si>
  <si>
    <t>A</t>
    <phoneticPr fontId="53" type="noConversion"/>
  </si>
  <si>
    <t>R</t>
    <phoneticPr fontId="53" type="noConversion"/>
  </si>
  <si>
    <t>gNodeB DU编号</t>
    <phoneticPr fontId="53" type="noConversion"/>
  </si>
  <si>
    <t>unsignedLong[0:‭68719476735‬]</t>
    <phoneticPr fontId="53" type="noConversion"/>
  </si>
  <si>
    <t>在gNB内可用唯一标识DU;参见3GPP TS 38.401 6.2.2节和 3GPP TS 38.473 9.3.1.9节</t>
    <phoneticPr fontId="53" type="noConversion"/>
  </si>
  <si>
    <t>AL</t>
    <phoneticPr fontId="53" type="noConversion"/>
  </si>
  <si>
    <t>gNB-DUId</t>
    <phoneticPr fontId="53" type="noConversion"/>
  </si>
  <si>
    <t>Device.Services.FAPService.{i}.CellConfig.{i}.NR.RAN.RF.gNBDUId</t>
    <phoneticPr fontId="53" type="noConversion"/>
  </si>
  <si>
    <t>gNBDUId</t>
    <phoneticPr fontId="53" type="noConversion"/>
  </si>
  <si>
    <t>小区标识(36bit)</t>
    <phoneticPr fontId="53" type="noConversion"/>
  </si>
  <si>
    <t>Device.Services.FAPService.{i}.CellConfig.{i}.NR.CN.TA.{i}.NrcellIdentity</t>
    <phoneticPr fontId="53" type="noConversion"/>
  </si>
  <si>
    <t>下行NRARFCN</t>
    <phoneticPr fontId="53" type="noConversion"/>
  </si>
  <si>
    <t>上行NRARFCN</t>
    <phoneticPr fontId="53" type="noConversion"/>
  </si>
  <si>
    <t>单位dB
指小基站某个发射通道发射增益，</t>
    <phoneticPr fontId="53" type="noConversion"/>
  </si>
  <si>
    <t>可以为小数，例如3.2或-6.3</t>
    <phoneticPr fontId="53" type="noConversion"/>
  </si>
  <si>
    <t>Device.Ethernet.Interface.{i}.PortLocation</t>
    <phoneticPr fontId="53" type="noConversion"/>
  </si>
  <si>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phoneticPr fontId="53" type="noConversion"/>
  </si>
  <si>
    <t>默认不填写为空字符串</t>
    <phoneticPr fontId="53" type="noConversion"/>
  </si>
  <si>
    <t>Device.Ethernet.Interface.{i}.MaxBitRate</t>
    <phoneticPr fontId="53" type="noConversion"/>
  </si>
  <si>
    <t>（Ng, Xn, Ng/Xn, S1, X2, S1/X2, F1, E1, OAM,IR,other）</t>
    <phoneticPr fontId="53" type="noConversion"/>
  </si>
  <si>
    <t>（Ng, Xn, Ng/Xn, S1, X2, S1/X2, F1, E1, IR,other）</t>
    <phoneticPr fontId="53" type="noConversion"/>
  </si>
  <si>
    <t>Device.DeviceInfo.MU.{i}.Slot.{i}.SerialNumber</t>
    <phoneticPr fontId="53" type="noConversion"/>
  </si>
  <si>
    <t>Device.FaultMgmt.ExpeditedEvent.{i}.ManagedObjectInstance</t>
    <phoneticPr fontId="53" type="noConversion"/>
  </si>
  <si>
    <t>SA页：
TxGain修改类型为string，增加描述
userlabel和dnprefix默认为空字符串
SF页：
增加gNBadminiState
增加gNBName对应的北向UserLabel的映射
SJ页：
删除小区AdminiState与北向的对应关系
增加安全参数
增加DRX参数
修订DLNRARFCN和ULNRARFCN描述
增加PCCH偏置和寻呼总数
增加gNBDUId
修订Userlabel默认为空字符串
sk页：
增加PDCP层参数,RLC参数,DMRS参数
参数首字母大写
SL页：
增加tcRAT
SM页：
增加rqtQuantity和maxRS
SO页：
增加portlocation
SD页:
删除告警SN、OUI</t>
    <phoneticPr fontId="53" type="noConversion"/>
  </si>
  <si>
    <t>管理对象类</t>
  </si>
  <si>
    <r>
      <t> </t>
    </r>
    <r>
      <rPr>
        <sz val="10.5"/>
        <color indexed="8"/>
        <rFont val="宋体"/>
        <family val="3"/>
        <charset val="134"/>
      </rPr>
      <t>备注</t>
    </r>
  </si>
  <si>
    <t>包含关系上级类</t>
  </si>
  <si>
    <r>
      <t>皮基站</t>
    </r>
    <r>
      <rPr>
        <sz val="10.5"/>
        <color indexed="8"/>
        <rFont val="Calibri"/>
        <family val="2"/>
      </rPr>
      <t xml:space="preserve">ID </t>
    </r>
    <r>
      <rPr>
        <sz val="10.5"/>
        <color indexed="8"/>
        <rFont val="宋体"/>
        <family val="3"/>
        <charset val="134"/>
      </rPr>
      <t>建议</t>
    </r>
  </si>
  <si>
    <t>ManagedElement</t>
  </si>
  <si>
    <t>网元</t>
  </si>
  <si>
    <t>SubNetwork</t>
  </si>
  <si>
    <t>InventoryUnitRack</t>
  </si>
  <si>
    <t>机架</t>
  </si>
  <si>
    <t>否</t>
  </si>
  <si>
    <t>InventoryUnitShelf</t>
  </si>
  <si>
    <t>机框</t>
  </si>
  <si>
    <t>InventoryUnitPack</t>
  </si>
  <si>
    <t>板卡</t>
  </si>
  <si>
    <t>InventoryUnitRru</t>
  </si>
  <si>
    <t>射频拉远单元</t>
  </si>
  <si>
    <t>GNBCUUPFunction</t>
  </si>
  <si>
    <r>
      <t>GNB CUUP</t>
    </r>
    <r>
      <rPr>
        <sz val="10.5"/>
        <color indexed="8"/>
        <rFont val="宋体"/>
        <family val="3"/>
        <charset val="134"/>
      </rPr>
      <t>功能</t>
    </r>
  </si>
  <si>
    <t>GNBCUCPFunction</t>
  </si>
  <si>
    <r>
      <t>GNB CUCP</t>
    </r>
    <r>
      <rPr>
        <sz val="10.5"/>
        <color indexed="8"/>
        <rFont val="宋体"/>
        <family val="3"/>
        <charset val="134"/>
      </rPr>
      <t>功能</t>
    </r>
  </si>
  <si>
    <t>NRCellCU</t>
  </si>
  <si>
    <r>
      <t>NR</t>
    </r>
    <r>
      <rPr>
        <sz val="10.5"/>
        <color indexed="8"/>
        <rFont val="宋体"/>
        <family val="3"/>
        <charset val="134"/>
      </rPr>
      <t>小区</t>
    </r>
    <r>
      <rPr>
        <sz val="10.5"/>
        <color indexed="8"/>
        <rFont val="Calibri"/>
        <family val="2"/>
      </rPr>
      <t>CU</t>
    </r>
    <r>
      <rPr>
        <sz val="10.5"/>
        <color indexed="8"/>
        <rFont val="宋体"/>
        <family val="3"/>
        <charset val="134"/>
      </rPr>
      <t>功能</t>
    </r>
  </si>
  <si>
    <t>NRRelation</t>
  </si>
  <si>
    <r>
      <t>NR</t>
    </r>
    <r>
      <rPr>
        <sz val="10.5"/>
        <color indexed="8"/>
        <rFont val="宋体"/>
        <family val="3"/>
        <charset val="134"/>
      </rPr>
      <t>邻区关系</t>
    </r>
  </si>
  <si>
    <t>EutranRelation</t>
  </si>
  <si>
    <r>
      <t>LTE</t>
    </r>
    <r>
      <rPr>
        <sz val="10.5"/>
        <color indexed="8"/>
        <rFont val="宋体"/>
        <family val="3"/>
        <charset val="134"/>
      </rPr>
      <t>邻区关系</t>
    </r>
  </si>
  <si>
    <t>NRCellMeasConfig</t>
  </si>
  <si>
    <r>
      <t>NR</t>
    </r>
    <r>
      <rPr>
        <sz val="10.5"/>
        <color indexed="8"/>
        <rFont val="宋体"/>
        <family val="3"/>
        <charset val="134"/>
      </rPr>
      <t>小区测量配置参数</t>
    </r>
  </si>
  <si>
    <t>GNBDUFunction</t>
  </si>
  <si>
    <r>
      <t>GNB DU</t>
    </r>
    <r>
      <rPr>
        <sz val="10.5"/>
        <color indexed="8"/>
        <rFont val="宋体"/>
        <family val="3"/>
        <charset val="134"/>
      </rPr>
      <t>功能</t>
    </r>
  </si>
  <si>
    <t>NRCellDU</t>
  </si>
  <si>
    <r>
      <t>NR</t>
    </r>
    <r>
      <rPr>
        <sz val="10.5"/>
        <color indexed="8"/>
        <rFont val="宋体"/>
        <family val="3"/>
        <charset val="134"/>
      </rPr>
      <t>小区</t>
    </r>
    <r>
      <rPr>
        <sz val="10.5"/>
        <color indexed="8"/>
        <rFont val="Calibri"/>
        <family val="2"/>
      </rPr>
      <t>DU</t>
    </r>
    <r>
      <rPr>
        <sz val="10.5"/>
        <color indexed="8"/>
        <rFont val="宋体"/>
        <family val="3"/>
        <charset val="134"/>
      </rPr>
      <t>功能</t>
    </r>
  </si>
  <si>
    <t>BWP</t>
  </si>
  <si>
    <r>
      <t>NR</t>
    </r>
    <r>
      <rPr>
        <sz val="10.5"/>
        <color indexed="8"/>
        <rFont val="宋体"/>
        <family val="3"/>
        <charset val="134"/>
      </rPr>
      <t>小区资源配置参数</t>
    </r>
  </si>
  <si>
    <t>NRCellDUPhysical</t>
  </si>
  <si>
    <r>
      <t>NR</t>
    </r>
    <r>
      <rPr>
        <sz val="10.5"/>
        <color indexed="8"/>
        <rFont val="宋体"/>
        <family val="3"/>
        <charset val="134"/>
      </rPr>
      <t>小区功率控制参数</t>
    </r>
  </si>
  <si>
    <t>AntennaFunction</t>
  </si>
  <si>
    <t>电调天线功能</t>
  </si>
  <si>
    <t>EthernetPort</t>
  </si>
  <si>
    <t>以太网端口</t>
  </si>
  <si>
    <t>定时器</t>
  </si>
  <si>
    <t>EPRpNgU</t>
  </si>
  <si>
    <r>
      <t>NG</t>
    </r>
    <r>
      <rPr>
        <sz val="10.5"/>
        <color indexed="8"/>
        <rFont val="宋体"/>
        <family val="3"/>
        <charset val="134"/>
      </rPr>
      <t>用户面接口</t>
    </r>
  </si>
  <si>
    <t>RiPort</t>
  </si>
  <si>
    <t>无线接口端口</t>
  </si>
  <si>
    <t>SliceGroupInCellCU</t>
  </si>
  <si>
    <r>
      <t>CU</t>
    </r>
    <r>
      <rPr>
        <sz val="10.5"/>
        <color indexed="8"/>
        <rFont val="宋体"/>
        <family val="3"/>
        <charset val="134"/>
      </rPr>
      <t>小区切片分组信息</t>
    </r>
  </si>
  <si>
    <t>SliceInCellCU</t>
  </si>
  <si>
    <r>
      <t>CU</t>
    </r>
    <r>
      <rPr>
        <sz val="10.5"/>
        <color indexed="8"/>
        <rFont val="宋体"/>
        <family val="3"/>
        <charset val="134"/>
      </rPr>
      <t>小区切片信息</t>
    </r>
  </si>
  <si>
    <t>SliceGroupInCellDU</t>
  </si>
  <si>
    <r>
      <t>DU</t>
    </r>
    <r>
      <rPr>
        <sz val="10.5"/>
        <color indexed="8"/>
        <rFont val="宋体"/>
        <family val="3"/>
        <charset val="134"/>
      </rPr>
      <t>小区切片分组信息</t>
    </r>
  </si>
  <si>
    <t>SliceInCellDU</t>
  </si>
  <si>
    <r>
      <t>DU</t>
    </r>
    <r>
      <rPr>
        <sz val="10.5"/>
        <color indexed="8"/>
        <rFont val="宋体"/>
        <family val="3"/>
        <charset val="134"/>
      </rPr>
      <t>小区切片信息</t>
    </r>
  </si>
  <si>
    <t>SSBBeam</t>
  </si>
  <si>
    <r>
      <t>SSB</t>
    </r>
    <r>
      <rPr>
        <sz val="10.5"/>
        <color indexed="8"/>
        <rFont val="宋体"/>
        <family val="3"/>
        <charset val="134"/>
      </rPr>
      <t>波束参数</t>
    </r>
  </si>
  <si>
    <t>CellComponent</t>
  </si>
  <si>
    <t>子小区</t>
  </si>
  <si>
    <t>ManagementNode</t>
  </si>
  <si>
    <t>管理节点</t>
  </si>
  <si>
    <t>SctpAssoc</t>
  </si>
  <si>
    <r>
      <t>SCTP</t>
    </r>
    <r>
      <rPr>
        <sz val="10.5"/>
        <color indexed="8"/>
        <rFont val="宋体"/>
        <family val="3"/>
        <charset val="134"/>
      </rPr>
      <t>偶联</t>
    </r>
  </si>
  <si>
    <r>
      <t>NR</t>
    </r>
    <r>
      <rPr>
        <sz val="10.5"/>
        <color indexed="8"/>
        <rFont val="宋体"/>
        <family val="3"/>
        <charset val="134"/>
      </rPr>
      <t>无线物理小区</t>
    </r>
    <r>
      <rPr>
        <sz val="10.5"/>
        <color indexed="8"/>
        <rFont val="Calibri"/>
        <family val="2"/>
      </rPr>
      <t>DU</t>
    </r>
    <r>
      <rPr>
        <sz val="10.5"/>
        <color indexed="8"/>
        <rFont val="宋体"/>
        <family val="3"/>
        <charset val="134"/>
      </rPr>
      <t>资源对象</t>
    </r>
  </si>
  <si>
    <t>NRCellCUPhysical</t>
  </si>
  <si>
    <r>
      <t>NR</t>
    </r>
    <r>
      <rPr>
        <sz val="10.5"/>
        <color indexed="8"/>
        <rFont val="宋体"/>
        <family val="3"/>
        <charset val="134"/>
      </rPr>
      <t>无线物理小区</t>
    </r>
    <r>
      <rPr>
        <sz val="10.5"/>
        <color indexed="8"/>
        <rFont val="Calibri"/>
        <family val="2"/>
      </rPr>
      <t>CU</t>
    </r>
    <r>
      <rPr>
        <sz val="10.5"/>
        <color indexed="8"/>
        <rFont val="宋体"/>
        <family val="3"/>
        <charset val="134"/>
      </rPr>
      <t>资源对象</t>
    </r>
  </si>
  <si>
    <t>Device.Services.FAPService.{i}.CellConfig.{i}.NR.RAN.NeighborList.NRCell.{i}.CID</t>
    <phoneticPr fontId="53" type="noConversion"/>
  </si>
  <si>
    <t>Device.Services.FAPService.{i}.CellConfig.{i}.NR.RAN.NeighborList.LTECell.{i}.CID</t>
    <phoneticPr fontId="53" type="noConversion"/>
  </si>
  <si>
    <t>Device.Services.FAPService.{i}.CellConfig.{i}.NR.RAN.NeighborList.LTECell.{i}.CID</t>
    <phoneticPr fontId="53" type="noConversion"/>
  </si>
  <si>
    <t>Device.Services.FAPService.{i}.FAPControl.NR.RAN.Common.gNBId</t>
    <phoneticPr fontId="53" type="noConversion"/>
  </si>
  <si>
    <t>Device.Services.FAPService.{i}.FAPControl.NR.RAN.Common.gNBId</t>
    <phoneticPr fontId="53" type="noConversion"/>
  </si>
  <si>
    <t>否</t>
    <phoneticPr fontId="53" type="noConversion"/>
  </si>
  <si>
    <t>NCGI
Device.Services.FAPService.{i}.FAPControl.NR.RAN.Common.gNBId+Device.Services.FAPService.{i}.CellConfig.{i}.NR.CN.TA.{i}.NrcellIdentity</t>
    <phoneticPr fontId="53" type="noConversion"/>
  </si>
  <si>
    <t>NCGI
Device.Services.FAPService.{i}.FAPControl.NR.RAN.Common.gNBId+Device.Services.FAPService.{i}.CellConfig.{i}.NR.CN.TA.{i}.NrcellIdentity</t>
    <phoneticPr fontId="53" type="noConversion"/>
  </si>
  <si>
    <t>Device.Ethernet.Interface.{i}.UserLabel</t>
    <phoneticPr fontId="53" type="noConversion"/>
  </si>
  <si>
    <t>Device.Services.FAPService.{i}.FAPControl.NR.AMFPoolConfigParam.{i}.AmfIP1</t>
    <phoneticPr fontId="53" type="noConversion"/>
  </si>
  <si>
    <t>Device.Ethernet.Interface.{i}.IPv4Address.{i}.PortType</t>
    <phoneticPr fontId="53" type="noConversion"/>
  </si>
  <si>
    <r>
      <t>Device.Ethernet.Interface.{i}.IPv4Address.{i}.PortType, NG</t>
    </r>
    <r>
      <rPr>
        <sz val="10.5"/>
        <color indexed="8"/>
        <rFont val="宋体"/>
        <family val="3"/>
        <charset val="134"/>
      </rPr>
      <t>用户面端口</t>
    </r>
    <phoneticPr fontId="53" type="noConversion"/>
  </si>
  <si>
    <t>Device.Ethernet.Interface.{i}.SignTransMedia</t>
    <phoneticPr fontId="53" type="noConversion"/>
  </si>
  <si>
    <t>Device.Ethernet.Interface.{i}.SignTransMedia</t>
    <phoneticPr fontId="53" type="noConversion"/>
  </si>
  <si>
    <t>Device.ManagementServer.URL</t>
    <phoneticPr fontId="53" type="noConversion"/>
  </si>
  <si>
    <t>Device.ManagementServer.URL</t>
    <phoneticPr fontId="53" type="noConversion"/>
  </si>
  <si>
    <t>Device.Services.FAPService.{i}.CellConfig.{i}.NR.RAN.Drx.{i}.PLMNList.{i}.PLMNID</t>
    <phoneticPr fontId="53" type="noConversion"/>
  </si>
  <si>
    <t>Device.Services.FAPService.{i}.CellConfig.{i}.NR.RAN.Drx.{i}.PLMNList.{i}.PLMNID+Device.Services.FAPService.{i}.FAPControl.NR.RAN.Common.gNBId</t>
    <phoneticPr fontId="53" type="noConversion"/>
  </si>
  <si>
    <t>备注</t>
    <phoneticPr fontId="53" type="noConversion"/>
  </si>
  <si>
    <t>int[-204:-60]</t>
    <phoneticPr fontId="53" type="noConversion"/>
  </si>
  <si>
    <t>int[-1:6,0x00000FFF]</t>
    <phoneticPr fontId="53" type="noConversion"/>
  </si>
  <si>
    <t>int[-204:24,0x00000FFF]</t>
    <phoneticPr fontId="53" type="noConversion"/>
  </si>
  <si>
    <t>int[-202:24]</t>
    <phoneticPr fontId="53" type="noConversion"/>
  </si>
  <si>
    <t>配置搜索空间对应的控制资源集ID</t>
    <phoneticPr fontId="53" type="noConversion"/>
  </si>
  <si>
    <t>配置搜索空间的周期。
取值范围：{ 1，2，4，5，l5，10，16，20，40，80，160，320，640，1280，2560,0x00000FFF}
分别对应{ sl1，sl2，sl4，sl5，sl10，sl16，sl20，sl40，sl80，sl160，sl320，sl640，sl1280，sl2560}，Ox00000FFF表示无效</t>
    <phoneticPr fontId="53" type="noConversion"/>
  </si>
  <si>
    <t>unsignedInt[1,2,4,5,10,16,20,40,80,160,320,640,1280,2560,0x00000FFF]</t>
    <phoneticPr fontId="53" type="noConversion"/>
  </si>
  <si>
    <t>Device.FAP.MRMgmt.Config.{i}.UserLabel</t>
    <phoneticPr fontId="53" type="noConversion"/>
  </si>
  <si>
    <t>Device.FAP.MRMgmt.Config.{i}.UserLabel</t>
    <phoneticPr fontId="53" type="noConversion"/>
  </si>
  <si>
    <t>Device.DeviceInfo.MU.{i}.UserLabel</t>
    <phoneticPr fontId="53" type="noConversion"/>
  </si>
  <si>
    <t>Device.Services.FAPService.{i}.FAPControl.NR.RAN.Common.gNBId+ Device.DeviceInfo.MU.{i}.UserLabel</t>
    <phoneticPr fontId="53" type="noConversion"/>
  </si>
  <si>
    <r>
      <t>SCTP id</t>
    </r>
    <r>
      <rPr>
        <sz val="10.5"/>
        <color indexed="8"/>
        <rFont val="宋体"/>
        <family val="3"/>
        <charset val="134"/>
      </rPr>
      <t>，小站为所有SCTP类型IP地址的链接，例如"10.10.10.1+……"</t>
    </r>
    <phoneticPr fontId="53" type="noConversion"/>
  </si>
  <si>
    <t>InventoryExtendUnit</t>
  </si>
  <si>
    <t>扩展单元</t>
    <phoneticPr fontId="15" type="noConversion"/>
  </si>
  <si>
    <t>Device.DeviceInfo.MU.{i}.Slot.{i}.EU.{i}.RouteIndex</t>
    <phoneticPr fontId="53" type="noConversion"/>
  </si>
  <si>
    <t>Device.DeviceInfo.MU.{i}.Slot.{i}.EU.{i}.SerialNumber</t>
    <phoneticPr fontId="53" type="noConversion"/>
  </si>
  <si>
    <t>Device.Services.FAPService.{i}.FAPControl.NR.RAN.Common.gNBId+ Device.DeviceInfo.MU.{i}.Slot.{i}.EU.{i}.SerialNumber</t>
    <phoneticPr fontId="53" type="noConversion"/>
  </si>
  <si>
    <t>Device.Services.FAPService.{i}.FAPControl.NR.RAN.Common.gNBId+ Device.DeviceInfo.MU.{i}.Slot.{i}.EU.{i}.RU.{i}.SerialNumber</t>
    <phoneticPr fontId="53" type="noConversion"/>
  </si>
  <si>
    <t>string(20)</t>
    <phoneticPr fontId="53" type="noConversion"/>
  </si>
  <si>
    <t>Device.DeviceInfo.MU.{i}.Slot.{i}.EU.{i}.UserLabel</t>
    <phoneticPr fontId="53" type="noConversion"/>
  </si>
  <si>
    <t>Device.DeviceInfo.MU.{i}.Slot.{i}.EU.{i}.RU.{i}.UserLabel</t>
    <phoneticPr fontId="53" type="noConversion"/>
  </si>
  <si>
    <t>生产日期</t>
    <phoneticPr fontId="53" type="noConversion"/>
  </si>
  <si>
    <t>DateOfLastService</t>
    <phoneticPr fontId="53" type="noConversion"/>
  </si>
  <si>
    <t>最近服务的日期（最近一次恢复工作正常状态的时间）</t>
    <phoneticPr fontId="53" type="noConversion"/>
  </si>
  <si>
    <t>AE</t>
    <phoneticPr fontId="24" type="noConversion"/>
  </si>
  <si>
    <t>DateOfLastService</t>
    <phoneticPr fontId="24" type="noConversion"/>
  </si>
  <si>
    <t>Device.DeviceInfo.MU.{i}.Slot.{i}.EU.{i}.RU.{i}.DateOfManufacture</t>
    <phoneticPr fontId="53" type="noConversion"/>
  </si>
  <si>
    <t>DateOfManufacture</t>
    <phoneticPr fontId="53" type="noConversion"/>
  </si>
  <si>
    <t>DateOfManufacture</t>
    <phoneticPr fontId="24" type="noConversion"/>
  </si>
  <si>
    <t>Device.DeviceInfo.MU.{i}.Slot.{i}.EU.{i}.RU.{i}.VendorUnitFamilyType</t>
    <phoneticPr fontId="53" type="noConversion"/>
  </si>
  <si>
    <t>VendorUnitFamilyType</t>
    <phoneticPr fontId="53" type="noConversion"/>
  </si>
  <si>
    <t>VendorUnitTypeNumber</t>
    <phoneticPr fontId="53" type="noConversion"/>
  </si>
  <si>
    <t>归属类型</t>
  </si>
  <si>
    <t>资产单元类型版本号</t>
  </si>
  <si>
    <t>AE</t>
    <phoneticPr fontId="53" type="noConversion"/>
  </si>
  <si>
    <t>R</t>
    <phoneticPr fontId="53" type="noConversion"/>
  </si>
  <si>
    <t>由供应商提供的便于记忆的资产单元的归属类型</t>
  </si>
  <si>
    <t>由供应商提供的可唯一识别资产单元类型及版本的号码</t>
  </si>
  <si>
    <t>5G SA gNB网元统计数据需求规范-NRM(V1.4.2)</t>
    <phoneticPr fontId="53" type="noConversion"/>
  </si>
  <si>
    <t>生产日期</t>
    <phoneticPr fontId="15" type="noConversion"/>
  </si>
  <si>
    <t>最近服务的日期（最近一次恢复工作正常状态的时间）</t>
    <phoneticPr fontId="15" type="noConversion"/>
  </si>
  <si>
    <t>ManufacturerData</t>
    <phoneticPr fontId="53" type="noConversion"/>
  </si>
  <si>
    <t>特殊信息</t>
    <phoneticPr fontId="53" type="noConversion"/>
  </si>
  <si>
    <t>设备商填写的特殊信息</t>
    <phoneticPr fontId="53" type="noConversion"/>
  </si>
  <si>
    <t>V1.4</t>
  </si>
  <si>
    <t>Device.DeviceInfo.MU.{i}.Slot.{i}.EU.{i}.RU.{i}.VendorUnitTypeNumber</t>
    <phoneticPr fontId="53" type="noConversion"/>
  </si>
  <si>
    <t>Device.DeviceInfo.MU.{i}.SwUpgrade.Stage</t>
    <phoneticPr fontId="53" type="noConversion"/>
  </si>
  <si>
    <t>Device.DeviceInfo.MU.{i}.SwUpgrade.FailureCause</t>
    <phoneticPr fontId="53" type="noConversion"/>
  </si>
  <si>
    <t>Device.DeviceInfo.MU.{i}.SwUpgrade.Status</t>
    <phoneticPr fontId="53" type="noConversion"/>
  </si>
  <si>
    <t>1:初始化
2:下载
3:安装
4:等待激活
5.激活</t>
    <phoneticPr fontId="53" type="noConversion"/>
  </si>
  <si>
    <r>
      <t>需要开启接收干扰功率测量的上行子帧的</t>
    </r>
    <r>
      <rPr>
        <sz val="9"/>
        <color theme="1"/>
        <rFont val="Times New Roman"/>
        <family val="1"/>
      </rPr>
      <t>PRB</t>
    </r>
    <r>
      <rPr>
        <sz val="9"/>
        <color theme="1"/>
        <rFont val="宋体"/>
        <family val="3"/>
        <charset val="134"/>
      </rPr>
      <t>索引。可以选择</t>
    </r>
    <r>
      <rPr>
        <sz val="9"/>
        <color theme="1"/>
        <rFont val="Times New Roman"/>
        <family val="1"/>
      </rPr>
      <t>273</t>
    </r>
    <r>
      <rPr>
        <sz val="9"/>
        <color theme="1"/>
        <rFont val="宋体"/>
        <family val="3"/>
        <charset val="134"/>
      </rPr>
      <t>个</t>
    </r>
    <r>
      <rPr>
        <sz val="9"/>
        <color theme="1"/>
        <rFont val="Times New Roman"/>
        <family val="1"/>
      </rPr>
      <t>PRB</t>
    </r>
    <r>
      <rPr>
        <sz val="9"/>
        <color theme="1"/>
        <rFont val="宋体"/>
        <family val="3"/>
        <charset val="134"/>
      </rPr>
      <t>中的任意多个，例如</t>
    </r>
    <r>
      <rPr>
        <sz val="9"/>
        <color theme="1"/>
        <rFont val="Times New Roman"/>
        <family val="1"/>
      </rPr>
      <t>{0..7,50,272}</t>
    </r>
    <r>
      <rPr>
        <sz val="9"/>
        <color theme="1"/>
        <rFont val="宋体"/>
        <family val="3"/>
        <charset val="134"/>
      </rPr>
      <t>表示选择</t>
    </r>
    <r>
      <rPr>
        <sz val="9"/>
        <color theme="1"/>
        <rFont val="Times New Roman"/>
        <family val="1"/>
      </rPr>
      <t>0</t>
    </r>
    <r>
      <rPr>
        <sz val="9"/>
        <color theme="1"/>
        <rFont val="宋体"/>
        <family val="3"/>
        <charset val="134"/>
      </rPr>
      <t>号到</t>
    </r>
    <r>
      <rPr>
        <sz val="9"/>
        <color theme="1"/>
        <rFont val="Times New Roman"/>
        <family val="1"/>
      </rPr>
      <t>7</t>
    </r>
    <r>
      <rPr>
        <sz val="9"/>
        <color theme="1"/>
        <rFont val="宋体"/>
        <family val="3"/>
        <charset val="134"/>
      </rPr>
      <t>号，</t>
    </r>
    <r>
      <rPr>
        <sz val="9"/>
        <color theme="1"/>
        <rFont val="Times New Roman"/>
        <family val="1"/>
      </rPr>
      <t>50</t>
    </r>
    <r>
      <rPr>
        <sz val="9"/>
        <color theme="1"/>
        <rFont val="宋体"/>
        <family val="3"/>
        <charset val="134"/>
      </rPr>
      <t>号及</t>
    </r>
    <r>
      <rPr>
        <sz val="9"/>
        <color theme="1"/>
        <rFont val="Times New Roman"/>
        <family val="1"/>
      </rPr>
      <t>272</t>
    </r>
    <r>
      <rPr>
        <sz val="9"/>
        <color theme="1"/>
        <rFont val="宋体"/>
        <family val="3"/>
        <charset val="134"/>
      </rPr>
      <t>号共</t>
    </r>
    <r>
      <rPr>
        <sz val="9"/>
        <color theme="1"/>
        <rFont val="Times New Roman"/>
        <family val="1"/>
      </rPr>
      <t>10</t>
    </r>
    <r>
      <rPr>
        <sz val="9"/>
        <color theme="1"/>
        <rFont val="宋体"/>
        <family val="3"/>
        <charset val="134"/>
      </rPr>
      <t>个位置上的</t>
    </r>
    <r>
      <rPr>
        <sz val="9"/>
        <color theme="1"/>
        <rFont val="Times New Roman"/>
        <family val="1"/>
      </rPr>
      <t>PRB</t>
    </r>
    <r>
      <rPr>
        <sz val="9"/>
        <color theme="1"/>
        <rFont val="宋体"/>
        <family val="3"/>
        <charset val="134"/>
      </rPr>
      <t>，其中</t>
    </r>
    <r>
      <rPr>
        <sz val="9"/>
        <color theme="1"/>
        <rFont val="Times New Roman"/>
        <family val="1"/>
      </rPr>
      <t>”..”</t>
    </r>
    <r>
      <rPr>
        <sz val="9"/>
        <color theme="1"/>
        <rFont val="宋体"/>
        <family val="3"/>
        <charset val="134"/>
      </rPr>
      <t>表示连续区间，</t>
    </r>
    <r>
      <rPr>
        <sz val="9"/>
        <color theme="1"/>
        <rFont val="Times New Roman"/>
        <family val="1"/>
      </rPr>
      <t>“,”</t>
    </r>
    <r>
      <rPr>
        <sz val="9"/>
        <color theme="1"/>
        <rFont val="宋体"/>
        <family val="3"/>
        <charset val="134"/>
      </rPr>
      <t>表示分隔</t>
    </r>
    <r>
      <rPr>
        <sz val="9"/>
        <color theme="1"/>
        <rFont val="Times New Roman"/>
        <family val="1"/>
      </rPr>
      <t>;{0,1,2,…272}</t>
    </r>
    <phoneticPr fontId="53" type="noConversion"/>
  </si>
  <si>
    <t>SA页：
增加EU、RU userlabel，RU vendorfamilyType、unitType、dateofLastuse、dateofManufacture以匹配北向
增加MU升级参数
修订Noisedbm由int-150：60为string以支持小数点形式
SJ页：
修订PRBNum描述，改为0:272
修订NoisedBm修订为string类型</t>
    <phoneticPr fontId="53" type="noConversion"/>
  </si>
  <si>
    <t>unsignedInt</t>
    <phoneticPr fontId="53" type="noConversion"/>
  </si>
  <si>
    <t>5G SA gNB网元统计数据需求规范-NRM(V1.4.2)</t>
  </si>
  <si>
    <t>《5G SA gNB网元统计数据需求规范-NRM(V1.4.2)》</t>
  </si>
  <si>
    <t>V1.5</t>
  </si>
  <si>
    <t>Device.DeviceInfo.MU.{i}.VendorUnitTypeNumber</t>
    <phoneticPr fontId="53" type="noConversion"/>
  </si>
  <si>
    <t>Device.DeviceInfo.MU.{i}.VendorUnitFamilyType</t>
    <phoneticPr fontId="53" type="noConversion"/>
  </si>
  <si>
    <t>Device.DeviceInfo.MU.{i}.DateOfLastService</t>
    <phoneticPr fontId="53" type="noConversion"/>
  </si>
  <si>
    <t>Device.DeviceInfo.MU.{i}.DateOfManufacture</t>
    <phoneticPr fontId="53" type="noConversion"/>
  </si>
  <si>
    <t>Device.DeviceInfo.MU.{i}.ManufacturerData</t>
    <phoneticPr fontId="53" type="noConversion"/>
  </si>
  <si>
    <t>SlotsInformation</t>
    <phoneticPr fontId="53" type="noConversion"/>
  </si>
  <si>
    <t>Device.DeviceInfo.MU.{i}.SlotsInformation</t>
    <phoneticPr fontId="53" type="noConversion"/>
  </si>
  <si>
    <t>A</t>
    <phoneticPr fontId="53" type="noConversion"/>
  </si>
  <si>
    <t>AC</t>
    <phoneticPr fontId="53" type="noConversion"/>
  </si>
  <si>
    <t>R</t>
    <phoneticPr fontId="53" type="noConversion"/>
  </si>
  <si>
    <t>string</t>
    <phoneticPr fontId="53" type="noConversion"/>
  </si>
  <si>
    <t>5G SA gNB网元统计数据需求规范-NRM(V1.5.0)</t>
    <phoneticPr fontId="53" type="noConversion"/>
  </si>
  <si>
    <t>框内所有插槽、描述及占用状态。List of Struct{槽位号（字符串），描述(字符串)，占用状态（枚举)}。其中其中描述信息由厂家自行决定，占用状态为枚举{Unused,Used}</t>
    <phoneticPr fontId="53" type="noConversion"/>
  </si>
  <si>
    <t>插槽信息</t>
    <phoneticPr fontId="53" type="noConversion"/>
  </si>
  <si>
    <t>Device.DeviceInfo.MU.{i}.Slot.{i}.EU.{i}.RU.{i}.FrequencyBand</t>
    <phoneticPr fontId="53" type="noConversion"/>
  </si>
  <si>
    <t>FrequencyBand</t>
    <phoneticPr fontId="53" type="noConversion"/>
  </si>
  <si>
    <t>支持频段</t>
    <phoneticPr fontId="53" type="noConversion"/>
  </si>
  <si>
    <t>AE</t>
    <phoneticPr fontId="53" type="noConversion"/>
  </si>
  <si>
    <t>指RRU支持的工作频段，如n1、n2等频段。例如若支持n1、n2频段，则取值为{"n1","n2"}，具体取值参见38.104 5.4.2.3</t>
    <phoneticPr fontId="53" type="noConversion"/>
  </si>
  <si>
    <t>NCGI
Device.Services.FAPService.{i}.FAPControl.NR.RAN.Common.gNBId+Device.Services.FAPService.{i}.CellConfig.{i}.NR.CN.TA.{i}.NrcellIdentity</t>
    <phoneticPr fontId="53" type="noConversion"/>
  </si>
  <si>
    <t>unsignedInt[1:3]</t>
    <phoneticPr fontId="53" type="noConversion"/>
  </si>
  <si>
    <t>Device.Ethernet.Interface.{i}.Enable</t>
    <phoneticPr fontId="53" type="noConversion"/>
  </si>
  <si>
    <t>Device.Ethernet.Interface.{i}.Status</t>
    <phoneticPr fontId="53" type="noConversion"/>
  </si>
  <si>
    <t>"Up","NoLink","Error","Disabled"</t>
    <phoneticPr fontId="53" type="noConversion"/>
  </si>
  <si>
    <t>Device.FAP.PerfMgmt.Config.{i}.ReplenishStartTime</t>
    <phoneticPr fontId="53" type="noConversion"/>
  </si>
  <si>
    <t>ReplenishStartTime</t>
    <phoneticPr fontId="53" type="noConversion"/>
  </si>
  <si>
    <t>Device.Services.FAPService.{i}.CellConfig.{i}.NR.RAN.EnergySaveParam.EnergySavingStage</t>
  </si>
  <si>
    <t>EnergySavingStage</t>
  </si>
  <si>
    <t>小区节能状态/阶段</t>
  </si>
  <si>
    <t>1: initialization,初始化状态，表示未进行休眠或默认状态
2: started,开始执行休眠状态
3: ongoing:正处于休眠状态</t>
    <phoneticPr fontId="53" type="noConversion"/>
  </si>
  <si>
    <t>A</t>
    <phoneticPr fontId="53" type="noConversion"/>
  </si>
  <si>
    <t>unsignedInt[1:100]</t>
    <phoneticPr fontId="53" type="noConversion"/>
  </si>
  <si>
    <t>PRB利用率低门限，表示百分比，取值1..100，例如1%~100%</t>
    <phoneticPr fontId="53" type="noConversion"/>
  </si>
  <si>
    <t>目录页：修改EU、RULDN，由于属于硬件资源，移除gNB字段
SA页：
增加MU北向AC页对应的信息
增加北向AE页对应内容
SP页：
修订补采开始时间命名为Start
SJ页：
增加节能状态，PRB利用率类型更新为unsignedInt[1:100]
SF页：
更新AMF参数为A类</t>
    <phoneticPr fontId="53" type="noConversion"/>
  </si>
  <si>
    <t>Device.DeviceInfo.MU.{i}.Slot.{i}.ModelName</t>
    <phoneticPr fontId="53" type="noConversion"/>
  </si>
  <si>
    <t>该告警的唯一序列号</t>
    <phoneticPr fontId="53" type="noConversion"/>
  </si>
  <si>
    <t>该告警的唯一序列号</t>
    <phoneticPr fontId="53" type="noConversion"/>
  </si>
  <si>
    <t>管理对象实例</t>
    <phoneticPr fontId="53" type="noConversion"/>
  </si>
  <si>
    <t>Device.FaultMgmt.ExpeditedEvent.{i}.AlarmIdentifier</t>
    <phoneticPr fontId="53" type="noConversion"/>
  </si>
  <si>
    <t>Device.FaultMgmt.CurrentAlarm.{i}.FaultLocation</t>
    <phoneticPr fontId="53" type="noConversion"/>
  </si>
  <si>
    <t>FaultLocation</t>
    <phoneticPr fontId="53" type="noConversion"/>
  </si>
  <si>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phoneticPr fontId="53" type="noConversion"/>
  </si>
  <si>
    <t>告警源定位信息</t>
    <phoneticPr fontId="53" type="noConversion"/>
  </si>
  <si>
    <t>Device.FaultMgmt.ExpeditedEvent.{i}.FaultLocation</t>
    <phoneticPr fontId="53" type="noConversion"/>
  </si>
  <si>
    <t>Device.FaultMgmt.QueuedEvent.{i}.ManagedObjectInstance</t>
    <phoneticPr fontId="53" type="noConversion"/>
  </si>
  <si>
    <t>Device.FaultMgmt.QueuedEvent.{i}.FaultLocation</t>
    <phoneticPr fontId="53" type="noConversion"/>
  </si>
  <si>
    <t>《中国移动无线三方设备综合OMC南向接口要求 第2部分：皮基站技术要求_0629》</t>
    <phoneticPr fontId="53" type="noConversion"/>
  </si>
  <si>
    <t>V1.6</t>
  </si>
  <si>
    <t>SD页，增加alarmLocation</t>
    <phoneticPr fontId="53" type="noConversion"/>
  </si>
  <si>
    <t>说明：
1.LDN的组成方式，按照《中国移动室分系统OMC南向接口要求 第2部分：皮基站技术要求_0611_clean》规范中附录B3.2的样例：
  i. gNB的LDN的组成如：localDn="ManagedElement=SN,Type=gNB",其中，ManagedElement的SN取SA页Device.DeviceInfo.MU.{i}.SerialNumber
  ii. CU的LDN组成如：localDn="ManagedElement=SN,Type=CU,gNBID=123,CUId=123，其中CUId取值为gNBID的值
  iii. DU的LDN组成如：localDn="ManagedElement=SN,Type=DU,gNBID=123,DUId=22"，其中DUId取值为NrcellIdentity
  iv. 对于CU小区的LDN，其组成如localDn="Type=Cell,Mode=SA,gNBID=123,NrCI=22,CUId=123"
  v. 对于DU小区的LDN，其组成如localDn="Type=Cell,Mode=SA,gNBID=123,NrCI=22,DUId=22"
  vi. EU的LDN组成如：localDn="ManagedElement=SN,Type=EU,EU=EUSN",其中，EUSN取SA页Device.DeviceInfo.MU.{i}.Slot.{i}.EU.{i}.SerialNumber
  vii. RU的LDN组成如：localDn="ManagedElement=SN,Type=RU,RU=RUSN",其中，RUSN取SA页Device.DeviceInfo.MU.{i}.Slot.{i}.EU.{i}.RU.{i}.SerialNumber
  viii. 网卡的LDN组成如：localDn="ManagedElement=SN,Type=NIC,PortLocation=..."
2.SD页告警ManagedObjectInstance须填写DN，DN后以"|"结尾，并可以携带其他辅助信息，信息以"|"分割
样例(Device.DeviceInfo.MU.{i}.SerialNumber=1234567,告警源CU的SN=7654321，告警源DU的SN=123456789)：
  1. MU产生告警，则MOI中信息如：
"DN='DC=BJ,SubNetwork=1,ManagedElement=1234567,Type=gNB'|......"
  2. MU.1.Slot.1产生CU告警，则MOI中信息如："DN='DC=BJ,SubNetwork=1,ManagedElement=1234567,Type=CU,gNBID=123,CUId=123'|......"
  3. MU.1.Slot.1产生DU告警, 则MOI中信息如："DN='DC=BJ,SubNetwork=1,ManagedElement=1234567,Type=DU,gNBID=123,DUId=22'|......"
  4. MU.1.Slot.1产生CU小区告警，则MOI中信息如："DN='DC=BJ,SubNetwork=1,ManagedElement=1234567,Type=Cell,Mode=SA,gNBID=123,NrCI=22,CUId=123|......"
  5. MU.1.Slot.1产生DU小区告警, 则MOI中信息如："DN='DC=BJ,SubNetwork=1,ManagedElement=1234567,Type=Cell,Mode=SA,gNBID=123,NrCI=22,DUId=22|......"
  6. MU.1.Slot.1产生网卡告警，则MOI中信息如："DN='DC=BJ,SubNetwork=1,ManagedElement=1234567,Type=NIC,PortLocation=...|......"</t>
    <phoneticPr fontId="53" type="noConversion"/>
  </si>
  <si>
    <t>Device.DeviceInfo.MU.{i}.Slot.{i}.EU.{i}.Status</t>
    <phoneticPr fontId="53" type="noConversion"/>
  </si>
  <si>
    <t>1:正常
2:离线
3:告警</t>
    <phoneticPr fontId="53" type="noConversion"/>
  </si>
  <si>
    <t>Device.DeviceInfo.MU.{i}.Slot.{i}.EU.{i}.SwUpgrade.Status</t>
    <phoneticPr fontId="53" type="noConversion"/>
  </si>
  <si>
    <t>Device.FaultMgmt.HistoryEvent.{i}.FaultLocation</t>
    <phoneticPr fontId="53" type="noConversion"/>
  </si>
  <si>
    <t>V1.7</t>
    <phoneticPr fontId="53" type="noConversion"/>
  </si>
  <si>
    <t>SD页，History增加alarmLocation</t>
    <phoneticPr fontId="53" type="noConversion"/>
  </si>
</sst>
</file>

<file path=xl/styles.xml><?xml version="1.0" encoding="utf-8"?>
<styleSheet xmlns="http://schemas.openxmlformats.org/spreadsheetml/2006/main">
  <numFmts count="3">
    <numFmt numFmtId="176" formatCode="_ &quot;￥&quot;* #,##0.00_ ;_ &quot;￥&quot;* \-#,##0.00_ ;_ &quot;￥&quot;* &quot;-&quot;??_ ;_ @_ "/>
    <numFmt numFmtId="177" formatCode="yyyy&quot;年&quot;m&quot;月&quot;d&quot;日&quot;;@"/>
    <numFmt numFmtId="178" formatCode="0.00_ "/>
  </numFmts>
  <fonts count="68">
    <font>
      <sz val="11"/>
      <color indexed="8"/>
      <name val="宋体"/>
      <charset val="134"/>
    </font>
    <font>
      <sz val="11"/>
      <color theme="1"/>
      <name val="宋体"/>
      <family val="2"/>
      <charset val="134"/>
      <scheme val="minor"/>
    </font>
    <font>
      <b/>
      <sz val="9"/>
      <color indexed="8"/>
      <name val="宋体"/>
      <family val="3"/>
      <charset val="134"/>
    </font>
    <font>
      <sz val="10"/>
      <color theme="1"/>
      <name val="宋体"/>
      <family val="3"/>
      <charset val="134"/>
    </font>
    <font>
      <sz val="11"/>
      <color theme="1"/>
      <name val="宋体"/>
      <family val="3"/>
      <charset val="134"/>
    </font>
    <font>
      <sz val="9"/>
      <color theme="1"/>
      <name val="宋体"/>
      <family val="3"/>
      <charset val="134"/>
    </font>
    <font>
      <b/>
      <sz val="9"/>
      <name val="宋体"/>
      <family val="3"/>
      <charset val="134"/>
    </font>
    <font>
      <sz val="9"/>
      <color theme="1"/>
      <name val="宋体"/>
      <family val="3"/>
      <charset val="134"/>
      <scheme val="minor"/>
    </font>
    <font>
      <sz val="10"/>
      <name val="宋体"/>
      <family val="3"/>
      <charset val="134"/>
    </font>
    <font>
      <b/>
      <sz val="9"/>
      <color theme="1"/>
      <name val="宋体"/>
      <family val="3"/>
      <charset val="134"/>
      <scheme val="minor"/>
    </font>
    <font>
      <b/>
      <sz val="9"/>
      <name val="宋体"/>
      <family val="3"/>
      <charset val="134"/>
      <scheme val="minor"/>
    </font>
    <font>
      <sz val="11"/>
      <color indexed="8"/>
      <name val="宋体"/>
      <family val="3"/>
      <charset val="134"/>
    </font>
    <font>
      <sz val="9"/>
      <color indexed="8"/>
      <name val="宋体"/>
      <family val="3"/>
      <charset val="134"/>
    </font>
    <font>
      <b/>
      <sz val="11"/>
      <color indexed="8"/>
      <name val="宋体"/>
      <family val="3"/>
      <charset val="134"/>
    </font>
    <font>
      <b/>
      <sz val="11"/>
      <color theme="1"/>
      <name val="宋体"/>
      <family val="3"/>
      <charset val="134"/>
    </font>
    <font>
      <sz val="9"/>
      <name val="宋体"/>
      <family val="3"/>
      <charset val="134"/>
      <scheme val="minor"/>
    </font>
    <font>
      <sz val="11"/>
      <color rgb="FFFF0000"/>
      <name val="宋体"/>
      <family val="3"/>
      <charset val="134"/>
    </font>
    <font>
      <sz val="10"/>
      <color rgb="FFFF0000"/>
      <name val="宋体"/>
      <family val="3"/>
      <charset val="134"/>
    </font>
    <font>
      <b/>
      <sz val="10"/>
      <name val="宋体"/>
      <family val="3"/>
      <charset val="134"/>
    </font>
    <font>
      <sz val="10"/>
      <name val="微软雅黑"/>
      <family val="2"/>
      <charset val="134"/>
    </font>
    <font>
      <sz val="11"/>
      <name val="宋体"/>
      <family val="3"/>
      <charset val="134"/>
    </font>
    <font>
      <sz val="9"/>
      <color rgb="FFFF0000"/>
      <name val="宋体"/>
      <family val="3"/>
      <charset val="134"/>
      <scheme val="minor"/>
    </font>
    <font>
      <b/>
      <sz val="9"/>
      <color theme="1"/>
      <name val="宋体"/>
      <family val="3"/>
      <charset val="134"/>
    </font>
    <font>
      <b/>
      <sz val="10"/>
      <color indexed="8"/>
      <name val="宋体"/>
      <family val="3"/>
      <charset val="134"/>
    </font>
    <font>
      <sz val="9"/>
      <name val="宋体"/>
      <family val="3"/>
      <charset val="134"/>
    </font>
    <font>
      <sz val="10"/>
      <color indexed="8"/>
      <name val="宋体"/>
      <family val="3"/>
      <charset val="134"/>
    </font>
    <font>
      <b/>
      <sz val="10"/>
      <color theme="1"/>
      <name val="宋体"/>
      <family val="3"/>
      <charset val="134"/>
    </font>
    <font>
      <b/>
      <sz val="10"/>
      <color indexed="8"/>
      <name val="宋体"/>
      <family val="3"/>
      <charset val="134"/>
      <scheme val="minor"/>
    </font>
    <font>
      <b/>
      <sz val="10"/>
      <name val="微软雅黑"/>
      <family val="2"/>
      <charset val="134"/>
    </font>
    <font>
      <sz val="10"/>
      <name val="宋体"/>
      <family val="3"/>
      <charset val="134"/>
      <scheme val="minor"/>
    </font>
    <font>
      <b/>
      <sz val="20"/>
      <name val="黑体"/>
      <family val="3"/>
      <charset val="134"/>
    </font>
    <font>
      <sz val="10.5"/>
      <name val="宋体"/>
      <family val="3"/>
      <charset val="134"/>
    </font>
    <font>
      <sz val="10.5"/>
      <name val="Arial"/>
      <family val="2"/>
    </font>
    <font>
      <sz val="10"/>
      <color indexed="10"/>
      <name val="宋体"/>
      <family val="3"/>
      <charset val="134"/>
    </font>
    <font>
      <b/>
      <sz val="18"/>
      <name val="楷体_GB2312"/>
      <charset val="134"/>
    </font>
    <font>
      <sz val="18"/>
      <name val="楷体_GB2312"/>
      <charset val="134"/>
    </font>
    <font>
      <sz val="18"/>
      <color indexed="8"/>
      <name val="微软雅黑"/>
      <family val="2"/>
      <charset val="134"/>
    </font>
    <font>
      <sz val="10"/>
      <color indexed="9"/>
      <name val="宋体"/>
      <family val="3"/>
      <charset val="134"/>
    </font>
    <font>
      <sz val="16"/>
      <color indexed="8"/>
      <name val="宋体"/>
      <family val="3"/>
      <charset val="134"/>
    </font>
    <font>
      <sz val="16"/>
      <name val="宋体"/>
      <family val="3"/>
      <charset val="134"/>
    </font>
    <font>
      <sz val="16"/>
      <color indexed="10"/>
      <name val="宋体"/>
      <family val="3"/>
      <charset val="134"/>
    </font>
    <font>
      <sz val="16"/>
      <color indexed="8"/>
      <name val="Times New Roman"/>
      <family val="1"/>
    </font>
    <font>
      <sz val="10.5"/>
      <color indexed="8"/>
      <name val="Times New Roman"/>
      <family val="1"/>
    </font>
    <font>
      <sz val="10.5"/>
      <color indexed="10"/>
      <name val="Times New Roman"/>
      <family val="1"/>
    </font>
    <font>
      <sz val="16"/>
      <color indexed="8"/>
      <name val="楷体_GB2312"/>
      <charset val="134"/>
    </font>
    <font>
      <sz val="12"/>
      <name val="宋体"/>
      <family val="3"/>
      <charset val="134"/>
    </font>
    <font>
      <sz val="12"/>
      <name val="Times New Roman"/>
      <family val="1"/>
    </font>
    <font>
      <sz val="10"/>
      <name val="Arial"/>
      <family val="2"/>
    </font>
    <font>
      <sz val="9"/>
      <color theme="1"/>
      <name val="Times New Roman"/>
      <family val="1"/>
    </font>
    <font>
      <b/>
      <sz val="11"/>
      <color rgb="FFC00000"/>
      <name val="宋体"/>
      <family val="3"/>
      <charset val="134"/>
    </font>
    <font>
      <sz val="16"/>
      <name val="Times New Roman"/>
      <family val="1"/>
    </font>
    <font>
      <b/>
      <sz val="9"/>
      <name val="Tahoma"/>
      <family val="2"/>
    </font>
    <font>
      <sz val="9"/>
      <name val="Tahoma"/>
      <family val="2"/>
    </font>
    <font>
      <sz val="9"/>
      <name val="宋体"/>
      <family val="3"/>
      <charset val="134"/>
    </font>
    <font>
      <sz val="10"/>
      <name val="宋体"/>
      <family val="3"/>
      <charset val="134"/>
      <scheme val="minor"/>
    </font>
    <font>
      <sz val="10"/>
      <color theme="0"/>
      <name val="宋体"/>
      <family val="3"/>
      <charset val="134"/>
      <scheme val="minor"/>
    </font>
    <font>
      <sz val="11"/>
      <color theme="0"/>
      <name val="宋体"/>
      <family val="3"/>
      <charset val="134"/>
    </font>
    <font>
      <sz val="9"/>
      <color theme="1"/>
      <name val="宋体"/>
      <family val="3"/>
      <charset val="134"/>
      <scheme val="major"/>
    </font>
    <font>
      <sz val="10"/>
      <color indexed="8"/>
      <name val="宋体"/>
      <family val="3"/>
      <charset val="134"/>
      <scheme val="major"/>
    </font>
    <font>
      <sz val="10"/>
      <color theme="1"/>
      <name val="宋体"/>
      <family val="3"/>
      <charset val="134"/>
      <scheme val="major"/>
    </font>
    <font>
      <sz val="10"/>
      <color rgb="FF000000"/>
      <name val="宋体"/>
      <family val="3"/>
      <charset val="134"/>
      <scheme val="major"/>
    </font>
    <font>
      <sz val="10"/>
      <name val="宋体"/>
      <family val="3"/>
      <charset val="134"/>
      <scheme val="major"/>
    </font>
    <font>
      <sz val="11"/>
      <color indexed="8"/>
      <name val="宋体"/>
      <family val="3"/>
      <charset val="134"/>
      <scheme val="major"/>
    </font>
    <font>
      <strike/>
      <sz val="9"/>
      <color rgb="FFFF0000"/>
      <name val="宋体"/>
      <family val="3"/>
      <charset val="134"/>
      <scheme val="minor"/>
    </font>
    <font>
      <sz val="9"/>
      <color indexed="8"/>
      <name val="Times New Roman"/>
      <family val="1"/>
    </font>
    <font>
      <sz val="10.5"/>
      <color indexed="8"/>
      <name val="Calibri"/>
      <family val="2"/>
    </font>
    <font>
      <sz val="10.5"/>
      <color indexed="8"/>
      <name val="宋体"/>
      <family val="3"/>
      <charset val="134"/>
    </font>
    <font>
      <sz val="9"/>
      <color rgb="FF000000"/>
      <name val="宋体"/>
      <family val="3"/>
      <charset val="134"/>
    </font>
  </fonts>
  <fills count="10">
    <fill>
      <patternFill patternType="none"/>
    </fill>
    <fill>
      <patternFill patternType="gray125"/>
    </fill>
    <fill>
      <patternFill patternType="solid">
        <fgColor theme="0"/>
        <bgColor indexed="64"/>
      </patternFill>
    </fill>
    <fill>
      <patternFill patternType="solid">
        <fgColor rgb="FF00FF00"/>
        <bgColor indexed="64"/>
      </patternFill>
    </fill>
    <fill>
      <patternFill patternType="solid">
        <fgColor indexed="9"/>
        <bgColor indexed="64"/>
      </patternFill>
    </fill>
    <fill>
      <patternFill patternType="solid">
        <fgColor indexed="11"/>
        <bgColor indexed="64"/>
      </patternFill>
    </fill>
    <fill>
      <patternFill patternType="solid">
        <fgColor indexed="12"/>
        <bgColor indexed="64"/>
      </patternFill>
    </fill>
    <fill>
      <patternFill patternType="solid">
        <fgColor indexed="43"/>
        <bgColor indexed="64"/>
      </patternFill>
    </fill>
    <fill>
      <patternFill patternType="solid">
        <fgColor rgb="FF0000FF"/>
        <bgColor indexed="64"/>
      </patternFill>
    </fill>
    <fill>
      <patternFill patternType="solid">
        <fgColor rgb="FFFFFF0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style="thin">
        <color auto="1"/>
      </bottom>
      <diagonal/>
    </border>
    <border>
      <left/>
      <right/>
      <top/>
      <bottom style="thin">
        <color auto="1"/>
      </bottom>
      <diagonal/>
    </border>
    <border>
      <left style="medium">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27">
    <xf numFmtId="0" fontId="0" fillId="0" borderId="0">
      <alignment vertical="center"/>
    </xf>
    <xf numFmtId="0" fontId="45" fillId="0" borderId="0"/>
    <xf numFmtId="0" fontId="47" fillId="0" borderId="0" applyNumberFormat="0" applyFont="0" applyFill="0" applyBorder="0" applyAlignment="0" applyProtection="0"/>
    <xf numFmtId="0" fontId="45" fillId="0" borderId="0"/>
    <xf numFmtId="0" fontId="11" fillId="0" borderId="0">
      <alignment vertical="center"/>
    </xf>
    <xf numFmtId="0" fontId="45" fillId="0" borderId="0"/>
    <xf numFmtId="0" fontId="45" fillId="0" borderId="0"/>
    <xf numFmtId="0" fontId="11" fillId="0" borderId="0">
      <alignment vertical="center"/>
    </xf>
    <xf numFmtId="0" fontId="45" fillId="0" borderId="0"/>
    <xf numFmtId="0" fontId="11" fillId="0" borderId="0">
      <alignment vertical="center"/>
    </xf>
    <xf numFmtId="0" fontId="45" fillId="0" borderId="0">
      <alignment vertical="center"/>
    </xf>
    <xf numFmtId="0" fontId="45" fillId="0" borderId="0">
      <alignment vertical="center"/>
    </xf>
    <xf numFmtId="0" fontId="11" fillId="0" borderId="0">
      <alignment vertical="center"/>
    </xf>
    <xf numFmtId="0" fontId="47" fillId="0" borderId="0"/>
    <xf numFmtId="0" fontId="46"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45" fillId="0" borderId="0"/>
    <xf numFmtId="0" fontId="45" fillId="0" borderId="0"/>
    <xf numFmtId="0" fontId="46" fillId="0" borderId="0"/>
    <xf numFmtId="176" fontId="11" fillId="0" borderId="0" applyFont="0" applyFill="0" applyBorder="0" applyAlignment="0" applyProtection="0">
      <alignment vertical="center"/>
    </xf>
    <xf numFmtId="176" fontId="11" fillId="0" borderId="0" applyFont="0" applyFill="0" applyBorder="0" applyAlignment="0" applyProtection="0">
      <alignment vertical="center"/>
    </xf>
    <xf numFmtId="176" fontId="11" fillId="0" borderId="0" applyFont="0" applyFill="0" applyBorder="0" applyAlignment="0" applyProtection="0">
      <alignment vertical="center"/>
    </xf>
    <xf numFmtId="0" fontId="46" fillId="0" borderId="0">
      <alignment vertical="center"/>
    </xf>
    <xf numFmtId="0" fontId="46" fillId="0" borderId="0"/>
  </cellStyleXfs>
  <cellXfs count="615">
    <xf numFmtId="0" fontId="0" fillId="0" borderId="0" xfId="0">
      <alignment vertical="center"/>
    </xf>
    <xf numFmtId="0" fontId="2" fillId="0" borderId="0" xfId="0" applyFont="1" applyFill="1" applyBorder="1" applyAlignment="1">
      <alignment horizontal="center" vertical="center"/>
    </xf>
    <xf numFmtId="0" fontId="3" fillId="0" borderId="0" xfId="0" applyFont="1" applyFill="1" applyBorder="1" applyAlignment="1">
      <alignment horizontal="left" vertical="center"/>
    </xf>
    <xf numFmtId="0" fontId="4" fillId="0" borderId="0" xfId="0" applyFont="1" applyFill="1">
      <alignment vertical="center"/>
    </xf>
    <xf numFmtId="0" fontId="0" fillId="0" borderId="0" xfId="0" applyAlignment="1">
      <alignment horizontal="left" vertical="center"/>
    </xf>
    <xf numFmtId="0" fontId="6"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3" fillId="0" borderId="1" xfId="0" applyFont="1" applyFill="1" applyBorder="1" applyAlignment="1">
      <alignment horizontal="left" vertical="center"/>
    </xf>
    <xf numFmtId="0" fontId="8" fillId="0" borderId="0" xfId="0" applyFont="1" applyFill="1" applyBorder="1" applyAlignment="1">
      <alignment horizontal="left" vertical="center"/>
    </xf>
    <xf numFmtId="0" fontId="2" fillId="0" borderId="0" xfId="15" applyFont="1" applyFill="1" applyBorder="1" applyAlignment="1">
      <alignment horizontal="center" vertical="center"/>
    </xf>
    <xf numFmtId="0" fontId="4" fillId="0" borderId="0" xfId="15" applyFont="1" applyFill="1" applyBorder="1">
      <alignment vertical="center"/>
    </xf>
    <xf numFmtId="0" fontId="6" fillId="3" borderId="1" xfId="15" applyFont="1" applyFill="1" applyBorder="1" applyAlignment="1">
      <alignment horizontal="center" vertical="center" wrapText="1"/>
    </xf>
    <xf numFmtId="0" fontId="2" fillId="3" borderId="1" xfId="15" applyFont="1" applyFill="1" applyBorder="1" applyAlignment="1">
      <alignment horizontal="center" vertical="center" wrapText="1"/>
    </xf>
    <xf numFmtId="0" fontId="7" fillId="0" borderId="1" xfId="15" applyFont="1" applyFill="1" applyBorder="1" applyAlignment="1">
      <alignment horizontal="left" vertical="center" wrapText="1"/>
    </xf>
    <xf numFmtId="0" fontId="7" fillId="0" borderId="1" xfId="15" applyFont="1" applyFill="1" applyBorder="1" applyAlignment="1">
      <alignment horizontal="center" vertical="center" wrapText="1"/>
    </xf>
    <xf numFmtId="0" fontId="2" fillId="3" borderId="1" xfId="15" applyFont="1" applyFill="1" applyBorder="1" applyAlignment="1">
      <alignment horizontal="left" vertical="center" wrapText="1"/>
    </xf>
    <xf numFmtId="0" fontId="10" fillId="3" borderId="1" xfId="15" applyFont="1" applyFill="1" applyBorder="1" applyAlignment="1">
      <alignment horizontal="center" vertical="center" wrapText="1"/>
    </xf>
    <xf numFmtId="0" fontId="8" fillId="0" borderId="0" xfId="15" applyFont="1" applyFill="1" applyBorder="1" applyAlignment="1">
      <alignment horizontal="left" vertical="center"/>
    </xf>
    <xf numFmtId="0" fontId="5" fillId="0" borderId="1" xfId="15" applyFont="1" applyFill="1" applyBorder="1" applyAlignment="1">
      <alignment horizontal="left" vertical="center" wrapText="1"/>
    </xf>
    <xf numFmtId="0" fontId="3" fillId="0" borderId="1" xfId="15" applyFont="1" applyFill="1" applyBorder="1" applyAlignment="1">
      <alignment horizontal="left" vertical="center"/>
    </xf>
    <xf numFmtId="0" fontId="11" fillId="2" borderId="0" xfId="15" applyFont="1" applyFill="1">
      <alignment vertical="center"/>
    </xf>
    <xf numFmtId="0" fontId="4" fillId="0" borderId="0" xfId="15" applyFont="1" applyFill="1">
      <alignment vertical="center"/>
    </xf>
    <xf numFmtId="0" fontId="11" fillId="0" borderId="0" xfId="15">
      <alignment vertical="center"/>
    </xf>
    <xf numFmtId="0" fontId="11" fillId="0" borderId="0" xfId="15" applyAlignment="1">
      <alignment horizontal="center" vertical="center"/>
    </xf>
    <xf numFmtId="0" fontId="11" fillId="0" borderId="0" xfId="15" applyAlignment="1">
      <alignment vertical="center"/>
    </xf>
    <xf numFmtId="0" fontId="12" fillId="2" borderId="1" xfId="15" applyFont="1" applyFill="1" applyBorder="1" applyAlignment="1">
      <alignment horizontal="left" vertical="center" wrapText="1"/>
    </xf>
    <xf numFmtId="0" fontId="12" fillId="2" borderId="1" xfId="15" applyFont="1" applyFill="1" applyBorder="1" applyAlignment="1">
      <alignment horizontal="center" vertical="center" wrapText="1"/>
    </xf>
    <xf numFmtId="0" fontId="5" fillId="0" borderId="1" xfId="15" applyFont="1" applyFill="1" applyBorder="1" applyAlignment="1">
      <alignment vertical="center" wrapText="1"/>
    </xf>
    <xf numFmtId="0" fontId="5" fillId="0" borderId="1" xfId="15" applyFont="1" applyFill="1" applyBorder="1" applyAlignment="1">
      <alignment horizontal="center" vertical="center" wrapText="1"/>
    </xf>
    <xf numFmtId="0" fontId="14" fillId="0" borderId="4" xfId="15" applyFont="1" applyFill="1" applyBorder="1" applyAlignment="1">
      <alignment horizontal="center" vertical="center"/>
    </xf>
    <xf numFmtId="0" fontId="2" fillId="3" borderId="1" xfId="15" applyFont="1" applyFill="1" applyBorder="1" applyAlignment="1">
      <alignment vertical="center" wrapText="1"/>
    </xf>
    <xf numFmtId="0" fontId="7" fillId="2" borderId="1" xfId="7" applyFont="1" applyFill="1" applyBorder="1" applyAlignment="1">
      <alignment vertical="center" wrapText="1"/>
    </xf>
    <xf numFmtId="0" fontId="15" fillId="2" borderId="1" xfId="15" applyFont="1" applyFill="1" applyBorder="1" applyAlignment="1">
      <alignment horizontal="center" vertical="center" wrapText="1"/>
    </xf>
    <xf numFmtId="0" fontId="7" fillId="0" borderId="1" xfId="7" applyFont="1" applyFill="1" applyBorder="1" applyAlignment="1">
      <alignment vertical="center" wrapText="1"/>
    </xf>
    <xf numFmtId="49" fontId="5" fillId="0" borderId="1" xfId="15" applyNumberFormat="1" applyFont="1" applyFill="1" applyBorder="1" applyAlignment="1">
      <alignment horizontal="center" vertical="center" wrapText="1"/>
    </xf>
    <xf numFmtId="0" fontId="0" fillId="0" borderId="0" xfId="0" applyAlignment="1">
      <alignment horizontal="center" vertical="center"/>
    </xf>
    <xf numFmtId="0" fontId="10" fillId="3" borderId="1" xfId="0" applyFont="1" applyFill="1" applyBorder="1" applyAlignment="1">
      <alignment horizontal="center" vertical="center" wrapText="1"/>
    </xf>
    <xf numFmtId="0" fontId="15" fillId="0" borderId="1" xfId="0" applyFont="1" applyFill="1" applyBorder="1" applyAlignment="1">
      <alignment horizontal="left" vertical="center" wrapText="1"/>
    </xf>
    <xf numFmtId="0" fontId="15" fillId="0" borderId="1" xfId="0" applyFont="1" applyFill="1" applyBorder="1" applyAlignment="1">
      <alignment horizontal="center" vertical="center" wrapText="1"/>
    </xf>
    <xf numFmtId="0" fontId="15" fillId="0" borderId="1" xfId="0" applyFont="1" applyFill="1" applyBorder="1" applyAlignment="1">
      <alignment horizontal="center" vertical="center"/>
    </xf>
    <xf numFmtId="0" fontId="8" fillId="0" borderId="1" xfId="0" applyFont="1" applyFill="1" applyBorder="1" applyAlignment="1">
      <alignment horizontal="left" vertical="center"/>
    </xf>
    <xf numFmtId="0" fontId="16" fillId="0" borderId="0" xfId="15" applyFont="1">
      <alignment vertical="center"/>
    </xf>
    <xf numFmtId="0" fontId="11" fillId="0" borderId="0" xfId="15" applyAlignment="1">
      <alignment horizontal="left" vertical="center"/>
    </xf>
    <xf numFmtId="0" fontId="16" fillId="0" borderId="0" xfId="15" applyFont="1" applyAlignment="1">
      <alignment horizontal="left" vertical="center"/>
    </xf>
    <xf numFmtId="0" fontId="16" fillId="0" borderId="0" xfId="15" applyFont="1" applyAlignment="1">
      <alignment horizontal="center" vertical="center"/>
    </xf>
    <xf numFmtId="0" fontId="17" fillId="4" borderId="0" xfId="15" applyFont="1" applyFill="1" applyAlignment="1">
      <alignment horizontal="left" vertical="center"/>
    </xf>
    <xf numFmtId="0" fontId="0" fillId="0" borderId="0" xfId="0" applyFill="1" applyBorder="1">
      <alignment vertical="center"/>
    </xf>
    <xf numFmtId="0" fontId="0" fillId="0" borderId="0" xfId="0" applyFill="1" applyBorder="1" applyAlignment="1">
      <alignment horizontal="center" vertical="center"/>
    </xf>
    <xf numFmtId="0" fontId="4" fillId="0" borderId="0" xfId="0" applyFont="1" applyFill="1" applyBorder="1">
      <alignment vertical="center"/>
    </xf>
    <xf numFmtId="0" fontId="4" fillId="0" borderId="0" xfId="0" applyFont="1" applyFill="1" applyBorder="1" applyAlignment="1">
      <alignment horizontal="center" vertical="center"/>
    </xf>
    <xf numFmtId="0" fontId="7" fillId="0" borderId="1" xfId="0" applyFont="1" applyFill="1" applyBorder="1" applyAlignment="1">
      <alignment horizontal="center" vertical="center"/>
    </xf>
    <xf numFmtId="0" fontId="5" fillId="0" borderId="0" xfId="0" applyFont="1" applyFill="1" applyBorder="1" applyAlignment="1">
      <alignment horizontal="left" vertical="center"/>
    </xf>
    <xf numFmtId="0" fontId="13" fillId="0" borderId="0" xfId="0" applyFont="1">
      <alignment vertical="center"/>
    </xf>
    <xf numFmtId="0" fontId="20" fillId="0" borderId="0" xfId="0" applyFont="1" applyFill="1">
      <alignment vertical="center"/>
    </xf>
    <xf numFmtId="0" fontId="20" fillId="0" borderId="0" xfId="0" applyFont="1" applyFill="1" applyAlignment="1">
      <alignment horizontal="center" vertical="center"/>
    </xf>
    <xf numFmtId="0" fontId="10" fillId="5" borderId="1" xfId="15" applyFont="1" applyFill="1" applyBorder="1" applyAlignment="1">
      <alignment horizontal="center" vertical="center" wrapText="1"/>
    </xf>
    <xf numFmtId="0" fontId="10" fillId="5" borderId="1" xfId="15" applyFont="1" applyFill="1" applyBorder="1" applyAlignment="1">
      <alignment horizontal="left" vertical="center" wrapText="1"/>
    </xf>
    <xf numFmtId="0" fontId="15" fillId="0" borderId="1" xfId="15" applyFont="1" applyFill="1" applyBorder="1" applyAlignment="1">
      <alignment horizontal="left" vertical="center" wrapText="1"/>
    </xf>
    <xf numFmtId="0" fontId="15" fillId="0" borderId="1" xfId="15" applyFont="1" applyFill="1" applyBorder="1" applyAlignment="1">
      <alignment horizontal="center" vertical="center" wrapText="1"/>
    </xf>
    <xf numFmtId="0" fontId="10" fillId="5" borderId="1" xfId="15" applyFont="1" applyFill="1" applyBorder="1" applyAlignment="1">
      <alignment horizontal="left" vertical="center"/>
    </xf>
    <xf numFmtId="0" fontId="15" fillId="0" borderId="1" xfId="15" applyFont="1" applyFill="1" applyBorder="1" applyAlignment="1">
      <alignment horizontal="left" vertical="center"/>
    </xf>
    <xf numFmtId="0" fontId="20" fillId="0" borderId="1" xfId="0" applyFont="1" applyFill="1" applyBorder="1">
      <alignment vertical="center"/>
    </xf>
    <xf numFmtId="0" fontId="20" fillId="0" borderId="4" xfId="0" applyFont="1" applyFill="1" applyBorder="1" applyAlignment="1">
      <alignment horizontal="center" vertical="center" wrapText="1"/>
    </xf>
    <xf numFmtId="0" fontId="20" fillId="0" borderId="1" xfId="0" applyFont="1" applyFill="1" applyBorder="1" applyAlignment="1">
      <alignment horizontal="center" vertical="center"/>
    </xf>
    <xf numFmtId="0" fontId="9" fillId="3" borderId="1" xfId="0" applyFont="1" applyFill="1" applyBorder="1" applyAlignment="1">
      <alignment horizontal="center" vertical="center" wrapText="1"/>
    </xf>
    <xf numFmtId="0" fontId="7" fillId="0" borderId="1" xfId="0" applyFont="1" applyFill="1" applyBorder="1" applyAlignment="1">
      <alignment horizontal="left" vertical="center"/>
    </xf>
    <xf numFmtId="49" fontId="7" fillId="0" borderId="1" xfId="0" applyNumberFormat="1" applyFont="1" applyFill="1" applyBorder="1" applyAlignment="1">
      <alignment horizontal="left" vertical="center" wrapText="1"/>
    </xf>
    <xf numFmtId="0" fontId="7" fillId="0" borderId="0" xfId="0" applyFont="1" applyFill="1" applyBorder="1" applyAlignment="1">
      <alignment horizontal="left" vertical="center"/>
    </xf>
    <xf numFmtId="0" fontId="7" fillId="0" borderId="1" xfId="21" applyFont="1" applyFill="1" applyBorder="1" applyAlignment="1">
      <alignment horizontal="left" vertical="center"/>
    </xf>
    <xf numFmtId="0" fontId="7" fillId="0" borderId="1" xfId="21" applyFont="1" applyFill="1" applyBorder="1" applyAlignment="1">
      <alignment horizontal="left" vertical="center" wrapText="1"/>
    </xf>
    <xf numFmtId="0" fontId="4" fillId="0" borderId="0" xfId="0" applyFont="1" applyFill="1" applyBorder="1" applyAlignment="1">
      <alignment horizontal="left" vertical="center"/>
    </xf>
    <xf numFmtId="0" fontId="8" fillId="0" borderId="0" xfId="0" applyFont="1" applyFill="1" applyAlignment="1">
      <alignment horizontal="left" vertical="center"/>
    </xf>
    <xf numFmtId="0" fontId="9" fillId="0" borderId="1" xfId="0" applyFont="1" applyFill="1" applyBorder="1" applyAlignment="1">
      <alignment horizontal="left" vertical="center" wrapText="1"/>
    </xf>
    <xf numFmtId="0" fontId="7" fillId="0" borderId="1" xfId="7" applyFont="1" applyFill="1" applyBorder="1" applyAlignment="1">
      <alignment horizontal="left" vertical="center"/>
    </xf>
    <xf numFmtId="0" fontId="23" fillId="0" borderId="0" xfId="0" applyFont="1" applyFill="1" applyAlignment="1">
      <alignment horizontal="center" vertical="center"/>
    </xf>
    <xf numFmtId="0" fontId="3" fillId="0" borderId="0" xfId="15" applyFont="1" applyFill="1" applyBorder="1">
      <alignment vertical="center"/>
    </xf>
    <xf numFmtId="0" fontId="0" fillId="0" borderId="0" xfId="0" applyFill="1" applyAlignment="1">
      <alignment horizontal="center" vertical="center"/>
    </xf>
    <xf numFmtId="0" fontId="0" fillId="0" borderId="0" xfId="0" applyFill="1" applyAlignment="1">
      <alignment vertical="center" wrapText="1"/>
    </xf>
    <xf numFmtId="0" fontId="0" fillId="0" borderId="0" xfId="0" applyFill="1" applyAlignment="1">
      <alignment horizontal="left" vertical="center"/>
    </xf>
    <xf numFmtId="0" fontId="0" fillId="0" borderId="0" xfId="0" applyFill="1">
      <alignment vertical="center"/>
    </xf>
    <xf numFmtId="0" fontId="12" fillId="0" borderId="0" xfId="0" applyFont="1" applyFill="1">
      <alignment vertical="center"/>
    </xf>
    <xf numFmtId="0" fontId="10" fillId="3" borderId="1" xfId="0" applyFont="1" applyFill="1" applyBorder="1" applyAlignment="1">
      <alignment horizontal="left" vertical="center" wrapText="1"/>
    </xf>
    <xf numFmtId="0" fontId="15" fillId="0" borderId="1" xfId="18" applyFont="1" applyFill="1" applyBorder="1" applyAlignment="1">
      <alignment horizontal="left" vertical="center" wrapText="1"/>
    </xf>
    <xf numFmtId="0" fontId="24" fillId="0" borderId="1" xfId="0" applyFont="1" applyFill="1" applyBorder="1">
      <alignment vertical="center"/>
    </xf>
    <xf numFmtId="0" fontId="5" fillId="0" borderId="4" xfId="15" applyFont="1" applyFill="1" applyBorder="1" applyAlignment="1">
      <alignment vertical="center" wrapText="1"/>
    </xf>
    <xf numFmtId="0" fontId="5" fillId="0" borderId="4" xfId="15" applyFont="1" applyFill="1" applyBorder="1" applyAlignment="1">
      <alignment horizontal="center" vertical="center" wrapText="1"/>
    </xf>
    <xf numFmtId="0" fontId="5" fillId="0" borderId="4" xfId="15" applyFont="1" applyFill="1" applyBorder="1" applyAlignment="1">
      <alignment horizontal="left" vertical="center" wrapText="1"/>
    </xf>
    <xf numFmtId="49" fontId="5" fillId="0" borderId="4" xfId="15" applyNumberFormat="1" applyFont="1" applyFill="1" applyBorder="1" applyAlignment="1">
      <alignment horizontal="center" vertical="center" wrapText="1"/>
    </xf>
    <xf numFmtId="0" fontId="5" fillId="0" borderId="4" xfId="15" applyFont="1" applyFill="1" applyBorder="1">
      <alignment vertical="center"/>
    </xf>
    <xf numFmtId="0" fontId="2" fillId="0" borderId="0" xfId="15" applyFont="1" applyFill="1" applyAlignment="1">
      <alignment horizontal="center" vertical="center"/>
    </xf>
    <xf numFmtId="0" fontId="24" fillId="0" borderId="0" xfId="15" applyFont="1" applyFill="1">
      <alignment vertical="center"/>
    </xf>
    <xf numFmtId="0" fontId="12" fillId="0" borderId="0" xfId="15" applyFont="1">
      <alignment vertical="center"/>
    </xf>
    <xf numFmtId="0" fontId="12" fillId="0" borderId="0" xfId="15" applyFont="1" applyAlignment="1">
      <alignment horizontal="center" vertical="center"/>
    </xf>
    <xf numFmtId="0" fontId="24" fillId="0" borderId="1" xfId="15" applyFont="1" applyFill="1" applyBorder="1" applyAlignment="1">
      <alignment horizontal="left" vertical="center" wrapText="1"/>
    </xf>
    <xf numFmtId="0" fontId="24" fillId="0" borderId="1" xfId="15" applyFont="1" applyFill="1" applyBorder="1" applyAlignment="1">
      <alignment horizontal="center" vertical="center" wrapText="1"/>
    </xf>
    <xf numFmtId="0" fontId="24" fillId="0" borderId="1" xfId="15" applyFont="1" applyFill="1" applyBorder="1" applyAlignment="1">
      <alignment horizontal="center" vertical="top" wrapText="1"/>
    </xf>
    <xf numFmtId="0" fontId="24" fillId="0" borderId="1" xfId="15" applyFont="1" applyFill="1" applyBorder="1">
      <alignment vertical="center"/>
    </xf>
    <xf numFmtId="0" fontId="24" fillId="0" borderId="1" xfId="15" applyFont="1" applyFill="1" applyBorder="1" applyAlignment="1">
      <alignment horizontal="center" vertical="center"/>
    </xf>
    <xf numFmtId="0" fontId="26" fillId="0" borderId="0" xfId="15" applyFont="1" applyFill="1">
      <alignment vertical="center"/>
    </xf>
    <xf numFmtId="0" fontId="3" fillId="0" borderId="0" xfId="15" applyFont="1" applyFill="1" applyAlignment="1">
      <alignment vertical="center"/>
    </xf>
    <xf numFmtId="0" fontId="3" fillId="0" borderId="0" xfId="15" applyFont="1" applyFill="1" applyAlignment="1">
      <alignment horizontal="center" vertical="center"/>
    </xf>
    <xf numFmtId="0" fontId="3" fillId="0" borderId="0" xfId="15" applyFont="1" applyFill="1">
      <alignment vertical="center"/>
    </xf>
    <xf numFmtId="0" fontId="5" fillId="0" borderId="0" xfId="15" applyFont="1" applyFill="1">
      <alignment vertical="center"/>
    </xf>
    <xf numFmtId="0" fontId="22" fillId="3" borderId="1" xfId="15" applyFont="1" applyFill="1" applyBorder="1" applyAlignment="1">
      <alignment horizontal="center" vertical="center" wrapText="1"/>
    </xf>
    <xf numFmtId="0" fontId="22" fillId="3" borderId="1" xfId="15" applyFont="1" applyFill="1" applyBorder="1" applyAlignment="1">
      <alignment vertical="center" wrapText="1"/>
    </xf>
    <xf numFmtId="0" fontId="9" fillId="3" borderId="1" xfId="15" applyFont="1" applyFill="1" applyBorder="1" applyAlignment="1">
      <alignment horizontal="center" vertical="center" wrapText="1"/>
    </xf>
    <xf numFmtId="0" fontId="22" fillId="0" borderId="1" xfId="15" applyFont="1" applyFill="1" applyBorder="1" applyAlignment="1">
      <alignment horizontal="center" vertical="center" wrapText="1"/>
    </xf>
    <xf numFmtId="0" fontId="7" fillId="0" borderId="1" xfId="18" applyFont="1" applyFill="1" applyBorder="1" applyAlignment="1">
      <alignment horizontal="left" vertical="center" wrapText="1"/>
    </xf>
    <xf numFmtId="0" fontId="3" fillId="0" borderId="1" xfId="15" applyFont="1" applyFill="1" applyBorder="1" applyAlignment="1">
      <alignment horizontal="center" vertical="center"/>
    </xf>
    <xf numFmtId="0" fontId="5" fillId="0" borderId="1" xfId="15" applyFont="1" applyFill="1" applyBorder="1">
      <alignment vertical="center"/>
    </xf>
    <xf numFmtId="0" fontId="5" fillId="0" borderId="1" xfId="15" applyFont="1" applyFill="1" applyBorder="1" applyAlignment="1">
      <alignment horizontal="center" vertical="center"/>
    </xf>
    <xf numFmtId="0" fontId="7" fillId="0" borderId="1" xfId="18" applyFont="1" applyFill="1" applyBorder="1" applyAlignment="1">
      <alignment horizontal="center" vertical="center" wrapText="1"/>
    </xf>
    <xf numFmtId="0" fontId="7" fillId="0" borderId="1" xfId="15" applyFont="1" applyFill="1" applyBorder="1" applyAlignment="1">
      <alignment horizontal="center" vertical="center"/>
    </xf>
    <xf numFmtId="0" fontId="2" fillId="5" borderId="0" xfId="0" applyFont="1" applyFill="1" applyAlignment="1">
      <alignment horizontal="center" vertical="center"/>
    </xf>
    <xf numFmtId="0" fontId="6"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10" fillId="5" borderId="1" xfId="0" applyFont="1" applyFill="1" applyBorder="1" applyAlignment="1">
      <alignment horizontal="center" vertical="center" wrapText="1"/>
    </xf>
    <xf numFmtId="0" fontId="8" fillId="4" borderId="0" xfId="0" applyFont="1" applyFill="1" applyAlignment="1">
      <alignment horizontal="left" vertical="center"/>
    </xf>
    <xf numFmtId="0" fontId="23" fillId="0" borderId="0" xfId="0" applyFont="1" applyFill="1" applyBorder="1" applyAlignment="1">
      <alignment horizontal="left" vertical="center"/>
    </xf>
    <xf numFmtId="0" fontId="24" fillId="0" borderId="0" xfId="0" applyFont="1" applyFill="1" applyBorder="1" applyAlignment="1">
      <alignment horizontal="left" vertical="center" wrapText="1"/>
    </xf>
    <xf numFmtId="0" fontId="24" fillId="2" borderId="0" xfId="0" applyFont="1" applyFill="1" applyBorder="1" applyAlignment="1">
      <alignment horizontal="left" vertical="center" wrapText="1"/>
    </xf>
    <xf numFmtId="0" fontId="5" fillId="0" borderId="0" xfId="0" applyFont="1" applyFill="1">
      <alignment vertical="center"/>
    </xf>
    <xf numFmtId="0" fontId="12" fillId="0" borderId="0" xfId="0" applyFont="1" applyFill="1" applyAlignment="1">
      <alignment horizontal="center" vertical="center"/>
    </xf>
    <xf numFmtId="0" fontId="5" fillId="0" borderId="0" xfId="0" applyFont="1" applyFill="1" applyAlignment="1">
      <alignment horizontal="center" vertical="center"/>
    </xf>
    <xf numFmtId="0" fontId="22" fillId="3" borderId="1" xfId="0" applyFont="1" applyFill="1" applyBorder="1" applyAlignment="1">
      <alignment horizontal="center" vertical="center" wrapText="1"/>
    </xf>
    <xf numFmtId="0" fontId="27" fillId="3" borderId="1" xfId="12" applyFont="1" applyFill="1" applyBorder="1" applyAlignment="1">
      <alignment horizontal="center" vertical="center" wrapText="1"/>
    </xf>
    <xf numFmtId="0" fontId="24" fillId="0" borderId="1" xfId="0" applyFont="1" applyFill="1" applyBorder="1" applyAlignment="1">
      <alignment horizontal="left" vertical="center" wrapText="1"/>
    </xf>
    <xf numFmtId="0" fontId="24" fillId="0" borderId="1" xfId="0" applyFont="1" applyFill="1" applyBorder="1" applyAlignment="1">
      <alignment horizontal="center" vertical="center" wrapText="1"/>
    </xf>
    <xf numFmtId="0" fontId="24" fillId="2" borderId="1" xfId="0" applyFont="1" applyFill="1" applyBorder="1" applyAlignment="1">
      <alignment horizontal="left" vertical="center" wrapText="1"/>
    </xf>
    <xf numFmtId="0" fontId="24" fillId="2" borderId="1" xfId="0" applyFont="1" applyFill="1" applyBorder="1" applyAlignment="1">
      <alignment horizontal="center" vertical="center" wrapText="1"/>
    </xf>
    <xf numFmtId="0" fontId="24" fillId="0" borderId="0" xfId="0" applyFont="1" applyFill="1" applyBorder="1">
      <alignment vertical="center"/>
    </xf>
    <xf numFmtId="0" fontId="24" fillId="2" borderId="1" xfId="0" applyFont="1" applyFill="1" applyBorder="1">
      <alignment vertical="center"/>
    </xf>
    <xf numFmtId="0" fontId="24" fillId="2" borderId="0" xfId="0" applyFont="1" applyFill="1" applyBorder="1">
      <alignment vertical="center"/>
    </xf>
    <xf numFmtId="0" fontId="18" fillId="0" borderId="0" xfId="0" applyFont="1" applyFill="1" applyBorder="1" applyAlignment="1">
      <alignment horizontal="left" vertical="center"/>
    </xf>
    <xf numFmtId="0" fontId="16" fillId="0" borderId="0" xfId="0" applyFont="1" applyAlignment="1">
      <alignment horizontal="center" vertical="center"/>
    </xf>
    <xf numFmtId="0" fontId="10" fillId="3" borderId="1" xfId="0" applyFont="1" applyFill="1" applyBorder="1" applyAlignment="1">
      <alignment horizontal="center" vertical="center"/>
    </xf>
    <xf numFmtId="0" fontId="18" fillId="0" borderId="0" xfId="0" applyFont="1" applyFill="1" applyAlignment="1">
      <alignment horizontal="left" vertical="center"/>
    </xf>
    <xf numFmtId="0" fontId="16" fillId="0" borderId="0" xfId="0" applyFont="1">
      <alignment vertical="center"/>
    </xf>
    <xf numFmtId="0" fontId="15" fillId="0" borderId="1" xfId="12" applyFont="1" applyFill="1" applyBorder="1" applyAlignment="1">
      <alignment horizontal="left" vertical="center" wrapText="1"/>
    </xf>
    <xf numFmtId="0" fontId="15" fillId="0" borderId="1" xfId="12" applyFont="1" applyFill="1" applyBorder="1" applyAlignment="1">
      <alignment horizontal="center" vertical="center" wrapText="1"/>
    </xf>
    <xf numFmtId="0" fontId="15" fillId="0" borderId="1" xfId="12" applyFont="1" applyFill="1" applyBorder="1" applyAlignment="1">
      <alignment horizontal="center" vertical="center"/>
    </xf>
    <xf numFmtId="0" fontId="8" fillId="2" borderId="1" xfId="0" applyFont="1" applyFill="1" applyBorder="1" applyAlignment="1">
      <alignment horizontal="left" vertical="center" wrapText="1"/>
    </xf>
    <xf numFmtId="0" fontId="8" fillId="0" borderId="1" xfId="0" applyFont="1" applyFill="1" applyBorder="1" applyAlignment="1">
      <alignment horizontal="left" vertical="center" wrapText="1"/>
    </xf>
    <xf numFmtId="0" fontId="8" fillId="4"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10" fillId="3" borderId="1" xfId="0" applyFont="1" applyFill="1" applyBorder="1" applyAlignment="1">
      <alignment vertical="center" wrapText="1"/>
    </xf>
    <xf numFmtId="0" fontId="15" fillId="0" borderId="1" xfId="0" applyFont="1" applyFill="1" applyBorder="1" applyAlignment="1">
      <alignment vertical="center" wrapText="1"/>
    </xf>
    <xf numFmtId="0" fontId="15" fillId="2" borderId="1" xfId="0" applyFont="1" applyFill="1" applyBorder="1" applyAlignment="1">
      <alignment horizontal="left" vertical="center" wrapText="1"/>
    </xf>
    <xf numFmtId="0" fontId="15" fillId="2" borderId="1" xfId="0" applyFont="1" applyFill="1" applyBorder="1" applyAlignment="1">
      <alignment vertical="center" wrapText="1"/>
    </xf>
    <xf numFmtId="0" fontId="15" fillId="2" borderId="1" xfId="0" applyFont="1" applyFill="1" applyBorder="1" applyAlignment="1">
      <alignment horizontal="center" vertical="center" wrapText="1"/>
    </xf>
    <xf numFmtId="0" fontId="7" fillId="0" borderId="1" xfId="7" applyFont="1" applyFill="1" applyBorder="1" applyAlignment="1">
      <alignment horizontal="left" vertical="center" wrapText="1"/>
    </xf>
    <xf numFmtId="0" fontId="7" fillId="0" borderId="1" xfId="7" applyFont="1" applyFill="1" applyBorder="1" applyAlignment="1">
      <alignment horizontal="center" vertical="center" wrapText="1"/>
    </xf>
    <xf numFmtId="0" fontId="7" fillId="2" borderId="1" xfId="15" applyFont="1" applyFill="1" applyBorder="1" applyAlignment="1">
      <alignment horizontal="left" vertical="center" wrapText="1"/>
    </xf>
    <xf numFmtId="0" fontId="7" fillId="2" borderId="1" xfId="7" applyFont="1" applyFill="1" applyBorder="1" applyAlignment="1">
      <alignment horizontal="center" vertical="center" wrapText="1"/>
    </xf>
    <xf numFmtId="0" fontId="7" fillId="2" borderId="1" xfId="15" applyFont="1" applyFill="1" applyBorder="1" applyAlignment="1">
      <alignment horizontal="center" vertical="center" wrapText="1"/>
    </xf>
    <xf numFmtId="0" fontId="8" fillId="0" borderId="1" xfId="0" applyFont="1" applyFill="1" applyBorder="1" applyAlignment="1">
      <alignment horizontal="center" vertical="center" wrapText="1"/>
    </xf>
    <xf numFmtId="0" fontId="29" fillId="7" borderId="1" xfId="5" applyFont="1" applyFill="1" applyBorder="1" applyAlignment="1">
      <alignment horizontal="center" vertical="top"/>
    </xf>
    <xf numFmtId="0" fontId="0" fillId="0" borderId="0" xfId="0" applyAlignment="1">
      <alignment vertical="center"/>
    </xf>
    <xf numFmtId="0" fontId="30" fillId="0" borderId="0" xfId="0" applyFont="1" applyAlignment="1">
      <alignment horizontal="center" vertical="top" wrapText="1"/>
    </xf>
    <xf numFmtId="0" fontId="30" fillId="0" borderId="0" xfId="0" applyFont="1" applyAlignment="1">
      <alignment vertical="top" wrapText="1"/>
    </xf>
    <xf numFmtId="0" fontId="32" fillId="0" borderId="0" xfId="0" applyFont="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wrapText="1"/>
    </xf>
    <xf numFmtId="0" fontId="23" fillId="0" borderId="10" xfId="0" applyFont="1" applyBorder="1" applyAlignment="1">
      <alignment vertical="center"/>
    </xf>
    <xf numFmtId="0" fontId="23" fillId="0" borderId="5" xfId="0" applyFont="1" applyBorder="1" applyAlignment="1">
      <alignment vertical="center"/>
    </xf>
    <xf numFmtId="0" fontId="23" fillId="0" borderId="1" xfId="0" applyFont="1" applyBorder="1" applyAlignment="1">
      <alignment horizontal="center" vertical="center"/>
    </xf>
    <xf numFmtId="0" fontId="23" fillId="0" borderId="10" xfId="0" applyFont="1" applyBorder="1" applyAlignment="1">
      <alignment horizontal="center" vertical="center"/>
    </xf>
    <xf numFmtId="0" fontId="25" fillId="0" borderId="1" xfId="0" applyFont="1" applyBorder="1" applyAlignment="1">
      <alignment horizontal="center" vertical="center"/>
    </xf>
    <xf numFmtId="0" fontId="25" fillId="0" borderId="10" xfId="0" applyFont="1" applyBorder="1" applyAlignment="1">
      <alignment vertical="center"/>
    </xf>
    <xf numFmtId="14" fontId="25" fillId="0" borderId="10" xfId="0" applyNumberFormat="1" applyFont="1" applyBorder="1" applyAlignment="1">
      <alignment horizontal="center" vertical="center"/>
    </xf>
    <xf numFmtId="14" fontId="25" fillId="0" borderId="10" xfId="0" applyNumberFormat="1" applyFont="1" applyBorder="1" applyAlignment="1">
      <alignment horizontal="left" vertical="center" wrapText="1"/>
    </xf>
    <xf numFmtId="0" fontId="34" fillId="0" borderId="0" xfId="0" applyFont="1" applyAlignment="1">
      <alignment horizontal="center" vertical="center"/>
    </xf>
    <xf numFmtId="0" fontId="34" fillId="0" borderId="0" xfId="0" applyFont="1" applyAlignment="1">
      <alignment vertical="center"/>
    </xf>
    <xf numFmtId="0" fontId="37" fillId="6" borderId="1" xfId="0" applyFont="1" applyFill="1" applyBorder="1" applyAlignment="1">
      <alignment horizontal="center" wrapText="1"/>
    </xf>
    <xf numFmtId="0" fontId="38" fillId="0" borderId="0" xfId="0" applyFont="1">
      <alignment vertical="center"/>
    </xf>
    <xf numFmtId="0" fontId="38" fillId="0" borderId="0" xfId="0" applyFont="1" applyAlignment="1">
      <alignment vertical="center" wrapText="1"/>
    </xf>
    <xf numFmtId="0" fontId="38" fillId="4" borderId="0" xfId="0" applyFont="1" applyFill="1">
      <alignment vertical="center"/>
    </xf>
    <xf numFmtId="49" fontId="38" fillId="0" borderId="0" xfId="0" applyNumberFormat="1" applyFont="1">
      <alignment vertical="center"/>
    </xf>
    <xf numFmtId="49" fontId="39" fillId="4" borderId="1" xfId="0" applyNumberFormat="1" applyFont="1" applyFill="1" applyBorder="1" applyAlignment="1">
      <alignment horizontal="left" vertical="center" wrapText="1"/>
    </xf>
    <xf numFmtId="49" fontId="38" fillId="4" borderId="1" xfId="0" applyNumberFormat="1" applyFont="1" applyFill="1" applyBorder="1" applyAlignment="1">
      <alignment horizontal="left" vertical="center" wrapText="1"/>
    </xf>
    <xf numFmtId="0" fontId="40" fillId="4" borderId="1" xfId="0" applyFont="1" applyFill="1" applyBorder="1" applyAlignment="1">
      <alignment horizontal="left" vertical="center" wrapText="1"/>
    </xf>
    <xf numFmtId="0" fontId="38" fillId="0" borderId="1" xfId="0" applyFont="1" applyBorder="1" applyAlignment="1">
      <alignment vertical="center" wrapText="1"/>
    </xf>
    <xf numFmtId="0" fontId="41" fillId="4" borderId="1" xfId="0" applyFont="1" applyFill="1" applyBorder="1" applyAlignment="1">
      <alignment vertical="center" wrapText="1"/>
    </xf>
    <xf numFmtId="49" fontId="38" fillId="0" borderId="1" xfId="0" applyNumberFormat="1" applyFont="1" applyBorder="1">
      <alignment vertical="center"/>
    </xf>
    <xf numFmtId="0" fontId="38" fillId="0" borderId="1" xfId="0" applyFont="1" applyBorder="1">
      <alignment vertical="center"/>
    </xf>
    <xf numFmtId="0" fontId="38" fillId="4" borderId="1" xfId="0" applyFont="1" applyFill="1" applyBorder="1" applyAlignment="1">
      <alignment vertical="center" wrapText="1"/>
    </xf>
    <xf numFmtId="0" fontId="38" fillId="4" borderId="1" xfId="0" applyFont="1" applyFill="1" applyBorder="1">
      <alignment vertical="center"/>
    </xf>
    <xf numFmtId="0" fontId="42" fillId="4" borderId="12" xfId="0" applyFont="1" applyFill="1" applyBorder="1" applyAlignment="1">
      <alignment vertical="center" wrapText="1"/>
    </xf>
    <xf numFmtId="0" fontId="41" fillId="0" borderId="1" xfId="0" applyFont="1" applyBorder="1">
      <alignment vertical="center"/>
    </xf>
    <xf numFmtId="0" fontId="43" fillId="0" borderId="0" xfId="0" applyFont="1">
      <alignment vertical="center"/>
    </xf>
    <xf numFmtId="0" fontId="38" fillId="0" borderId="1" xfId="0" applyFont="1" applyBorder="1" applyAlignment="1">
      <alignment horizontal="left" wrapText="1"/>
    </xf>
    <xf numFmtId="0" fontId="41" fillId="0" borderId="1" xfId="0" applyFont="1" applyBorder="1" applyAlignment="1">
      <alignment horizontal="justify" vertical="center" wrapText="1"/>
    </xf>
    <xf numFmtId="0" fontId="41" fillId="0" borderId="1" xfId="0" applyFont="1" applyBorder="1" applyAlignment="1">
      <alignment vertical="center" wrapText="1"/>
    </xf>
    <xf numFmtId="0" fontId="44" fillId="0" borderId="1" xfId="0" applyFont="1" applyBorder="1" applyAlignment="1">
      <alignment vertical="center" wrapText="1"/>
    </xf>
    <xf numFmtId="0" fontId="44" fillId="0" borderId="1" xfId="0" applyFont="1" applyBorder="1">
      <alignment vertical="center"/>
    </xf>
    <xf numFmtId="0" fontId="44" fillId="4" borderId="1" xfId="0" applyFont="1" applyFill="1" applyBorder="1" applyAlignment="1">
      <alignment horizontal="justify" vertical="center" wrapText="1"/>
    </xf>
    <xf numFmtId="0" fontId="40" fillId="4" borderId="4" xfId="0" applyFont="1" applyFill="1" applyBorder="1" applyAlignment="1">
      <alignment horizontal="left" vertical="center" wrapText="1"/>
    </xf>
    <xf numFmtId="0" fontId="22" fillId="0" borderId="4" xfId="15" applyFont="1" applyFill="1" applyBorder="1" applyAlignment="1">
      <alignment horizontal="center" vertical="center" wrapText="1"/>
    </xf>
    <xf numFmtId="0" fontId="6" fillId="0" borderId="1" xfId="15" applyFont="1" applyFill="1" applyBorder="1" applyAlignment="1">
      <alignment horizontal="center" vertical="center" wrapText="1"/>
    </xf>
    <xf numFmtId="0" fontId="7" fillId="0" borderId="3" xfId="0" applyFont="1" applyFill="1" applyBorder="1" applyAlignment="1">
      <alignment horizontal="left" vertical="center" wrapText="1"/>
    </xf>
    <xf numFmtId="0" fontId="7" fillId="0" borderId="4" xfId="0" applyFont="1" applyFill="1" applyBorder="1" applyAlignment="1">
      <alignment horizontal="left" vertical="center" wrapText="1"/>
    </xf>
    <xf numFmtId="0" fontId="7" fillId="0" borderId="2" xfId="0" applyFont="1" applyFill="1" applyBorder="1" applyAlignment="1">
      <alignment horizontal="left" vertical="center" wrapText="1"/>
    </xf>
    <xf numFmtId="0" fontId="7"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15" fillId="0" borderId="1" xfId="0" applyFont="1" applyFill="1" applyBorder="1" applyAlignment="1">
      <alignment horizontal="left" vertical="center" wrapText="1"/>
    </xf>
    <xf numFmtId="0" fontId="7" fillId="0" borderId="1" xfId="15" applyFont="1" applyFill="1" applyBorder="1" applyAlignment="1">
      <alignment horizontal="center" vertical="center" wrapText="1"/>
    </xf>
    <xf numFmtId="0" fontId="15" fillId="0" borderId="1" xfId="0" applyFont="1" applyFill="1" applyBorder="1" applyAlignment="1">
      <alignment horizontal="center" vertical="center" wrapText="1"/>
    </xf>
    <xf numFmtId="0" fontId="11" fillId="0" borderId="0" xfId="0" applyFont="1" applyAlignment="1">
      <alignment vertical="center" wrapText="1"/>
    </xf>
    <xf numFmtId="0" fontId="29" fillId="0" borderId="0" xfId="5" applyFont="1" applyFill="1" applyBorder="1" applyAlignment="1">
      <alignment horizontal="left" vertical="top" wrapText="1"/>
    </xf>
    <xf numFmtId="0" fontId="29" fillId="0" borderId="0" xfId="5" applyFont="1" applyFill="1" applyBorder="1" applyAlignment="1">
      <alignment horizontal="center" vertical="top" wrapText="1"/>
    </xf>
    <xf numFmtId="0" fontId="4" fillId="0" borderId="0" xfId="0" applyFont="1" applyAlignment="1">
      <alignment horizontal="center" vertical="center"/>
    </xf>
    <xf numFmtId="0" fontId="5" fillId="0" borderId="1" xfId="0" applyFont="1" applyFill="1" applyBorder="1">
      <alignment vertical="center"/>
    </xf>
    <xf numFmtId="0" fontId="5" fillId="0" borderId="1" xfId="7" applyFont="1" applyFill="1" applyBorder="1" applyAlignment="1">
      <alignment horizontal="left" vertical="center"/>
    </xf>
    <xf numFmtId="0" fontId="3" fillId="0" borderId="0" xfId="0" applyFont="1" applyFill="1" applyBorder="1" applyAlignment="1">
      <alignment horizontal="center" vertical="center"/>
    </xf>
    <xf numFmtId="0" fontId="22" fillId="0" borderId="0" xfId="0" applyFont="1" applyFill="1" applyBorder="1" applyAlignment="1">
      <alignment horizontal="center" vertical="center"/>
    </xf>
    <xf numFmtId="0" fontId="22" fillId="0" borderId="0" xfId="0" applyFont="1" applyFill="1" applyBorder="1" applyAlignment="1">
      <alignment horizontal="left" vertical="center"/>
    </xf>
    <xf numFmtId="0" fontId="3" fillId="0" borderId="0" xfId="0" applyFont="1" applyFill="1" applyAlignment="1">
      <alignment horizontal="left" vertical="center"/>
    </xf>
    <xf numFmtId="0" fontId="26" fillId="0" borderId="0" xfId="0" applyFont="1" applyFill="1" applyAlignment="1">
      <alignment horizontal="left" vertical="center"/>
    </xf>
    <xf numFmtId="0" fontId="7" fillId="0" borderId="0" xfId="7" applyFont="1" applyFill="1" applyBorder="1" applyAlignment="1">
      <alignment horizontal="left" vertical="center" wrapText="1"/>
    </xf>
    <xf numFmtId="0" fontId="22" fillId="0" borderId="1" xfId="0" applyFont="1" applyFill="1" applyBorder="1" applyAlignment="1">
      <alignment horizontal="center" vertical="center" wrapText="1"/>
    </xf>
    <xf numFmtId="0" fontId="26" fillId="0" borderId="0" xfId="0" applyFont="1" applyFill="1" applyBorder="1" applyAlignment="1">
      <alignment horizontal="center" vertical="center"/>
    </xf>
    <xf numFmtId="0" fontId="5" fillId="0" borderId="1" xfId="0" applyFont="1" applyFill="1" applyBorder="1" applyAlignment="1">
      <alignment horizontal="left" vertical="center"/>
    </xf>
    <xf numFmtId="0" fontId="14" fillId="0" borderId="0" xfId="0" applyFont="1" applyFill="1" applyBorder="1" applyAlignment="1">
      <alignment horizontal="left" vertical="center"/>
    </xf>
    <xf numFmtId="0" fontId="5" fillId="0" borderId="0"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center" vertical="center"/>
    </xf>
    <xf numFmtId="0" fontId="3" fillId="0" borderId="1" xfId="0" applyFont="1" applyFill="1" applyBorder="1">
      <alignment vertical="center"/>
    </xf>
    <xf numFmtId="0" fontId="3" fillId="0" borderId="0" xfId="0" applyFont="1" applyFill="1">
      <alignment vertical="center"/>
    </xf>
    <xf numFmtId="0" fontId="5" fillId="0" borderId="1" xfId="0" applyFont="1" applyFill="1" applyBorder="1" applyAlignment="1">
      <alignment vertical="center" wrapText="1"/>
    </xf>
    <xf numFmtId="0" fontId="3" fillId="0" borderId="0" xfId="0" applyFont="1" applyFill="1" applyBorder="1">
      <alignment vertical="center"/>
    </xf>
    <xf numFmtId="0" fontId="3" fillId="0" borderId="0" xfId="0" applyFont="1" applyFill="1" applyBorder="1" applyAlignment="1">
      <alignment horizontal="left" vertical="center" wrapText="1"/>
    </xf>
    <xf numFmtId="0" fontId="4" fillId="0" borderId="1" xfId="0" applyFont="1" applyFill="1" applyBorder="1">
      <alignment vertical="center"/>
    </xf>
    <xf numFmtId="0" fontId="29" fillId="0" borderId="1" xfId="5" applyFont="1" applyFill="1" applyBorder="1" applyAlignment="1">
      <alignment horizontal="center" vertical="center"/>
    </xf>
    <xf numFmtId="0" fontId="29" fillId="0" borderId="1" xfId="5" applyFont="1" applyFill="1" applyBorder="1" applyAlignment="1">
      <alignment horizontal="left" vertical="top" wrapText="1"/>
    </xf>
    <xf numFmtId="0" fontId="29" fillId="0" borderId="1" xfId="5" applyFont="1" applyFill="1" applyBorder="1" applyAlignment="1">
      <alignment horizontal="left" vertical="top"/>
    </xf>
    <xf numFmtId="0" fontId="29" fillId="0" borderId="1" xfId="5" applyFont="1" applyFill="1" applyBorder="1" applyAlignment="1">
      <alignment horizontal="center" vertical="top"/>
    </xf>
    <xf numFmtId="0" fontId="29" fillId="0" borderId="1" xfId="5" applyFont="1" applyFill="1" applyBorder="1" applyAlignment="1">
      <alignment horizontal="left" vertical="center" wrapText="1"/>
    </xf>
    <xf numFmtId="0" fontId="29" fillId="0" borderId="1" xfId="5" applyFont="1" applyFill="1" applyBorder="1" applyAlignment="1">
      <alignment horizontal="left" vertical="center"/>
    </xf>
    <xf numFmtId="0" fontId="0" fillId="0" borderId="0" xfId="0" applyFill="1" applyAlignment="1">
      <alignment vertical="center"/>
    </xf>
    <xf numFmtId="0" fontId="54" fillId="0" borderId="1" xfId="5" applyFont="1" applyFill="1" applyBorder="1" applyAlignment="1">
      <alignment horizontal="left" vertical="top"/>
    </xf>
    <xf numFmtId="0" fontId="29" fillId="0" borderId="1" xfId="5" applyFont="1" applyFill="1" applyBorder="1" applyAlignment="1">
      <alignment horizontal="center" vertical="top" wrapText="1"/>
    </xf>
    <xf numFmtId="0" fontId="54" fillId="0" borderId="1" xfId="5" applyFont="1" applyFill="1" applyBorder="1" applyAlignment="1">
      <alignment horizontal="center" vertical="center"/>
    </xf>
    <xf numFmtId="0" fontId="55" fillId="8" borderId="1" xfId="0" applyFont="1" applyFill="1" applyBorder="1" applyAlignment="1">
      <alignment horizontal="center" vertical="top" wrapText="1"/>
    </xf>
    <xf numFmtId="0" fontId="56" fillId="8" borderId="0" xfId="0" applyFont="1" applyFill="1" applyAlignment="1">
      <alignment horizontal="center" vertical="center"/>
    </xf>
    <xf numFmtId="0" fontId="6" fillId="3" borderId="1" xfId="15" applyFont="1" applyFill="1" applyBorder="1" applyAlignment="1">
      <alignment vertical="center" wrapText="1"/>
    </xf>
    <xf numFmtId="0" fontId="8" fillId="0" borderId="0" xfId="15" applyFont="1" applyFill="1">
      <alignment vertical="center"/>
    </xf>
    <xf numFmtId="0" fontId="24" fillId="0" borderId="1" xfId="15" applyFont="1" applyFill="1" applyBorder="1" applyAlignment="1">
      <alignment vertical="center" wrapText="1"/>
    </xf>
    <xf numFmtId="0" fontId="8" fillId="0" borderId="1" xfId="15" applyFont="1" applyFill="1" applyBorder="1" applyAlignment="1">
      <alignment horizontal="center" vertical="center"/>
    </xf>
    <xf numFmtId="49" fontId="24" fillId="0" borderId="1" xfId="15" applyNumberFormat="1" applyFont="1" applyFill="1" applyBorder="1" applyAlignment="1">
      <alignment horizontal="center" vertical="center" wrapText="1"/>
    </xf>
    <xf numFmtId="0" fontId="15" fillId="0" borderId="1" xfId="18" applyFont="1" applyFill="1" applyBorder="1" applyAlignment="1">
      <alignment horizontal="center" vertical="center" wrapText="1"/>
    </xf>
    <xf numFmtId="0" fontId="8" fillId="0" borderId="0" xfId="15" applyFont="1" applyFill="1" applyBorder="1">
      <alignment vertical="center"/>
    </xf>
    <xf numFmtId="0" fontId="19" fillId="0" borderId="0" xfId="15" applyFont="1" applyFill="1" applyBorder="1" applyAlignment="1">
      <alignment horizontal="center" vertical="center" wrapText="1"/>
    </xf>
    <xf numFmtId="0" fontId="8" fillId="0" borderId="0" xfId="15" applyFont="1" applyFill="1" applyBorder="1" applyAlignment="1">
      <alignment horizontal="left" vertical="center" wrapText="1"/>
    </xf>
    <xf numFmtId="0" fontId="3" fillId="0" borderId="0" xfId="0" applyFont="1" applyFill="1" applyAlignment="1">
      <alignment horizontal="center" vertical="center"/>
    </xf>
    <xf numFmtId="0" fontId="0" fillId="0" borderId="0" xfId="0" applyBorder="1">
      <alignment vertical="center"/>
    </xf>
    <xf numFmtId="14" fontId="11" fillId="0" borderId="0" xfId="0" applyNumberFormat="1" applyFont="1" applyAlignment="1">
      <alignment vertical="center" wrapText="1"/>
    </xf>
    <xf numFmtId="49" fontId="7" fillId="0" borderId="1" xfId="0" applyNumberFormat="1" applyFont="1" applyFill="1" applyBorder="1" applyAlignment="1">
      <alignment horizontal="center" vertical="center" wrapText="1"/>
    </xf>
    <xf numFmtId="0" fontId="15" fillId="0" borderId="2" xfId="15" applyFont="1" applyFill="1" applyBorder="1" applyAlignment="1">
      <alignment horizontal="center" vertical="center" wrapText="1"/>
    </xf>
    <xf numFmtId="0" fontId="7" fillId="0" borderId="1" xfId="15" applyFont="1" applyFill="1" applyBorder="1" applyAlignment="1">
      <alignment vertical="center" wrapText="1"/>
    </xf>
    <xf numFmtId="0" fontId="9" fillId="0" borderId="1" xfId="15" applyFont="1" applyFill="1" applyBorder="1" applyAlignment="1">
      <alignment vertical="center" wrapText="1"/>
    </xf>
    <xf numFmtId="0" fontId="9" fillId="0" borderId="2" xfId="15" applyFont="1" applyFill="1" applyBorder="1" applyAlignment="1">
      <alignment horizontal="center" vertical="center" wrapText="1"/>
    </xf>
    <xf numFmtId="0" fontId="57" fillId="0" borderId="1" xfId="15" applyFont="1" applyFill="1" applyBorder="1" applyAlignment="1">
      <alignment horizontal="left" vertical="center" wrapText="1"/>
    </xf>
    <xf numFmtId="0" fontId="0" fillId="0" borderId="1" xfId="0" applyBorder="1">
      <alignment vertical="center"/>
    </xf>
    <xf numFmtId="0" fontId="18" fillId="0" borderId="0" xfId="0" applyFont="1" applyFill="1" applyBorder="1" applyAlignment="1">
      <alignment horizontal="left" vertical="center" wrapText="1"/>
    </xf>
    <xf numFmtId="0" fontId="8" fillId="0" borderId="0" xfId="0" applyFont="1" applyFill="1" applyBorder="1" applyAlignment="1">
      <alignment horizontal="left" vertical="center" wrapText="1"/>
    </xf>
    <xf numFmtId="0" fontId="8" fillId="4" borderId="0" xfId="0" applyFont="1" applyFill="1" applyBorder="1" applyAlignment="1">
      <alignment horizontal="left" vertical="center" wrapText="1"/>
    </xf>
    <xf numFmtId="0" fontId="8" fillId="2" borderId="0" xfId="0" applyFont="1" applyFill="1" applyBorder="1" applyAlignment="1">
      <alignment horizontal="left" vertical="center" wrapText="1"/>
    </xf>
    <xf numFmtId="0" fontId="8" fillId="4" borderId="0" xfId="0" applyFont="1" applyFill="1" applyBorder="1" applyAlignment="1">
      <alignment horizontal="center" vertical="center" wrapText="1"/>
    </xf>
    <xf numFmtId="0" fontId="4" fillId="2" borderId="0" xfId="15" applyFont="1" applyFill="1" applyBorder="1">
      <alignment vertical="center"/>
    </xf>
    <xf numFmtId="0" fontId="18" fillId="4" borderId="0" xfId="0" applyFont="1" applyFill="1" applyBorder="1" applyAlignment="1">
      <alignment horizontal="center" vertical="center" wrapText="1"/>
    </xf>
    <xf numFmtId="0" fontId="28" fillId="4" borderId="0" xfId="0" applyFont="1" applyFill="1" applyBorder="1" applyAlignment="1">
      <alignment horizontal="left" vertical="center" wrapText="1"/>
    </xf>
    <xf numFmtId="0" fontId="28" fillId="4" borderId="0" xfId="0" applyFont="1" applyFill="1" applyBorder="1" applyAlignment="1">
      <alignment vertical="center" wrapText="1"/>
    </xf>
    <xf numFmtId="0" fontId="4" fillId="0" borderId="1" xfId="15" applyFont="1" applyFill="1" applyBorder="1">
      <alignment vertical="center"/>
    </xf>
    <xf numFmtId="0" fontId="4" fillId="2" borderId="1" xfId="15" applyFont="1" applyFill="1" applyBorder="1">
      <alignment vertical="center"/>
    </xf>
    <xf numFmtId="49" fontId="5" fillId="0" borderId="4" xfId="15" applyNumberFormat="1" applyFont="1" applyFill="1" applyBorder="1" applyAlignment="1">
      <alignment horizontal="left" vertical="center" wrapText="1"/>
    </xf>
    <xf numFmtId="0" fontId="7" fillId="0" borderId="1" xfId="21" applyFont="1" applyFill="1" applyBorder="1" applyAlignment="1">
      <alignment vertical="center" wrapText="1"/>
    </xf>
    <xf numFmtId="0" fontId="7" fillId="0" borderId="1" xfId="18" applyFont="1" applyFill="1" applyBorder="1" applyAlignment="1">
      <alignment vertical="center" wrapText="1"/>
    </xf>
    <xf numFmtId="0" fontId="7" fillId="0" borderId="2" xfId="18" applyFont="1" applyFill="1" applyBorder="1" applyAlignment="1">
      <alignment vertical="center" wrapText="1"/>
    </xf>
    <xf numFmtId="0" fontId="7" fillId="0" borderId="4" xfId="0" applyFont="1" applyFill="1" applyBorder="1" applyAlignment="1">
      <alignment horizontal="left" vertical="center" wrapText="1"/>
    </xf>
    <xf numFmtId="0" fontId="7"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7" fillId="0" borderId="1" xfId="15" applyFont="1" applyFill="1" applyBorder="1" applyAlignment="1">
      <alignment horizontal="center" vertical="center" wrapText="1"/>
    </xf>
    <xf numFmtId="0" fontId="7" fillId="0" borderId="1" xfId="15" applyFont="1" applyFill="1" applyBorder="1" applyAlignment="1">
      <alignment horizontal="center" vertical="center" wrapText="1"/>
    </xf>
    <xf numFmtId="0" fontId="18" fillId="3" borderId="1"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23" fillId="3" borderId="1" xfId="0" applyFont="1" applyFill="1" applyBorder="1" applyAlignment="1">
      <alignment horizontal="left" vertical="center" wrapText="1"/>
    </xf>
    <xf numFmtId="0" fontId="25" fillId="0" borderId="0" xfId="0" applyFont="1" applyAlignment="1">
      <alignment vertical="center" wrapText="1"/>
    </xf>
    <xf numFmtId="0" fontId="23" fillId="0" borderId="0" xfId="0" applyFont="1" applyFill="1" applyBorder="1" applyAlignment="1">
      <alignment horizontal="center" vertical="center" wrapText="1"/>
    </xf>
    <xf numFmtId="0" fontId="25" fillId="0" borderId="0" xfId="0" applyFont="1" applyAlignment="1">
      <alignment horizontal="left" vertical="center" wrapText="1"/>
    </xf>
    <xf numFmtId="0" fontId="25" fillId="0" borderId="0" xfId="0" applyFont="1" applyAlignment="1">
      <alignment horizontal="center" vertical="center" wrapText="1"/>
    </xf>
    <xf numFmtId="0" fontId="59" fillId="0" borderId="1" xfId="0" applyFont="1" applyFill="1" applyBorder="1" applyAlignment="1">
      <alignment horizontal="left" vertical="center" wrapText="1"/>
    </xf>
    <xf numFmtId="0" fontId="59" fillId="0" borderId="1" xfId="0" applyFont="1" applyFill="1" applyBorder="1" applyAlignment="1">
      <alignment horizontal="center" vertical="center" wrapText="1"/>
    </xf>
    <xf numFmtId="0" fontId="59" fillId="0" borderId="0" xfId="0" applyFont="1" applyFill="1" applyAlignment="1">
      <alignment vertical="center" wrapText="1"/>
    </xf>
    <xf numFmtId="0" fontId="59" fillId="0" borderId="1" xfId="0" applyFont="1" applyFill="1" applyBorder="1" applyAlignment="1">
      <alignment vertical="center" wrapText="1"/>
    </xf>
    <xf numFmtId="0" fontId="59" fillId="0" borderId="0" xfId="0" applyFont="1" applyFill="1" applyBorder="1" applyAlignment="1">
      <alignment vertical="center" wrapText="1"/>
    </xf>
    <xf numFmtId="0" fontId="59" fillId="0" borderId="0" xfId="0" applyFont="1" applyFill="1" applyBorder="1" applyAlignment="1">
      <alignment horizontal="left" vertical="center" wrapText="1"/>
    </xf>
    <xf numFmtId="0" fontId="59" fillId="0" borderId="0" xfId="0" applyFont="1" applyFill="1">
      <alignment vertical="center"/>
    </xf>
    <xf numFmtId="0" fontId="59" fillId="0" borderId="0" xfId="0" applyFont="1" applyFill="1" applyBorder="1" applyAlignment="1">
      <alignment horizontal="left" vertical="center"/>
    </xf>
    <xf numFmtId="0" fontId="60" fillId="0" borderId="1" xfId="0" applyFont="1" applyFill="1" applyBorder="1" applyAlignment="1">
      <alignment horizontal="left" vertical="center" wrapText="1"/>
    </xf>
    <xf numFmtId="0" fontId="60" fillId="0" borderId="1" xfId="0" applyFont="1" applyFill="1" applyBorder="1" applyAlignment="1">
      <alignment horizontal="center" vertical="center" wrapText="1"/>
    </xf>
    <xf numFmtId="0" fontId="61" fillId="0" borderId="1" xfId="15" applyFont="1" applyFill="1" applyBorder="1" applyAlignment="1">
      <alignment horizontal="left" vertical="center" wrapText="1"/>
    </xf>
    <xf numFmtId="0" fontId="61" fillId="0" borderId="1" xfId="15" applyFont="1" applyFill="1" applyBorder="1" applyAlignment="1">
      <alignment vertical="center" wrapText="1"/>
    </xf>
    <xf numFmtId="0" fontId="61" fillId="0" borderId="1" xfId="15" applyFont="1" applyFill="1" applyBorder="1" applyAlignment="1">
      <alignment horizontal="center" vertical="center" wrapText="1"/>
    </xf>
    <xf numFmtId="0" fontId="61" fillId="0" borderId="0" xfId="15" applyFont="1" applyFill="1" applyBorder="1" applyAlignment="1">
      <alignment vertical="center" wrapText="1"/>
    </xf>
    <xf numFmtId="0" fontId="61" fillId="0" borderId="0" xfId="15" applyFont="1" applyFill="1" applyBorder="1" applyAlignment="1">
      <alignment horizontal="left" vertical="center" wrapText="1"/>
    </xf>
    <xf numFmtId="0" fontId="58" fillId="0" borderId="1" xfId="0" applyFont="1" applyBorder="1" applyAlignment="1">
      <alignment vertical="center" wrapText="1"/>
    </xf>
    <xf numFmtId="0" fontId="58" fillId="0" borderId="1" xfId="0" applyFont="1" applyBorder="1" applyAlignment="1">
      <alignment horizontal="left" vertical="center" wrapText="1"/>
    </xf>
    <xf numFmtId="0" fontId="58" fillId="0" borderId="0" xfId="0" applyFont="1" applyAlignment="1">
      <alignment vertical="center" wrapText="1"/>
    </xf>
    <xf numFmtId="0" fontId="59" fillId="2" borderId="1" xfId="0" applyFont="1" applyFill="1" applyBorder="1" applyAlignment="1">
      <alignment horizontal="left" vertical="center" wrapText="1"/>
    </xf>
    <xf numFmtId="0" fontId="59" fillId="2" borderId="1" xfId="0" applyFont="1" applyFill="1" applyBorder="1" applyAlignment="1">
      <alignment horizontal="center" vertical="center" wrapText="1"/>
    </xf>
    <xf numFmtId="0" fontId="59" fillId="0" borderId="0" xfId="0" applyFont="1" applyAlignment="1">
      <alignment vertical="center" wrapText="1"/>
    </xf>
    <xf numFmtId="0" fontId="15"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0" fillId="0" borderId="0" xfId="0" applyAlignment="1">
      <alignment vertical="center" wrapText="1"/>
    </xf>
    <xf numFmtId="0" fontId="36" fillId="0" borderId="0" xfId="0" applyFont="1" applyAlignment="1">
      <alignment vertical="center" wrapText="1"/>
    </xf>
    <xf numFmtId="0" fontId="8" fillId="0" borderId="1" xfId="5" applyFont="1" applyBorder="1" applyAlignment="1">
      <alignment horizontal="center" wrapText="1"/>
    </xf>
    <xf numFmtId="14" fontId="8" fillId="0" borderId="1" xfId="5" applyNumberFormat="1" applyFont="1" applyBorder="1" applyAlignment="1">
      <alignment horizontal="center" wrapText="1"/>
    </xf>
    <xf numFmtId="0" fontId="8" fillId="0" borderId="1" xfId="5" applyFont="1" applyBorder="1" applyAlignment="1">
      <alignment wrapText="1"/>
    </xf>
    <xf numFmtId="14" fontId="0" fillId="0" borderId="0" xfId="0" applyNumberFormat="1" applyAlignment="1">
      <alignment vertical="center" wrapText="1"/>
    </xf>
    <xf numFmtId="0" fontId="11" fillId="0" borderId="0" xfId="0" applyFont="1" applyFill="1" applyBorder="1" applyAlignment="1">
      <alignment vertical="center" wrapText="1"/>
    </xf>
    <xf numFmtId="0" fontId="8" fillId="0" borderId="1" xfId="0" applyFont="1" applyFill="1" applyBorder="1" applyAlignment="1">
      <alignment horizontal="center" vertical="center" wrapText="1"/>
    </xf>
    <xf numFmtId="0" fontId="6" fillId="0" borderId="1" xfId="15" applyFont="1" applyFill="1" applyBorder="1" applyAlignment="1">
      <alignment horizontal="center" vertical="center" wrapText="1"/>
    </xf>
    <xf numFmtId="0" fontId="7" fillId="0" borderId="1" xfId="0" applyFont="1" applyFill="1" applyBorder="1" applyAlignment="1">
      <alignment horizontal="left" vertical="center" wrapText="1"/>
    </xf>
    <xf numFmtId="0" fontId="15"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15" fillId="0" borderId="1" xfId="0" applyFont="1" applyFill="1" applyBorder="1" applyAlignment="1">
      <alignment horizontal="left" vertical="center" wrapText="1"/>
    </xf>
    <xf numFmtId="0" fontId="15" fillId="0" borderId="1" xfId="0" applyFont="1" applyFill="1" applyBorder="1" applyAlignment="1">
      <alignment horizontal="center" vertical="center" wrapText="1"/>
    </xf>
    <xf numFmtId="0" fontId="15" fillId="0" borderId="1" xfId="0" applyFont="1" applyFill="1" applyBorder="1" applyAlignment="1">
      <alignment horizontal="left" vertical="center" wrapText="1"/>
    </xf>
    <xf numFmtId="0" fontId="15"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15" fillId="0" borderId="1" xfId="0" applyFont="1" applyFill="1" applyBorder="1" applyAlignment="1">
      <alignment horizontal="left" vertical="center" wrapText="1"/>
    </xf>
    <xf numFmtId="0" fontId="15" fillId="0" borderId="1" xfId="0" applyFont="1" applyFill="1" applyBorder="1" applyAlignment="1">
      <alignment horizontal="left" vertical="center" wrapText="1"/>
    </xf>
    <xf numFmtId="0" fontId="15" fillId="0" borderId="1" xfId="0" applyFont="1" applyFill="1" applyBorder="1" applyAlignment="1">
      <alignment horizontal="center" vertical="center" wrapText="1"/>
    </xf>
    <xf numFmtId="0" fontId="7" fillId="0" borderId="1" xfId="15" applyFont="1" applyFill="1" applyBorder="1" applyAlignment="1">
      <alignment horizontal="center" vertical="center" wrapText="1"/>
    </xf>
    <xf numFmtId="0" fontId="7" fillId="0" borderId="1" xfId="15" applyFont="1" applyFill="1" applyBorder="1" applyAlignment="1">
      <alignment horizontal="center" vertical="center" wrapText="1"/>
    </xf>
    <xf numFmtId="0" fontId="8"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7" fillId="0" borderId="4" xfId="0" applyFont="1" applyFill="1" applyBorder="1" applyAlignment="1">
      <alignment horizontal="left" vertical="center" wrapText="1"/>
    </xf>
    <xf numFmtId="0" fontId="7" fillId="0" borderId="1" xfId="0" applyFont="1" applyFill="1" applyBorder="1" applyAlignment="1">
      <alignment horizontal="left" vertical="center" wrapText="1"/>
    </xf>
    <xf numFmtId="0" fontId="15"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15" fillId="0" borderId="1" xfId="0" applyFont="1" applyFill="1" applyBorder="1" applyAlignment="1">
      <alignment horizontal="left" vertical="center" wrapText="1"/>
    </xf>
    <xf numFmtId="0" fontId="7" fillId="0" borderId="1" xfId="15" applyFont="1" applyFill="1" applyBorder="1" applyAlignment="1">
      <alignment horizontal="center" vertical="center" wrapText="1"/>
    </xf>
    <xf numFmtId="0" fontId="15"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15" fillId="0" borderId="1" xfId="0" applyFont="1" applyFill="1" applyBorder="1" applyAlignment="1">
      <alignment horizontal="left" vertical="center" wrapText="1"/>
    </xf>
    <xf numFmtId="0" fontId="7" fillId="0" borderId="1" xfId="15" applyFont="1" applyFill="1" applyBorder="1" applyAlignment="1">
      <alignment horizontal="center" vertical="center" wrapText="1"/>
    </xf>
    <xf numFmtId="0" fontId="7" fillId="0" borderId="1" xfId="0" applyFont="1" applyFill="1" applyBorder="1" applyAlignment="1">
      <alignment horizontal="left" vertical="center" wrapText="1"/>
    </xf>
    <xf numFmtId="0" fontId="15" fillId="0" borderId="1" xfId="0" applyFont="1" applyFill="1" applyBorder="1" applyAlignment="1">
      <alignment horizontal="left" vertical="center" wrapText="1"/>
    </xf>
    <xf numFmtId="0" fontId="15" fillId="0" borderId="1" xfId="0" applyFont="1" applyFill="1" applyBorder="1" applyAlignment="1">
      <alignment horizontal="center" vertical="center" wrapText="1"/>
    </xf>
    <xf numFmtId="0" fontId="7" fillId="0" borderId="1" xfId="15" applyFont="1" applyFill="1" applyBorder="1" applyAlignment="1">
      <alignment horizontal="center" vertical="center" wrapText="1"/>
    </xf>
    <xf numFmtId="0" fontId="15" fillId="0" borderId="1" xfId="15" applyFont="1" applyFill="1" applyBorder="1" applyAlignment="1">
      <alignment horizontal="center" vertical="center"/>
    </xf>
    <xf numFmtId="0" fontId="24" fillId="0" borderId="1" xfId="0" applyFont="1" applyFill="1" applyBorder="1" applyAlignment="1">
      <alignment horizontal="left" vertical="center" wrapText="1"/>
    </xf>
    <xf numFmtId="0" fontId="15" fillId="0" borderId="1" xfId="0" applyFont="1" applyFill="1" applyBorder="1" applyAlignment="1">
      <alignment horizontal="center" vertical="center" wrapText="1"/>
    </xf>
    <xf numFmtId="49" fontId="24" fillId="0" borderId="1" xfId="0" applyNumberFormat="1" applyFont="1" applyFill="1" applyBorder="1" applyAlignment="1">
      <alignment horizontal="center" vertical="center" wrapText="1"/>
    </xf>
    <xf numFmtId="0" fontId="24" fillId="0" borderId="1" xfId="0" applyFont="1" applyFill="1" applyBorder="1" applyAlignment="1">
      <alignment vertical="center" wrapText="1"/>
    </xf>
    <xf numFmtId="0" fontId="8" fillId="0" borderId="0" xfId="0" applyFont="1" applyFill="1">
      <alignment vertical="center"/>
    </xf>
    <xf numFmtId="0" fontId="26" fillId="0" borderId="1" xfId="15" applyFont="1" applyFill="1" applyBorder="1" applyAlignment="1">
      <alignment horizontal="center" vertical="center"/>
    </xf>
    <xf numFmtId="0" fontId="7" fillId="0" borderId="1" xfId="0" applyFont="1" applyFill="1" applyBorder="1" applyAlignment="1">
      <alignment horizontal="left" vertical="center" wrapText="1"/>
    </xf>
    <xf numFmtId="0" fontId="7" fillId="0" borderId="1" xfId="15" applyFont="1" applyFill="1" applyBorder="1" applyAlignment="1">
      <alignment horizontal="center" vertical="center" wrapText="1"/>
    </xf>
    <xf numFmtId="0" fontId="15" fillId="0" borderId="1" xfId="0" applyFont="1" applyFill="1" applyBorder="1" applyAlignment="1">
      <alignment horizontal="center" vertical="center" wrapText="1"/>
    </xf>
    <xf numFmtId="0" fontId="24" fillId="0" borderId="1" xfId="0" applyFont="1" applyFill="1" applyBorder="1" applyAlignment="1">
      <alignment horizontal="left" vertical="center" wrapText="1"/>
    </xf>
    <xf numFmtId="0" fontId="7" fillId="0" borderId="4" xfId="0" applyFont="1" applyFill="1" applyBorder="1" applyAlignment="1">
      <alignment horizontal="left" vertical="center" wrapText="1"/>
    </xf>
    <xf numFmtId="0" fontId="7"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15" fillId="0" borderId="1" xfId="0" applyFont="1" applyFill="1" applyBorder="1" applyAlignment="1">
      <alignment horizontal="left" vertical="center" wrapText="1"/>
    </xf>
    <xf numFmtId="0" fontId="12" fillId="0" borderId="1" xfId="15" applyFont="1" applyFill="1" applyBorder="1" applyAlignment="1">
      <alignment horizontal="left" vertical="center" wrapText="1"/>
    </xf>
    <xf numFmtId="0" fontId="12" fillId="0" borderId="1" xfId="15" applyFont="1" applyFill="1" applyBorder="1" applyAlignment="1">
      <alignment horizontal="center" vertical="center" wrapText="1"/>
    </xf>
    <xf numFmtId="0" fontId="11" fillId="0" borderId="0" xfId="15" applyFont="1" applyFill="1">
      <alignment vertical="center"/>
    </xf>
    <xf numFmtId="0" fontId="7" fillId="0" borderId="4" xfId="0" applyFont="1" applyFill="1" applyBorder="1" applyAlignment="1">
      <alignment horizontal="left" vertical="center" wrapText="1"/>
    </xf>
    <xf numFmtId="0" fontId="24" fillId="0" borderId="1" xfId="15" applyFont="1" applyFill="1" applyBorder="1" applyAlignment="1">
      <alignment horizontal="left" vertical="center"/>
    </xf>
    <xf numFmtId="0" fontId="5" fillId="0" borderId="4" xfId="15" applyFont="1" applyFill="1" applyBorder="1" applyAlignment="1">
      <alignment horizontal="left" vertical="center"/>
    </xf>
    <xf numFmtId="0" fontId="5" fillId="0" borderId="1" xfId="15" applyFont="1" applyFill="1" applyBorder="1" applyAlignment="1">
      <alignment horizontal="left" vertical="center"/>
    </xf>
    <xf numFmtId="0" fontId="3" fillId="0" borderId="0" xfId="15" applyFont="1" applyFill="1" applyAlignment="1">
      <alignment horizontal="left" vertical="center"/>
    </xf>
    <xf numFmtId="0" fontId="7" fillId="0" borderId="4" xfId="15" applyFont="1" applyFill="1" applyBorder="1" applyAlignment="1">
      <alignment horizontal="left" vertical="center" wrapText="1"/>
    </xf>
    <xf numFmtId="0" fontId="5" fillId="0" borderId="0" xfId="15" applyFont="1" applyFill="1" applyAlignment="1">
      <alignment horizontal="left" vertical="center"/>
    </xf>
    <xf numFmtId="0" fontId="24" fillId="0" borderId="1" xfId="15" applyFont="1" applyFill="1" applyBorder="1" applyAlignment="1">
      <alignment vertical="center"/>
    </xf>
    <xf numFmtId="0" fontId="9" fillId="0" borderId="1" xfId="0" applyFont="1" applyFill="1" applyBorder="1" applyAlignment="1">
      <alignment vertical="center" wrapText="1"/>
    </xf>
    <xf numFmtId="0" fontId="5" fillId="0" borderId="4" xfId="15" applyFont="1" applyFill="1" applyBorder="1" applyAlignment="1">
      <alignment vertical="center"/>
    </xf>
    <xf numFmtId="0" fontId="5" fillId="0" borderId="1" xfId="15" applyFont="1" applyFill="1" applyBorder="1" applyAlignment="1">
      <alignment vertical="center"/>
    </xf>
    <xf numFmtId="0" fontId="7" fillId="0" borderId="1" xfId="0" applyFont="1" applyFill="1" applyBorder="1" applyAlignment="1">
      <alignment horizontal="left" vertical="center" wrapText="1"/>
    </xf>
    <xf numFmtId="0" fontId="7" fillId="0" borderId="1" xfId="15" applyFont="1" applyFill="1" applyBorder="1" applyAlignment="1">
      <alignment horizontal="center" vertical="center" wrapText="1"/>
    </xf>
    <xf numFmtId="0" fontId="15" fillId="0" borderId="1" xfId="0" applyFont="1" applyFill="1" applyBorder="1" applyAlignment="1">
      <alignment horizontal="center" vertical="center" wrapText="1"/>
    </xf>
    <xf numFmtId="49" fontId="24" fillId="0" borderId="1" xfId="0" applyNumberFormat="1" applyFont="1" applyFill="1" applyBorder="1" applyAlignment="1">
      <alignment horizontal="left" vertical="center" wrapText="1"/>
    </xf>
    <xf numFmtId="0" fontId="3" fillId="0" borderId="1" xfId="15" applyFont="1" applyFill="1" applyBorder="1" applyAlignment="1">
      <alignment vertical="center"/>
    </xf>
    <xf numFmtId="0" fontId="7" fillId="0" borderId="4" xfId="0" applyFont="1" applyFill="1" applyBorder="1" applyAlignment="1">
      <alignment horizontal="left" vertical="center" wrapText="1"/>
    </xf>
    <xf numFmtId="49" fontId="15" fillId="0" borderId="1" xfId="0" applyNumberFormat="1" applyFont="1" applyFill="1" applyBorder="1" applyAlignment="1">
      <alignment horizontal="center" vertical="center" wrapText="1"/>
    </xf>
    <xf numFmtId="0" fontId="58" fillId="0" borderId="1" xfId="0" applyFont="1" applyFill="1" applyBorder="1" applyAlignment="1">
      <alignment vertical="center" wrapText="1"/>
    </xf>
    <xf numFmtId="0" fontId="0" fillId="0" borderId="8" xfId="0" applyBorder="1" applyAlignment="1">
      <alignment vertical="center"/>
    </xf>
    <xf numFmtId="0" fontId="7" fillId="0" borderId="4" xfId="0" applyFont="1" applyFill="1" applyBorder="1" applyAlignment="1">
      <alignment horizontal="left" vertical="center" wrapText="1"/>
    </xf>
    <xf numFmtId="0" fontId="15" fillId="0" borderId="1" xfId="0" applyFont="1" applyFill="1" applyBorder="1" applyAlignment="1">
      <alignment horizontal="left" vertical="center" wrapText="1"/>
    </xf>
    <xf numFmtId="0" fontId="7" fillId="0" borderId="1" xfId="15" applyFont="1" applyFill="1" applyBorder="1" applyAlignment="1">
      <alignment horizontal="center" vertical="center" wrapText="1"/>
    </xf>
    <xf numFmtId="0" fontId="15" fillId="0" borderId="1" xfId="0" applyFont="1" applyFill="1" applyBorder="1" applyAlignment="1">
      <alignment horizontal="center" vertical="center" wrapText="1"/>
    </xf>
    <xf numFmtId="0" fontId="0" fillId="0" borderId="1" xfId="0" applyBorder="1" applyAlignment="1">
      <alignment horizontal="center" vertical="center"/>
    </xf>
    <xf numFmtId="0" fontId="12" fillId="0" borderId="1" xfId="0" applyFont="1" applyBorder="1" applyAlignment="1">
      <alignment horizontal="left" vertical="center"/>
    </xf>
    <xf numFmtId="0" fontId="61" fillId="0" borderId="0" xfId="15" applyFont="1" applyFill="1" applyBorder="1" applyAlignment="1">
      <alignment horizontal="center" vertical="center" wrapText="1"/>
    </xf>
    <xf numFmtId="49" fontId="61" fillId="0" borderId="0" xfId="15"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0" fontId="0" fillId="0" borderId="3" xfId="0" applyBorder="1" applyAlignment="1">
      <alignment horizontal="center" vertical="center" wrapText="1"/>
    </xf>
    <xf numFmtId="0" fontId="6" fillId="0" borderId="1" xfId="15" applyFont="1" applyFill="1" applyBorder="1" applyAlignment="1">
      <alignment horizontal="center" vertical="center" wrapText="1"/>
    </xf>
    <xf numFmtId="0" fontId="15" fillId="0" borderId="1" xfId="0" applyFont="1" applyFill="1" applyBorder="1" applyAlignment="1">
      <alignment horizontal="left" vertical="center" wrapText="1"/>
    </xf>
    <xf numFmtId="0" fontId="15" fillId="0" borderId="1" xfId="0" applyFont="1" applyFill="1" applyBorder="1" applyAlignment="1">
      <alignment horizontal="center" vertical="center" wrapText="1"/>
    </xf>
    <xf numFmtId="0" fontId="6" fillId="2" borderId="1" xfId="15" applyFont="1" applyFill="1" applyBorder="1" applyAlignment="1">
      <alignment horizontal="center" vertical="center" wrapText="1"/>
    </xf>
    <xf numFmtId="0" fontId="7" fillId="0" borderId="1" xfId="15" applyFont="1" applyFill="1" applyBorder="1" applyAlignment="1">
      <alignment horizontal="center" vertical="center" wrapText="1"/>
    </xf>
    <xf numFmtId="0" fontId="10" fillId="0" borderId="1" xfId="12" applyFont="1" applyFill="1" applyBorder="1" applyAlignment="1">
      <alignment horizontal="center" vertical="center" wrapText="1"/>
    </xf>
    <xf numFmtId="0" fontId="20" fillId="0" borderId="1" xfId="0" applyFont="1" applyFill="1" applyBorder="1" applyAlignment="1">
      <alignment vertical="center"/>
    </xf>
    <xf numFmtId="0" fontId="15" fillId="0" borderId="1" xfId="7" applyFont="1" applyFill="1" applyBorder="1" applyAlignment="1">
      <alignment horizontal="left" vertical="center" wrapText="1"/>
    </xf>
    <xf numFmtId="0" fontId="15" fillId="0" borderId="1" xfId="7" applyFont="1" applyFill="1" applyBorder="1" applyAlignment="1">
      <alignment horizontal="center" vertical="center" wrapText="1"/>
    </xf>
    <xf numFmtId="0" fontId="21" fillId="0" borderId="1" xfId="7" applyFont="1" applyFill="1" applyBorder="1" applyAlignment="1">
      <alignment horizontal="left" vertical="center" wrapText="1"/>
    </xf>
    <xf numFmtId="0" fontId="63" fillId="0" borderId="1" xfId="7" applyFont="1" applyFill="1" applyBorder="1" applyAlignment="1">
      <alignment horizontal="left" vertical="center" wrapText="1"/>
    </xf>
    <xf numFmtId="0" fontId="0" fillId="0" borderId="0" xfId="0" applyBorder="1" applyAlignment="1">
      <alignment horizontal="center" vertical="center" wrapText="1"/>
    </xf>
    <xf numFmtId="0" fontId="0" fillId="0" borderId="0" xfId="0" applyBorder="1" applyAlignment="1">
      <alignment vertical="center"/>
    </xf>
    <xf numFmtId="0" fontId="7" fillId="0" borderId="1" xfId="0" applyFont="1" applyFill="1" applyBorder="1" applyAlignment="1">
      <alignment vertical="center" wrapText="1"/>
    </xf>
    <xf numFmtId="0" fontId="15"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24" fillId="0" borderId="1" xfId="0" applyFont="1" applyFill="1" applyBorder="1" applyAlignment="1">
      <alignment horizontal="left" vertical="center" wrapText="1"/>
    </xf>
    <xf numFmtId="0" fontId="15" fillId="0" borderId="1" xfId="0" applyFont="1" applyFill="1" applyBorder="1" applyAlignment="1">
      <alignment horizontal="left" vertical="center" wrapText="1"/>
    </xf>
    <xf numFmtId="0" fontId="7" fillId="0" borderId="1" xfId="15" applyFont="1" applyFill="1" applyBorder="1" applyAlignment="1">
      <alignment horizontal="center" vertical="center" wrapText="1"/>
    </xf>
    <xf numFmtId="0" fontId="9" fillId="0" borderId="1" xfId="0" applyFont="1" applyFill="1" applyBorder="1" applyAlignment="1">
      <alignment horizontal="center" vertical="center" wrapText="1"/>
    </xf>
    <xf numFmtId="0" fontId="6" fillId="3" borderId="1" xfId="15" applyFont="1" applyFill="1" applyBorder="1" applyAlignment="1">
      <alignment horizontal="left" vertical="center" wrapText="1"/>
    </xf>
    <xf numFmtId="178" fontId="7" fillId="2" borderId="1" xfId="7" applyNumberFormat="1" applyFont="1" applyFill="1" applyBorder="1" applyAlignment="1">
      <alignment vertical="center" wrapText="1"/>
    </xf>
    <xf numFmtId="0" fontId="5" fillId="0" borderId="1" xfId="0" applyFont="1" applyBorder="1" applyAlignment="1">
      <alignment vertical="center" wrapText="1"/>
    </xf>
    <xf numFmtId="0" fontId="7" fillId="0" borderId="1" xfId="0" applyFont="1" applyBorder="1" applyAlignment="1">
      <alignment horizontal="center" vertical="center" wrapText="1"/>
    </xf>
    <xf numFmtId="0" fontId="8"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3" fillId="0" borderId="4" xfId="15" applyFont="1" applyFill="1" applyBorder="1" applyAlignment="1">
      <alignment horizontal="center" vertical="center"/>
    </xf>
    <xf numFmtId="0" fontId="7" fillId="0" borderId="1" xfId="21" applyFont="1" applyFill="1" applyBorder="1" applyAlignment="1">
      <alignment horizontal="center" vertical="center"/>
    </xf>
    <xf numFmtId="0" fontId="24" fillId="0" borderId="2" xfId="15" applyFont="1" applyFill="1" applyBorder="1" applyAlignment="1">
      <alignment horizontal="center" vertical="center" wrapText="1"/>
    </xf>
    <xf numFmtId="0" fontId="7"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1" xfId="15" applyFont="1" applyFill="1" applyBorder="1" applyAlignment="1">
      <alignment horizontal="center" vertical="center" wrapText="1"/>
    </xf>
    <xf numFmtId="0" fontId="5"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 xfId="15" applyFont="1" applyFill="1" applyBorder="1" applyAlignment="1">
      <alignment horizontal="center" vertical="center" wrapText="1"/>
    </xf>
    <xf numFmtId="0" fontId="15"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7" fillId="0" borderId="4" xfId="0" applyFont="1" applyFill="1" applyBorder="1" applyAlignment="1">
      <alignment horizontal="left" vertical="center" wrapText="1"/>
    </xf>
    <xf numFmtId="0" fontId="9"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7" fillId="0" borderId="1" xfId="15" applyFont="1" applyFill="1" applyBorder="1" applyAlignment="1">
      <alignment horizontal="center" vertical="center" wrapText="1"/>
    </xf>
    <xf numFmtId="0" fontId="15" fillId="0" borderId="1" xfId="0" applyFont="1" applyFill="1" applyBorder="1" applyAlignment="1">
      <alignment horizontal="left" vertical="top" wrapText="1"/>
    </xf>
    <xf numFmtId="0" fontId="7" fillId="0" borderId="1" xfId="7" applyFont="1" applyFill="1" applyBorder="1" applyAlignment="1">
      <alignment horizontal="center" vertical="center"/>
    </xf>
    <xf numFmtId="0" fontId="3" fillId="0" borderId="6" xfId="15" applyFont="1" applyFill="1" applyBorder="1" applyAlignment="1">
      <alignment horizontal="left" vertical="center" wrapText="1"/>
    </xf>
    <xf numFmtId="0" fontId="7"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6" fillId="0" borderId="2" xfId="15"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7" fillId="0" borderId="4"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7" fillId="0" borderId="4" xfId="0" applyFont="1" applyFill="1" applyBorder="1" applyAlignment="1">
      <alignment horizontal="left" vertical="center" wrapText="1"/>
    </xf>
    <xf numFmtId="0" fontId="8" fillId="0" borderId="1" xfId="21" applyFont="1" applyFill="1" applyBorder="1" applyAlignment="1">
      <alignment horizontal="left" vertical="center" wrapText="1"/>
    </xf>
    <xf numFmtId="0" fontId="8" fillId="0" borderId="1" xfId="0" applyFont="1" applyFill="1" applyBorder="1" applyAlignment="1">
      <alignment vertical="center" wrapText="1"/>
    </xf>
    <xf numFmtId="0" fontId="15" fillId="0" borderId="0" xfId="0" applyFont="1" applyFill="1" applyBorder="1" applyAlignment="1">
      <alignment horizontal="left" vertical="center" wrapText="1"/>
    </xf>
    <xf numFmtId="0" fontId="7" fillId="0" borderId="4"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66" fillId="0" borderId="13" xfId="0" applyFont="1" applyBorder="1" applyAlignment="1">
      <alignment horizontal="justify" vertical="center" wrapText="1"/>
    </xf>
    <xf numFmtId="0" fontId="65" fillId="0" borderId="13" xfId="0" applyFont="1" applyBorder="1" applyAlignment="1">
      <alignment horizontal="justify" vertical="center" wrapText="1"/>
    </xf>
    <xf numFmtId="0" fontId="65" fillId="0" borderId="13" xfId="0" applyFont="1" applyBorder="1" applyAlignment="1">
      <alignment horizontal="justify" vertical="top" wrapText="1"/>
    </xf>
    <xf numFmtId="0" fontId="66" fillId="0" borderId="13" xfId="0" applyFont="1" applyBorder="1" applyAlignment="1">
      <alignment horizontal="justify" vertical="top" wrapText="1"/>
    </xf>
    <xf numFmtId="0" fontId="66" fillId="3" borderId="13" xfId="0" applyFont="1" applyFill="1" applyBorder="1" applyAlignment="1">
      <alignment horizontal="center" vertical="center" wrapText="1"/>
    </xf>
    <xf numFmtId="0" fontId="65" fillId="3" borderId="13" xfId="0" applyFont="1" applyFill="1" applyBorder="1" applyAlignment="1">
      <alignment horizontal="center" vertical="center" wrapText="1"/>
    </xf>
    <xf numFmtId="0" fontId="66" fillId="3" borderId="13" xfId="0" applyFont="1" applyFill="1" applyBorder="1" applyAlignment="1">
      <alignment horizontal="center" vertical="top" wrapText="1"/>
    </xf>
    <xf numFmtId="0" fontId="15" fillId="0" borderId="1" xfId="0" applyFont="1" applyFill="1" applyBorder="1" applyAlignment="1">
      <alignment horizontal="center" vertical="center" wrapText="1"/>
    </xf>
    <xf numFmtId="0" fontId="7" fillId="0" borderId="4" xfId="0" applyFont="1" applyFill="1" applyBorder="1" applyAlignment="1">
      <alignment horizontal="left" vertical="center" wrapText="1"/>
    </xf>
    <xf numFmtId="0" fontId="15" fillId="0" borderId="1" xfId="0" applyFont="1" applyFill="1" applyBorder="1" applyAlignment="1">
      <alignment horizontal="center" vertical="center" wrapText="1"/>
    </xf>
    <xf numFmtId="0" fontId="24" fillId="0" borderId="1" xfId="0" applyFont="1" applyFill="1" applyBorder="1" applyAlignment="1">
      <alignment horizontal="left" vertical="center" wrapText="1"/>
    </xf>
    <xf numFmtId="0" fontId="15"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67" fillId="0" borderId="13" xfId="0" applyFont="1" applyBorder="1" applyAlignment="1">
      <alignment vertical="center" wrapText="1"/>
    </xf>
    <xf numFmtId="0" fontId="67" fillId="0" borderId="14" xfId="0" applyFont="1" applyBorder="1" applyAlignment="1">
      <alignment vertical="center" wrapText="1"/>
    </xf>
    <xf numFmtId="0" fontId="67" fillId="0" borderId="14" xfId="0" applyFont="1" applyBorder="1" applyAlignment="1">
      <alignment horizontal="center" vertical="center" wrapText="1"/>
    </xf>
    <xf numFmtId="0" fontId="12" fillId="0" borderId="14" xfId="0" applyFont="1" applyBorder="1" applyAlignment="1">
      <alignment horizontal="center" vertical="center" wrapText="1"/>
    </xf>
    <xf numFmtId="0" fontId="24" fillId="2" borderId="1" xfId="0" applyFont="1" applyFill="1" applyBorder="1" applyAlignment="1">
      <alignment vertical="center" wrapText="1"/>
    </xf>
    <xf numFmtId="0" fontId="23" fillId="0" borderId="10" xfId="0" applyFont="1" applyBorder="1" applyAlignment="1">
      <alignment horizontal="left" vertical="center"/>
    </xf>
    <xf numFmtId="0" fontId="0" fillId="0" borderId="6" xfId="0" applyBorder="1" applyAlignment="1">
      <alignment horizontal="left" vertical="center"/>
    </xf>
    <xf numFmtId="0" fontId="12" fillId="0" borderId="10" xfId="0" applyFont="1" applyBorder="1" applyAlignment="1">
      <alignment horizontal="center" vertical="center" wrapText="1"/>
    </xf>
    <xf numFmtId="0" fontId="12" fillId="0" borderId="6" xfId="0" applyFont="1" applyBorder="1" applyAlignment="1">
      <alignment horizontal="center" vertical="center" wrapText="1"/>
    </xf>
    <xf numFmtId="0" fontId="33" fillId="0" borderId="10" xfId="0" applyFont="1" applyBorder="1" applyAlignment="1">
      <alignment horizontal="left" vertical="center"/>
    </xf>
    <xf numFmtId="0" fontId="33" fillId="0" borderId="6" xfId="0" applyFont="1" applyBorder="1" applyAlignment="1">
      <alignment horizontal="left" vertical="center"/>
    </xf>
    <xf numFmtId="177" fontId="35" fillId="0" borderId="0" xfId="0" applyNumberFormat="1" applyFont="1" applyAlignment="1">
      <alignment horizontal="center" vertical="center"/>
    </xf>
    <xf numFmtId="0" fontId="30" fillId="0" borderId="0" xfId="0" applyFont="1" applyAlignment="1">
      <alignment horizontal="center" vertical="top" wrapText="1"/>
    </xf>
    <xf numFmtId="0" fontId="18" fillId="0" borderId="11" xfId="0" applyFont="1" applyBorder="1" applyAlignment="1">
      <alignment horizontal="left" vertical="center"/>
    </xf>
    <xf numFmtId="0" fontId="31" fillId="0" borderId="1" xfId="0" applyFont="1" applyBorder="1" applyAlignment="1">
      <alignment horizontal="left" vertical="center" wrapText="1"/>
    </xf>
    <xf numFmtId="0" fontId="32" fillId="0" borderId="1" xfId="0" applyFont="1" applyBorder="1" applyAlignment="1">
      <alignment horizontal="left" vertical="center" wrapText="1"/>
    </xf>
    <xf numFmtId="0" fontId="23" fillId="0" borderId="6" xfId="0" applyFont="1" applyBorder="1" applyAlignment="1">
      <alignment horizontal="left" vertical="center"/>
    </xf>
    <xf numFmtId="0" fontId="25" fillId="0" borderId="10" xfId="0" applyFont="1" applyBorder="1" applyAlignment="1">
      <alignment horizontal="left" vertical="center"/>
    </xf>
    <xf numFmtId="0" fontId="25" fillId="0" borderId="5" xfId="0" applyFont="1" applyBorder="1" applyAlignment="1">
      <alignment horizontal="left" vertical="center"/>
    </xf>
    <xf numFmtId="0" fontId="25" fillId="0" borderId="6" xfId="0" applyFont="1" applyBorder="1" applyAlignment="1">
      <alignment horizontal="left" vertical="center"/>
    </xf>
    <xf numFmtId="0" fontId="29" fillId="7" borderId="10" xfId="5" applyFont="1" applyFill="1" applyBorder="1" applyAlignment="1">
      <alignment horizontal="center" vertical="top"/>
    </xf>
    <xf numFmtId="0" fontId="29" fillId="7" borderId="5" xfId="5" applyFont="1" applyFill="1" applyBorder="1" applyAlignment="1">
      <alignment horizontal="center" vertical="top"/>
    </xf>
    <xf numFmtId="0" fontId="9" fillId="2" borderId="1" xfId="15" applyFont="1" applyFill="1" applyBorder="1" applyAlignment="1">
      <alignment horizontal="center" vertical="center" wrapText="1"/>
    </xf>
    <xf numFmtId="0" fontId="18" fillId="4" borderId="2" xfId="0" applyFont="1" applyFill="1" applyBorder="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18" fillId="4" borderId="3" xfId="0" applyFont="1" applyFill="1" applyBorder="1" applyAlignment="1">
      <alignment horizontal="center" vertical="center" wrapText="1"/>
    </xf>
    <xf numFmtId="0" fontId="10" fillId="0" borderId="2" xfId="12" applyFont="1" applyFill="1" applyBorder="1" applyAlignment="1">
      <alignment horizontal="center" vertical="center" wrapText="1"/>
    </xf>
    <xf numFmtId="0" fontId="10" fillId="0" borderId="3" xfId="12" applyFont="1" applyFill="1" applyBorder="1" applyAlignment="1">
      <alignment horizontal="center" vertical="center" wrapText="1"/>
    </xf>
    <xf numFmtId="0" fontId="10" fillId="0" borderId="4" xfId="12" applyFont="1" applyFill="1" applyBorder="1" applyAlignment="1">
      <alignment horizontal="center" vertical="center" wrapText="1"/>
    </xf>
    <xf numFmtId="0" fontId="15" fillId="0" borderId="2" xfId="12" applyFont="1" applyFill="1" applyBorder="1" applyAlignment="1">
      <alignment horizontal="center" vertical="center" wrapText="1"/>
    </xf>
    <xf numFmtId="0" fontId="15" fillId="0" borderId="3" xfId="12" applyFont="1" applyFill="1" applyBorder="1" applyAlignment="1">
      <alignment horizontal="center" vertical="center" wrapText="1"/>
    </xf>
    <xf numFmtId="0" fontId="15" fillId="0" borderId="4" xfId="12" applyFont="1" applyFill="1" applyBorder="1" applyAlignment="1">
      <alignment horizontal="center" vertical="center" wrapText="1"/>
    </xf>
    <xf numFmtId="0" fontId="20" fillId="0" borderId="3" xfId="0" applyFont="1" applyFill="1" applyBorder="1" applyAlignment="1">
      <alignment horizontal="center" vertical="center" wrapText="1"/>
    </xf>
    <xf numFmtId="0" fontId="20" fillId="0" borderId="4" xfId="0"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24" fillId="0" borderId="1" xfId="0" applyFont="1" applyFill="1" applyBorder="1" applyAlignment="1">
      <alignment horizontal="left" vertical="center" wrapText="1"/>
    </xf>
    <xf numFmtId="0" fontId="10" fillId="0" borderId="2"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4" xfId="0" applyFont="1" applyFill="1" applyBorder="1" applyAlignment="1">
      <alignment horizontal="center" vertical="center" wrapText="1"/>
    </xf>
    <xf numFmtId="49" fontId="15" fillId="0" borderId="1" xfId="0" applyNumberFormat="1" applyFont="1" applyFill="1" applyBorder="1" applyAlignment="1">
      <alignment horizontal="center" vertical="center" wrapText="1"/>
    </xf>
    <xf numFmtId="0" fontId="9" fillId="0" borderId="1" xfId="15" applyFont="1" applyFill="1" applyBorder="1" applyAlignment="1">
      <alignment horizontal="center" vertical="center" wrapText="1"/>
    </xf>
    <xf numFmtId="0" fontId="22" fillId="0" borderId="1" xfId="15" applyFont="1" applyFill="1" applyBorder="1" applyAlignment="1">
      <alignment horizontal="center" vertical="center" wrapText="1"/>
    </xf>
    <xf numFmtId="0" fontId="22" fillId="0" borderId="2" xfId="15" applyFont="1" applyFill="1" applyBorder="1" applyAlignment="1">
      <alignment horizontal="center" vertical="center" wrapText="1"/>
    </xf>
    <xf numFmtId="0" fontId="22" fillId="0" borderId="3" xfId="15" applyFont="1" applyFill="1" applyBorder="1" applyAlignment="1">
      <alignment horizontal="center" vertical="center" wrapText="1"/>
    </xf>
    <xf numFmtId="0" fontId="22"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10" fillId="0" borderId="1" xfId="12" applyFont="1" applyFill="1" applyBorder="1" applyAlignment="1">
      <alignment horizontal="center" vertical="center" wrapText="1"/>
    </xf>
    <xf numFmtId="0" fontId="7" fillId="0" borderId="5" xfId="15" applyFont="1" applyFill="1" applyBorder="1" applyAlignment="1">
      <alignment horizontal="left" vertical="center" wrapText="1"/>
    </xf>
    <xf numFmtId="0" fontId="4" fillId="0" borderId="5" xfId="15" applyFont="1" applyFill="1" applyBorder="1" applyAlignment="1">
      <alignment horizontal="left" vertical="center" wrapText="1"/>
    </xf>
    <xf numFmtId="0" fontId="4" fillId="0" borderId="6" xfId="15" applyFont="1" applyFill="1" applyBorder="1" applyAlignment="1">
      <alignment horizontal="left" vertical="center" wrapText="1"/>
    </xf>
    <xf numFmtId="0" fontId="13" fillId="2" borderId="2"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26" fillId="0" borderId="2" xfId="15" applyFont="1" applyFill="1" applyBorder="1" applyAlignment="1">
      <alignment horizontal="center" vertical="center"/>
    </xf>
    <xf numFmtId="0" fontId="0" fillId="0" borderId="3" xfId="0" applyBorder="1" applyAlignment="1">
      <alignment vertical="center"/>
    </xf>
    <xf numFmtId="0" fontId="0" fillId="0" borderId="4" xfId="0" applyBorder="1" applyAlignment="1">
      <alignment vertical="center"/>
    </xf>
    <xf numFmtId="0" fontId="6" fillId="0" borderId="2" xfId="15" applyFont="1" applyFill="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2" fillId="0" borderId="4" xfId="15" applyFont="1" applyFill="1" applyBorder="1" applyAlignment="1">
      <alignment horizontal="center" vertical="center" wrapText="1"/>
    </xf>
    <xf numFmtId="0" fontId="6" fillId="0" borderId="7" xfId="15" applyFont="1" applyFill="1" applyBorder="1" applyAlignment="1">
      <alignment horizontal="center" vertical="center" wrapText="1"/>
    </xf>
    <xf numFmtId="0" fontId="6" fillId="0" borderId="8" xfId="15" applyFont="1" applyFill="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6" fillId="0" borderId="3" xfId="15" applyFont="1" applyFill="1" applyBorder="1" applyAlignment="1">
      <alignment horizontal="center" vertical="center" wrapText="1"/>
    </xf>
    <xf numFmtId="0" fontId="6" fillId="0" borderId="4" xfId="15" applyFont="1" applyFill="1" applyBorder="1" applyAlignment="1">
      <alignment horizontal="center" vertical="center" wrapText="1"/>
    </xf>
    <xf numFmtId="0" fontId="9" fillId="0" borderId="2" xfId="7" applyFont="1" applyFill="1" applyBorder="1" applyAlignment="1">
      <alignment horizontal="left" vertical="center" wrapText="1"/>
    </xf>
    <xf numFmtId="0" fontId="9" fillId="0" borderId="3" xfId="7" applyFont="1" applyFill="1" applyBorder="1" applyAlignment="1">
      <alignment horizontal="left" vertical="center" wrapText="1"/>
    </xf>
    <xf numFmtId="0" fontId="9" fillId="0" borderId="4" xfId="7" applyFont="1" applyFill="1" applyBorder="1" applyAlignment="1">
      <alignment horizontal="left" vertical="center" wrapText="1"/>
    </xf>
    <xf numFmtId="0" fontId="9" fillId="0" borderId="2" xfId="18" applyFont="1" applyFill="1" applyBorder="1" applyAlignment="1">
      <alignment horizontal="left" vertical="center" wrapText="1"/>
    </xf>
    <xf numFmtId="0" fontId="9" fillId="0" borderId="3" xfId="18" applyFont="1" applyFill="1" applyBorder="1" applyAlignment="1">
      <alignment horizontal="left" vertical="center" wrapText="1"/>
    </xf>
    <xf numFmtId="0" fontId="7" fillId="0" borderId="3" xfId="0" applyFont="1" applyFill="1" applyBorder="1" applyAlignment="1">
      <alignment horizontal="left" vertical="center" wrapText="1"/>
    </xf>
    <xf numFmtId="0" fontId="0" fillId="0" borderId="1" xfId="0" applyBorder="1" applyAlignment="1">
      <alignment horizontal="center" vertical="center"/>
    </xf>
    <xf numFmtId="0" fontId="23" fillId="0" borderId="2" xfId="0" applyFont="1"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9" fillId="0" borderId="2" xfId="0" applyFont="1" applyFill="1" applyBorder="1" applyAlignment="1">
      <alignment horizontal="left" vertical="center" wrapText="1"/>
    </xf>
    <xf numFmtId="0" fontId="0" fillId="0" borderId="3" xfId="0" applyBorder="1">
      <alignment vertical="center"/>
    </xf>
    <xf numFmtId="0" fontId="0" fillId="0" borderId="4" xfId="0" applyBorder="1">
      <alignment vertical="center"/>
    </xf>
    <xf numFmtId="0" fontId="5" fillId="0" borderId="3" xfId="0" applyFont="1" applyFill="1" applyBorder="1" applyAlignment="1">
      <alignment horizontal="left" vertical="center" wrapText="1"/>
    </xf>
    <xf numFmtId="0" fontId="5" fillId="0" borderId="4" xfId="0" applyFont="1" applyFill="1" applyBorder="1" applyAlignment="1">
      <alignment horizontal="left" vertical="center" wrapText="1"/>
    </xf>
    <xf numFmtId="0" fontId="7" fillId="0" borderId="2" xfId="0" applyFont="1" applyFill="1" applyBorder="1" applyAlignment="1">
      <alignment horizontal="left" vertical="center" wrapText="1"/>
    </xf>
    <xf numFmtId="0" fontId="7" fillId="0" borderId="4" xfId="0" applyFont="1" applyFill="1" applyBorder="1" applyAlignment="1">
      <alignment horizontal="left" vertical="center" wrapText="1"/>
    </xf>
    <xf numFmtId="49" fontId="7" fillId="0" borderId="2" xfId="0" applyNumberFormat="1" applyFont="1" applyFill="1" applyBorder="1" applyAlignment="1">
      <alignment horizontal="left" vertical="center" wrapText="1"/>
    </xf>
    <xf numFmtId="49" fontId="7" fillId="0" borderId="3" xfId="0" applyNumberFormat="1" applyFont="1" applyFill="1" applyBorder="1" applyAlignment="1">
      <alignment horizontal="left" vertical="center" wrapText="1"/>
    </xf>
    <xf numFmtId="49" fontId="7" fillId="0" borderId="4" xfId="0" applyNumberFormat="1" applyFont="1" applyFill="1" applyBorder="1" applyAlignment="1">
      <alignment horizontal="left" vertical="center" wrapText="1"/>
    </xf>
    <xf numFmtId="0" fontId="7" fillId="0" borderId="7" xfId="0" applyFont="1" applyFill="1" applyBorder="1" applyAlignment="1">
      <alignment horizontal="left" vertical="center" wrapText="1"/>
    </xf>
    <xf numFmtId="0" fontId="7" fillId="0" borderId="8" xfId="0" applyFont="1" applyFill="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7" fillId="0" borderId="3" xfId="0" applyFont="1" applyFill="1" applyBorder="1" applyAlignment="1">
      <alignment horizontal="left" vertical="center"/>
    </xf>
    <xf numFmtId="0" fontId="7" fillId="0" borderId="4" xfId="0" applyFont="1" applyFill="1" applyBorder="1" applyAlignment="1">
      <alignment horizontal="left" vertical="center"/>
    </xf>
    <xf numFmtId="0" fontId="6" fillId="0" borderId="1" xfId="15" applyFont="1" applyFill="1" applyBorder="1" applyAlignment="1">
      <alignment horizontal="center" vertical="center" wrapText="1"/>
    </xf>
    <xf numFmtId="0" fontId="11" fillId="0" borderId="1" xfId="15" applyBorder="1" applyAlignment="1">
      <alignment vertical="center" wrapText="1"/>
    </xf>
    <xf numFmtId="0" fontId="24" fillId="0" borderId="2" xfId="15" applyFont="1" applyFill="1" applyBorder="1" applyAlignment="1">
      <alignment horizontal="center" vertical="center" wrapText="1"/>
    </xf>
    <xf numFmtId="0" fontId="24" fillId="0" borderId="3" xfId="15" applyFont="1" applyFill="1" applyBorder="1" applyAlignment="1">
      <alignment horizontal="center" vertical="center" wrapText="1"/>
    </xf>
    <xf numFmtId="0" fontId="24" fillId="0" borderId="4" xfId="15" applyFont="1" applyFill="1" applyBorder="1" applyAlignment="1">
      <alignment horizontal="center" vertical="center" wrapText="1"/>
    </xf>
    <xf numFmtId="0" fontId="10" fillId="0" borderId="2" xfId="15" applyFont="1" applyFill="1" applyBorder="1" applyAlignment="1">
      <alignment horizontal="center" vertical="center" wrapText="1"/>
    </xf>
    <xf numFmtId="0" fontId="10" fillId="0" borderId="3" xfId="15" applyFont="1" applyFill="1" applyBorder="1" applyAlignment="1">
      <alignment horizontal="center" vertical="center" wrapText="1"/>
    </xf>
    <xf numFmtId="0" fontId="10" fillId="0" borderId="7" xfId="15" applyFont="1" applyFill="1" applyBorder="1" applyAlignment="1">
      <alignment horizontal="center" vertical="center" wrapText="1"/>
    </xf>
    <xf numFmtId="0" fontId="10" fillId="0" borderId="8" xfId="15" applyFont="1" applyFill="1" applyBorder="1" applyAlignment="1">
      <alignment horizontal="center" vertical="center" wrapText="1"/>
    </xf>
    <xf numFmtId="0" fontId="0" fillId="0" borderId="8" xfId="0" applyBorder="1" applyAlignment="1">
      <alignment vertical="center"/>
    </xf>
    <xf numFmtId="0" fontId="9"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7" fillId="0" borderId="2" xfId="15" applyFont="1" applyFill="1" applyBorder="1" applyAlignment="1">
      <alignment horizontal="center" vertical="center" wrapText="1"/>
    </xf>
    <xf numFmtId="0" fontId="7" fillId="0" borderId="3" xfId="15" applyFont="1" applyFill="1" applyBorder="1" applyAlignment="1">
      <alignment horizontal="center" vertical="center" wrapText="1"/>
    </xf>
    <xf numFmtId="0" fontId="9" fillId="0" borderId="2" xfId="15" applyFont="1" applyFill="1" applyBorder="1" applyAlignment="1">
      <alignment horizontal="center" vertical="center" wrapText="1"/>
    </xf>
    <xf numFmtId="0" fontId="15" fillId="0" borderId="1" xfId="0" applyFont="1" applyFill="1" applyBorder="1" applyAlignment="1">
      <alignment horizontal="center" vertical="center" wrapText="1"/>
    </xf>
    <xf numFmtId="0" fontId="11" fillId="0" borderId="2" xfId="0" applyFont="1" applyBorder="1" applyAlignment="1">
      <alignment horizontal="center" vertical="center"/>
    </xf>
    <xf numFmtId="0" fontId="9" fillId="0" borderId="3" xfId="15" applyFont="1" applyFill="1" applyBorder="1" applyAlignment="1">
      <alignment horizontal="center" vertical="center" wrapText="1"/>
    </xf>
    <xf numFmtId="0" fontId="9" fillId="0" borderId="4" xfId="15" applyFont="1" applyFill="1" applyBorder="1" applyAlignment="1">
      <alignment horizontal="center" vertical="center" wrapText="1"/>
    </xf>
    <xf numFmtId="0" fontId="9" fillId="0" borderId="7" xfId="15" applyFont="1" applyFill="1" applyBorder="1" applyAlignment="1">
      <alignment horizontal="center" vertical="center" wrapText="1"/>
    </xf>
    <xf numFmtId="0" fontId="9" fillId="0" borderId="8" xfId="15" applyFont="1" applyFill="1" applyBorder="1" applyAlignment="1">
      <alignment horizontal="center" vertical="center" wrapText="1"/>
    </xf>
    <xf numFmtId="0" fontId="9" fillId="0" borderId="9" xfId="15" applyFont="1" applyFill="1" applyBorder="1" applyAlignment="1">
      <alignment horizontal="center" vertical="center" wrapText="1"/>
    </xf>
    <xf numFmtId="0" fontId="58" fillId="0" borderId="2" xfId="0" applyFont="1" applyFill="1" applyBorder="1" applyAlignment="1">
      <alignment vertical="center" wrapText="1"/>
    </xf>
    <xf numFmtId="0" fontId="58" fillId="0" borderId="3" xfId="0" applyFont="1" applyBorder="1" applyAlignment="1">
      <alignment vertical="center" wrapText="1"/>
    </xf>
    <xf numFmtId="0" fontId="62" fillId="0" borderId="4" xfId="0" applyFont="1" applyBorder="1" applyAlignment="1">
      <alignment vertical="center" wrapText="1"/>
    </xf>
    <xf numFmtId="0" fontId="29" fillId="9" borderId="1" xfId="5" applyFont="1" applyFill="1" applyBorder="1" applyAlignment="1">
      <alignment horizontal="center" vertical="top"/>
    </xf>
  </cellXfs>
  <cellStyles count="27">
    <cellStyle name="0,0_x000d__x000a_NA_x000d__x000a_" xfId="5"/>
    <cellStyle name="0,0_x000d__x000a_NA_x000d__x000a_ 2" xfId="14"/>
    <cellStyle name="Normal 2" xfId="10"/>
    <cellStyle name="常规" xfId="0" builtinId="0"/>
    <cellStyle name="常规 2" xfId="15"/>
    <cellStyle name="常规 2 2" xfId="12"/>
    <cellStyle name="常规 2 2 2" xfId="7"/>
    <cellStyle name="常规 2 2 2 2" xfId="1"/>
    <cellStyle name="常规 2 2 2 2 9 2" xfId="6"/>
    <cellStyle name="常规 2 2 3" xfId="8"/>
    <cellStyle name="常规 2 3" xfId="13"/>
    <cellStyle name="常规 3" xfId="16"/>
    <cellStyle name="常规 3 2" xfId="9"/>
    <cellStyle name="常规 3 2 2" xfId="4"/>
    <cellStyle name="常规 3 3" xfId="11"/>
    <cellStyle name="常规 4" xfId="17"/>
    <cellStyle name="常规 4 2" xfId="18"/>
    <cellStyle name="常规 4 3" xfId="19"/>
    <cellStyle name="常规 5" xfId="20"/>
    <cellStyle name="常规 5 2" xfId="3"/>
    <cellStyle name="常规 6" xfId="2"/>
    <cellStyle name="常规_NRM-Mgw(v3.0.0)_20081219r1-中兴答复r1" xfId="21"/>
    <cellStyle name="货币 2" xfId="22"/>
    <cellStyle name="货币 2 2" xfId="23"/>
    <cellStyle name="货币 2 2 2" xfId="24"/>
    <cellStyle name="样式 1" xfId="25"/>
    <cellStyle name="样式 1 2" xfId="26"/>
  </cellStyles>
  <dxfs count="2">
    <dxf>
      <font>
        <b/>
        <i val="0"/>
      </font>
      <fill>
        <patternFill patternType="solid">
          <bgColor rgb="FFD7D7D7"/>
        </patternFill>
      </fill>
    </dxf>
    <dxf>
      <font>
        <b val="0"/>
        <i val="0"/>
      </font>
      <fill>
        <patternFill patternType="none"/>
      </fill>
    </dxf>
  </dxfs>
  <tableStyles count="1" defaultTableStyle="TableStyleMedium9" defaultPivotStyle="PivotStyleLight16">
    <tableStyle name="MySqlDefault" pivot="0" table="0" count="2">
      <tableStyleElement type="wholeTable" dxfId="1"/>
      <tableStyleElement type="headerRow" dxfId="0"/>
    </tableStyle>
  </tableStyles>
  <colors>
    <mruColors>
      <color rgb="FF00FF00"/>
      <color rgb="FFFF99FF"/>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filterMode="1"/>
  <dimension ref="A1:M72"/>
  <sheetViews>
    <sheetView workbookViewId="0">
      <selection activeCell="E5" sqref="E5"/>
    </sheetView>
  </sheetViews>
  <sheetFormatPr defaultColWidth="9" defaultRowHeight="21"/>
  <cols>
    <col min="1" max="1" width="9" style="179"/>
    <col min="2" max="2" width="15.26953125" style="180" customWidth="1"/>
    <col min="3" max="3" width="19.90625" style="181" customWidth="1"/>
    <col min="4" max="4" width="15.90625" style="180" customWidth="1"/>
    <col min="5" max="5" width="12.6328125" style="180" customWidth="1"/>
    <col min="6" max="6" width="9" style="182"/>
    <col min="7" max="7" width="13" style="179" customWidth="1"/>
    <col min="8" max="11" width="9" style="179"/>
    <col min="12" max="12" width="27.26953125" style="180" customWidth="1"/>
    <col min="13" max="16384" width="9" style="179"/>
  </cols>
  <sheetData>
    <row r="1" spans="1:13" ht="65.150000000000006" customHeight="1">
      <c r="A1" s="183" t="s">
        <v>0</v>
      </c>
      <c r="B1" s="183" t="s">
        <v>1</v>
      </c>
      <c r="C1" s="183" t="s">
        <v>2</v>
      </c>
      <c r="D1" s="183" t="s">
        <v>3</v>
      </c>
      <c r="E1" s="183" t="s">
        <v>4</v>
      </c>
      <c r="F1" s="184" t="s">
        <v>5</v>
      </c>
      <c r="G1" s="183" t="s">
        <v>6</v>
      </c>
      <c r="H1" s="183" t="s">
        <v>7</v>
      </c>
      <c r="I1" s="183" t="s">
        <v>8</v>
      </c>
      <c r="J1" s="183" t="s">
        <v>9</v>
      </c>
      <c r="K1" s="183" t="s">
        <v>10</v>
      </c>
      <c r="L1" s="183" t="s">
        <v>11</v>
      </c>
      <c r="M1" s="183" t="s">
        <v>12</v>
      </c>
    </row>
    <row r="2" spans="1:13" ht="65.150000000000006" customHeight="1">
      <c r="A2" s="183" t="s">
        <v>13</v>
      </c>
      <c r="B2" s="183" t="s">
        <v>14</v>
      </c>
      <c r="C2" s="183"/>
      <c r="D2" s="183"/>
      <c r="E2" s="183" t="s">
        <v>15</v>
      </c>
      <c r="F2" s="184"/>
      <c r="G2" s="183"/>
      <c r="H2" s="183" t="s">
        <v>16</v>
      </c>
      <c r="I2" s="183" t="s">
        <v>17</v>
      </c>
      <c r="J2" s="183" t="s">
        <v>18</v>
      </c>
      <c r="K2" s="183" t="s">
        <v>18</v>
      </c>
      <c r="L2" s="183" t="s">
        <v>19</v>
      </c>
      <c r="M2" s="183"/>
    </row>
    <row r="3" spans="1:13" ht="65.150000000000006" customHeight="1">
      <c r="A3" s="185"/>
      <c r="B3" s="186" t="s">
        <v>20</v>
      </c>
      <c r="C3" s="187" t="s">
        <v>21</v>
      </c>
      <c r="D3" s="187" t="s">
        <v>22</v>
      </c>
      <c r="E3" s="186"/>
      <c r="F3" s="188"/>
      <c r="G3" s="187" t="s">
        <v>23</v>
      </c>
      <c r="H3" s="189"/>
      <c r="I3" s="189" t="s">
        <v>24</v>
      </c>
      <c r="J3" s="189"/>
      <c r="K3" s="189"/>
      <c r="L3" s="196" t="s">
        <v>25</v>
      </c>
      <c r="M3" s="189"/>
    </row>
    <row r="4" spans="1:13" ht="65.150000000000006" customHeight="1">
      <c r="A4" s="189"/>
      <c r="B4" s="186" t="s">
        <v>20</v>
      </c>
      <c r="C4" s="187" t="s">
        <v>26</v>
      </c>
      <c r="D4" s="187" t="s">
        <v>27</v>
      </c>
      <c r="E4" s="186"/>
      <c r="F4" s="188"/>
      <c r="G4" s="187" t="s">
        <v>28</v>
      </c>
      <c r="H4" s="189"/>
      <c r="I4" s="189" t="s">
        <v>24</v>
      </c>
      <c r="J4" s="189"/>
      <c r="K4" s="189"/>
      <c r="L4" s="197" t="s">
        <v>29</v>
      </c>
      <c r="M4" s="189"/>
    </row>
    <row r="5" spans="1:13" ht="65.150000000000006" hidden="1" customHeight="1">
      <c r="A5" s="185" t="s">
        <v>30</v>
      </c>
      <c r="B5" s="186" t="s">
        <v>20</v>
      </c>
      <c r="C5" s="187" t="s">
        <v>31</v>
      </c>
      <c r="D5" s="187" t="s">
        <v>32</v>
      </c>
      <c r="E5" s="186"/>
      <c r="F5" s="188"/>
      <c r="G5" s="187" t="s">
        <v>33</v>
      </c>
      <c r="H5" s="189"/>
      <c r="I5" s="189"/>
      <c r="J5" s="189"/>
      <c r="K5" s="189"/>
      <c r="L5" s="197" t="s">
        <v>34</v>
      </c>
      <c r="M5" s="189"/>
    </row>
    <row r="6" spans="1:13" ht="65.150000000000006" hidden="1" customHeight="1">
      <c r="A6" s="185" t="s">
        <v>30</v>
      </c>
      <c r="B6" s="186" t="s">
        <v>20</v>
      </c>
      <c r="C6" s="187" t="s">
        <v>35</v>
      </c>
      <c r="D6" s="187" t="s">
        <v>36</v>
      </c>
      <c r="E6" s="186"/>
      <c r="F6" s="188"/>
      <c r="G6" s="187" t="s">
        <v>28</v>
      </c>
      <c r="H6" s="189"/>
      <c r="I6" s="189"/>
      <c r="J6" s="189"/>
      <c r="K6" s="189"/>
      <c r="L6" s="197" t="s">
        <v>37</v>
      </c>
      <c r="M6" s="189"/>
    </row>
    <row r="7" spans="1:13" ht="65.150000000000006" customHeight="1">
      <c r="A7" s="189"/>
      <c r="B7" s="186" t="s">
        <v>20</v>
      </c>
      <c r="C7" s="187" t="s">
        <v>38</v>
      </c>
      <c r="D7" s="187" t="s">
        <v>39</v>
      </c>
      <c r="E7" s="186"/>
      <c r="F7" s="188"/>
      <c r="G7" s="187" t="s">
        <v>23</v>
      </c>
      <c r="H7" s="189"/>
      <c r="I7" s="189" t="s">
        <v>24</v>
      </c>
      <c r="J7" s="189"/>
      <c r="K7" s="189"/>
      <c r="L7" s="197" t="s">
        <v>40</v>
      </c>
      <c r="M7" s="189"/>
    </row>
    <row r="8" spans="1:13" ht="65.150000000000006" customHeight="1">
      <c r="A8" s="189"/>
      <c r="B8" s="186" t="s">
        <v>20</v>
      </c>
      <c r="C8" s="187" t="s">
        <v>41</v>
      </c>
      <c r="D8" s="187" t="s">
        <v>39</v>
      </c>
      <c r="E8" s="186"/>
      <c r="F8" s="188"/>
      <c r="G8" s="187" t="s">
        <v>23</v>
      </c>
      <c r="H8" s="189"/>
      <c r="I8" s="189" t="s">
        <v>24</v>
      </c>
      <c r="J8" s="189"/>
      <c r="K8" s="189"/>
      <c r="L8" s="197" t="s">
        <v>42</v>
      </c>
      <c r="M8" s="189"/>
    </row>
    <row r="9" spans="1:13" ht="65.150000000000006" hidden="1" customHeight="1">
      <c r="A9" s="185" t="s">
        <v>30</v>
      </c>
      <c r="B9" s="186" t="s">
        <v>20</v>
      </c>
      <c r="C9" s="187" t="s">
        <v>43</v>
      </c>
      <c r="D9" s="187" t="s">
        <v>39</v>
      </c>
      <c r="E9" s="186"/>
      <c r="F9" s="188"/>
      <c r="G9" s="187" t="s">
        <v>33</v>
      </c>
      <c r="H9" s="189"/>
      <c r="I9" s="189"/>
      <c r="J9" s="189"/>
      <c r="K9" s="189"/>
      <c r="L9" s="197" t="s">
        <v>44</v>
      </c>
      <c r="M9" s="189"/>
    </row>
    <row r="10" spans="1:13" ht="65.150000000000006" customHeight="1">
      <c r="A10" s="189"/>
      <c r="B10" s="186" t="s">
        <v>20</v>
      </c>
      <c r="C10" s="187" t="s">
        <v>45</v>
      </c>
      <c r="D10" s="187" t="s">
        <v>46</v>
      </c>
      <c r="E10" s="186"/>
      <c r="F10" s="188"/>
      <c r="G10" s="187" t="s">
        <v>23</v>
      </c>
      <c r="H10" s="189"/>
      <c r="I10" s="189" t="s">
        <v>24</v>
      </c>
      <c r="J10" s="189"/>
      <c r="K10" s="189"/>
      <c r="L10" s="198" t="s">
        <v>47</v>
      </c>
      <c r="M10" s="189"/>
    </row>
    <row r="11" spans="1:13" ht="65.150000000000006" customHeight="1">
      <c r="A11" s="189"/>
      <c r="B11" s="186" t="s">
        <v>20</v>
      </c>
      <c r="C11" s="187" t="s">
        <v>48</v>
      </c>
      <c r="D11" s="187" t="s">
        <v>49</v>
      </c>
      <c r="E11" s="186"/>
      <c r="F11" s="188"/>
      <c r="G11" s="187" t="s">
        <v>23</v>
      </c>
      <c r="H11" s="189"/>
      <c r="I11" s="189" t="s">
        <v>24</v>
      </c>
      <c r="J11" s="189"/>
      <c r="K11" s="189"/>
      <c r="L11" s="198" t="s">
        <v>50</v>
      </c>
      <c r="M11" s="189"/>
    </row>
    <row r="12" spans="1:13" ht="65.150000000000006" hidden="1" customHeight="1">
      <c r="A12" s="185" t="s">
        <v>30</v>
      </c>
      <c r="B12" s="186" t="s">
        <v>20</v>
      </c>
      <c r="C12" s="187" t="s">
        <v>51</v>
      </c>
      <c r="D12" s="187" t="s">
        <v>52</v>
      </c>
      <c r="E12" s="186"/>
      <c r="F12" s="188"/>
      <c r="G12" s="187" t="s">
        <v>33</v>
      </c>
      <c r="H12" s="189"/>
      <c r="I12" s="189"/>
      <c r="J12" s="189"/>
      <c r="K12" s="189"/>
      <c r="L12" s="198" t="s">
        <v>53</v>
      </c>
      <c r="M12" s="189"/>
    </row>
    <row r="13" spans="1:13" ht="65.150000000000006" customHeight="1">
      <c r="A13" s="189"/>
      <c r="B13" s="186" t="s">
        <v>20</v>
      </c>
      <c r="C13" s="187" t="s">
        <v>54</v>
      </c>
      <c r="D13" s="187" t="s">
        <v>55</v>
      </c>
      <c r="E13" s="186"/>
      <c r="F13" s="188"/>
      <c r="G13" s="187" t="s">
        <v>56</v>
      </c>
      <c r="H13" s="189"/>
      <c r="I13" s="189" t="s">
        <v>57</v>
      </c>
      <c r="J13" s="189"/>
      <c r="K13" s="189"/>
      <c r="L13" s="198" t="s">
        <v>55</v>
      </c>
      <c r="M13" s="189"/>
    </row>
    <row r="14" spans="1:13" ht="65.150000000000006" customHeight="1">
      <c r="A14" s="189"/>
      <c r="B14" s="186" t="s">
        <v>20</v>
      </c>
      <c r="C14" s="187" t="s">
        <v>58</v>
      </c>
      <c r="D14" s="187" t="s">
        <v>59</v>
      </c>
      <c r="E14" s="186"/>
      <c r="F14" s="188"/>
      <c r="G14" s="187" t="s">
        <v>60</v>
      </c>
      <c r="H14" s="189"/>
      <c r="I14" s="189" t="s">
        <v>57</v>
      </c>
      <c r="J14" s="189"/>
      <c r="K14" s="189"/>
      <c r="L14" s="198" t="s">
        <v>61</v>
      </c>
      <c r="M14" s="189"/>
    </row>
    <row r="15" spans="1:13" ht="65.150000000000006" customHeight="1">
      <c r="A15" s="189"/>
      <c r="B15" s="186" t="s">
        <v>20</v>
      </c>
      <c r="C15" s="187" t="s">
        <v>62</v>
      </c>
      <c r="D15" s="187" t="s">
        <v>63</v>
      </c>
      <c r="E15" s="186" t="s">
        <v>64</v>
      </c>
      <c r="F15" s="188" t="s">
        <v>65</v>
      </c>
      <c r="G15" s="187" t="s">
        <v>28</v>
      </c>
      <c r="H15" s="189"/>
      <c r="I15" s="189" t="s">
        <v>24</v>
      </c>
      <c r="J15" s="189"/>
      <c r="K15" s="189"/>
      <c r="L15" s="197" t="s">
        <v>66</v>
      </c>
      <c r="M15" s="189"/>
    </row>
    <row r="16" spans="1:13" ht="65.150000000000006" customHeight="1">
      <c r="A16" s="189"/>
      <c r="B16" s="186" t="s">
        <v>20</v>
      </c>
      <c r="C16" s="187" t="s">
        <v>67</v>
      </c>
      <c r="D16" s="187" t="s">
        <v>68</v>
      </c>
      <c r="E16" s="186" t="s">
        <v>69</v>
      </c>
      <c r="F16" s="188" t="s">
        <v>70</v>
      </c>
      <c r="G16" s="187" t="s">
        <v>71</v>
      </c>
      <c r="H16" s="189"/>
      <c r="I16" s="189" t="s">
        <v>24</v>
      </c>
      <c r="J16" s="189"/>
      <c r="K16" s="189"/>
      <c r="L16" s="186" t="s">
        <v>72</v>
      </c>
      <c r="M16" s="189"/>
    </row>
    <row r="17" spans="1:13" ht="65.150000000000006" customHeight="1">
      <c r="A17" s="189"/>
      <c r="B17" s="186" t="s">
        <v>20</v>
      </c>
      <c r="C17" s="187" t="s">
        <v>73</v>
      </c>
      <c r="D17" s="187" t="s">
        <v>74</v>
      </c>
      <c r="E17" s="186" t="s">
        <v>75</v>
      </c>
      <c r="F17" s="188" t="s">
        <v>76</v>
      </c>
      <c r="G17" s="187" t="s">
        <v>28</v>
      </c>
      <c r="H17" s="189"/>
      <c r="I17" s="189" t="s">
        <v>24</v>
      </c>
      <c r="J17" s="189"/>
      <c r="K17" s="189"/>
      <c r="L17" s="193" t="s">
        <v>77</v>
      </c>
      <c r="M17" s="189"/>
    </row>
    <row r="18" spans="1:13" ht="65.150000000000006" customHeight="1">
      <c r="A18" s="189"/>
      <c r="B18" s="186" t="s">
        <v>20</v>
      </c>
      <c r="C18" s="187" t="s">
        <v>78</v>
      </c>
      <c r="D18" s="187" t="s">
        <v>79</v>
      </c>
      <c r="E18" s="186" t="s">
        <v>80</v>
      </c>
      <c r="F18" s="188" t="s">
        <v>81</v>
      </c>
      <c r="G18" s="187" t="s">
        <v>28</v>
      </c>
      <c r="H18" s="189"/>
      <c r="I18" s="189" t="s">
        <v>24</v>
      </c>
      <c r="J18" s="189"/>
      <c r="K18" s="189"/>
      <c r="L18" s="186" t="s">
        <v>82</v>
      </c>
      <c r="M18" s="189"/>
    </row>
    <row r="19" spans="1:13" ht="65.150000000000006" customHeight="1">
      <c r="A19" s="189"/>
      <c r="B19" s="186" t="s">
        <v>20</v>
      </c>
      <c r="C19" s="187" t="s">
        <v>83</v>
      </c>
      <c r="D19" s="187" t="s">
        <v>84</v>
      </c>
      <c r="E19" s="186"/>
      <c r="F19" s="188"/>
      <c r="G19" s="187" t="s">
        <v>28</v>
      </c>
      <c r="H19" s="189"/>
      <c r="I19" s="189" t="s">
        <v>24</v>
      </c>
      <c r="J19" s="189"/>
      <c r="K19" s="189"/>
      <c r="L19" s="193" t="s">
        <v>85</v>
      </c>
      <c r="M19" s="189"/>
    </row>
    <row r="20" spans="1:13" ht="65.150000000000006" hidden="1" customHeight="1">
      <c r="A20" s="185" t="s">
        <v>30</v>
      </c>
      <c r="B20" s="186" t="s">
        <v>20</v>
      </c>
      <c r="C20" s="187" t="s">
        <v>86</v>
      </c>
      <c r="D20" s="187" t="s">
        <v>87</v>
      </c>
      <c r="E20" s="186"/>
      <c r="F20" s="188"/>
      <c r="G20" s="187" t="s">
        <v>33</v>
      </c>
      <c r="H20" s="189"/>
      <c r="I20" s="189"/>
      <c r="J20" s="189"/>
      <c r="K20" s="189"/>
      <c r="L20" s="199" t="s">
        <v>88</v>
      </c>
      <c r="M20" s="189"/>
    </row>
    <row r="21" spans="1:13" ht="65.150000000000006" hidden="1" customHeight="1">
      <c r="A21" s="185" t="s">
        <v>30</v>
      </c>
      <c r="B21" s="186" t="s">
        <v>20</v>
      </c>
      <c r="C21" s="187" t="s">
        <v>89</v>
      </c>
      <c r="D21" s="187" t="s">
        <v>90</v>
      </c>
      <c r="E21" s="186"/>
      <c r="F21" s="188"/>
      <c r="G21" s="187" t="s">
        <v>28</v>
      </c>
      <c r="H21" s="189"/>
      <c r="I21" s="189"/>
      <c r="J21" s="189"/>
      <c r="K21" s="189"/>
      <c r="L21" s="199" t="s">
        <v>91</v>
      </c>
      <c r="M21" s="189"/>
    </row>
    <row r="22" spans="1:13" ht="65.150000000000006" customHeight="1">
      <c r="A22" s="189"/>
      <c r="B22" s="186" t="s">
        <v>20</v>
      </c>
      <c r="C22" s="187" t="s">
        <v>92</v>
      </c>
      <c r="D22" s="187" t="s">
        <v>93</v>
      </c>
      <c r="E22" s="186"/>
      <c r="F22" s="188"/>
      <c r="G22" s="187" t="s">
        <v>33</v>
      </c>
      <c r="H22" s="189"/>
      <c r="I22" s="189" t="s">
        <v>57</v>
      </c>
      <c r="J22" s="189"/>
      <c r="K22" s="189"/>
      <c r="L22" s="200" t="s">
        <v>94</v>
      </c>
      <c r="M22" s="189"/>
    </row>
    <row r="23" spans="1:13" ht="65.150000000000006" customHeight="1">
      <c r="A23" s="189"/>
      <c r="B23" s="186" t="s">
        <v>20</v>
      </c>
      <c r="C23" s="187" t="s">
        <v>95</v>
      </c>
      <c r="D23" s="190" t="s">
        <v>96</v>
      </c>
      <c r="E23" s="186"/>
      <c r="F23" s="188"/>
      <c r="G23" s="187" t="s">
        <v>28</v>
      </c>
      <c r="H23" s="189"/>
      <c r="I23" s="189" t="s">
        <v>24</v>
      </c>
      <c r="J23" s="189"/>
      <c r="K23" s="189"/>
      <c r="L23" s="186" t="s">
        <v>97</v>
      </c>
      <c r="M23" s="189"/>
    </row>
    <row r="24" spans="1:13" ht="65.150000000000006" customHeight="1">
      <c r="A24" s="189"/>
      <c r="B24" s="186" t="s">
        <v>20</v>
      </c>
      <c r="C24" s="191" t="s">
        <v>98</v>
      </c>
      <c r="D24" s="187" t="s">
        <v>99</v>
      </c>
      <c r="E24" s="186" t="s">
        <v>100</v>
      </c>
      <c r="F24" s="188"/>
      <c r="G24" s="187" t="s">
        <v>101</v>
      </c>
      <c r="H24" s="189"/>
      <c r="I24" s="189" t="s">
        <v>24</v>
      </c>
      <c r="J24" s="189"/>
      <c r="K24" s="189"/>
      <c r="L24" s="197" t="s">
        <v>102</v>
      </c>
      <c r="M24" s="189"/>
    </row>
    <row r="25" spans="1:13" ht="65.150000000000006" customHeight="1">
      <c r="A25" s="189"/>
      <c r="B25" s="186" t="s">
        <v>103</v>
      </c>
      <c r="C25" s="187" t="s">
        <v>104</v>
      </c>
      <c r="D25" s="187" t="s">
        <v>105</v>
      </c>
      <c r="E25" s="186" t="s">
        <v>106</v>
      </c>
      <c r="F25" s="188"/>
      <c r="G25" s="192" t="s">
        <v>28</v>
      </c>
      <c r="H25" s="189"/>
      <c r="I25" s="189" t="s">
        <v>24</v>
      </c>
      <c r="J25" s="189"/>
      <c r="K25" s="189"/>
      <c r="L25" s="186" t="s">
        <v>107</v>
      </c>
      <c r="M25" s="189"/>
    </row>
    <row r="26" spans="1:13" ht="90.75" customHeight="1">
      <c r="A26" s="189"/>
      <c r="B26" s="186" t="s">
        <v>103</v>
      </c>
      <c r="C26" s="187" t="s">
        <v>108</v>
      </c>
      <c r="D26" s="187" t="s">
        <v>109</v>
      </c>
      <c r="E26" s="186" t="s">
        <v>69</v>
      </c>
      <c r="F26" s="188" t="s">
        <v>70</v>
      </c>
      <c r="G26" s="187" t="s">
        <v>71</v>
      </c>
      <c r="H26" s="189"/>
      <c r="I26" s="189" t="s">
        <v>24</v>
      </c>
      <c r="J26" s="189"/>
      <c r="K26" s="189"/>
      <c r="L26" s="186" t="s">
        <v>110</v>
      </c>
      <c r="M26" s="189"/>
    </row>
    <row r="27" spans="1:13" ht="95.25" customHeight="1">
      <c r="A27" s="189"/>
      <c r="B27" s="186" t="s">
        <v>103</v>
      </c>
      <c r="C27" s="187" t="s">
        <v>111</v>
      </c>
      <c r="D27" s="187" t="s">
        <v>112</v>
      </c>
      <c r="E27" s="186" t="s">
        <v>69</v>
      </c>
      <c r="F27" s="188" t="s">
        <v>70</v>
      </c>
      <c r="G27" s="187" t="s">
        <v>71</v>
      </c>
      <c r="H27" s="189"/>
      <c r="I27" s="189" t="s">
        <v>24</v>
      </c>
      <c r="J27" s="189"/>
      <c r="K27" s="189"/>
      <c r="L27" s="186" t="s">
        <v>113</v>
      </c>
      <c r="M27" s="189"/>
    </row>
    <row r="28" spans="1:13" ht="86.25" customHeight="1">
      <c r="A28" s="189"/>
      <c r="B28" s="186" t="s">
        <v>103</v>
      </c>
      <c r="C28" s="187" t="s">
        <v>114</v>
      </c>
      <c r="D28" s="187" t="s">
        <v>115</v>
      </c>
      <c r="E28" s="186" t="s">
        <v>69</v>
      </c>
      <c r="F28" s="188" t="s">
        <v>70</v>
      </c>
      <c r="G28" s="187" t="s">
        <v>71</v>
      </c>
      <c r="H28" s="189"/>
      <c r="I28" s="189" t="s">
        <v>24</v>
      </c>
      <c r="J28" s="189"/>
      <c r="K28" s="189"/>
      <c r="L28" s="186" t="s">
        <v>116</v>
      </c>
      <c r="M28" s="189"/>
    </row>
    <row r="29" spans="1:13" ht="90.75" customHeight="1">
      <c r="A29" s="189"/>
      <c r="B29" s="186" t="s">
        <v>103</v>
      </c>
      <c r="C29" s="187" t="s">
        <v>117</v>
      </c>
      <c r="D29" s="187" t="s">
        <v>118</v>
      </c>
      <c r="E29" s="186" t="s">
        <v>69</v>
      </c>
      <c r="F29" s="188" t="s">
        <v>70</v>
      </c>
      <c r="G29" s="187" t="s">
        <v>71</v>
      </c>
      <c r="H29" s="189"/>
      <c r="I29" s="189" t="s">
        <v>24</v>
      </c>
      <c r="J29" s="189"/>
      <c r="K29" s="189"/>
      <c r="L29" s="186" t="s">
        <v>119</v>
      </c>
      <c r="M29" s="189"/>
    </row>
    <row r="30" spans="1:13" ht="93.75" customHeight="1">
      <c r="A30" s="189"/>
      <c r="B30" s="186" t="s">
        <v>103</v>
      </c>
      <c r="C30" s="187" t="s">
        <v>120</v>
      </c>
      <c r="D30" s="187" t="s">
        <v>121</v>
      </c>
      <c r="E30" s="186" t="s">
        <v>69</v>
      </c>
      <c r="F30" s="188" t="s">
        <v>122</v>
      </c>
      <c r="G30" s="187" t="s">
        <v>71</v>
      </c>
      <c r="H30" s="189"/>
      <c r="I30" s="189" t="s">
        <v>24</v>
      </c>
      <c r="J30" s="189"/>
      <c r="K30" s="189"/>
      <c r="L30" s="186" t="s">
        <v>123</v>
      </c>
      <c r="M30" s="189"/>
    </row>
    <row r="31" spans="1:13" ht="94.5" customHeight="1">
      <c r="A31" s="189"/>
      <c r="B31" s="186" t="s">
        <v>103</v>
      </c>
      <c r="C31" s="187" t="s">
        <v>124</v>
      </c>
      <c r="D31" s="187" t="s">
        <v>125</v>
      </c>
      <c r="E31" s="186" t="s">
        <v>69</v>
      </c>
      <c r="F31" s="188" t="s">
        <v>122</v>
      </c>
      <c r="G31" s="187" t="s">
        <v>71</v>
      </c>
      <c r="H31" s="189"/>
      <c r="I31" s="189" t="s">
        <v>24</v>
      </c>
      <c r="J31" s="189"/>
      <c r="K31" s="189"/>
      <c r="L31" s="186" t="s">
        <v>126</v>
      </c>
      <c r="M31" s="189"/>
    </row>
    <row r="32" spans="1:13" ht="93" customHeight="1">
      <c r="A32" s="189"/>
      <c r="B32" s="186" t="s">
        <v>103</v>
      </c>
      <c r="C32" s="187" t="s">
        <v>127</v>
      </c>
      <c r="D32" s="187" t="s">
        <v>128</v>
      </c>
      <c r="E32" s="186" t="s">
        <v>69</v>
      </c>
      <c r="F32" s="188" t="s">
        <v>122</v>
      </c>
      <c r="G32" s="187" t="s">
        <v>71</v>
      </c>
      <c r="H32" s="189"/>
      <c r="I32" s="189" t="s">
        <v>24</v>
      </c>
      <c r="J32" s="189"/>
      <c r="K32" s="189"/>
      <c r="L32" s="186" t="s">
        <v>129</v>
      </c>
      <c r="M32" s="189"/>
    </row>
    <row r="33" spans="1:13" ht="105.75" customHeight="1">
      <c r="A33" s="189"/>
      <c r="B33" s="186" t="s">
        <v>103</v>
      </c>
      <c r="C33" s="187" t="s">
        <v>130</v>
      </c>
      <c r="D33" s="187" t="s">
        <v>131</v>
      </c>
      <c r="E33" s="186" t="s">
        <v>69</v>
      </c>
      <c r="F33" s="188" t="s">
        <v>122</v>
      </c>
      <c r="G33" s="187" t="s">
        <v>71</v>
      </c>
      <c r="H33" s="189"/>
      <c r="I33" s="189" t="s">
        <v>24</v>
      </c>
      <c r="J33" s="189"/>
      <c r="K33" s="189"/>
      <c r="L33" s="186" t="s">
        <v>132</v>
      </c>
      <c r="M33" s="189"/>
    </row>
    <row r="34" spans="1:13" ht="65.150000000000006" hidden="1" customHeight="1">
      <c r="A34" s="185" t="s">
        <v>30</v>
      </c>
      <c r="B34" s="186" t="s">
        <v>103</v>
      </c>
      <c r="C34" s="187" t="s">
        <v>133</v>
      </c>
      <c r="D34" s="187" t="s">
        <v>134</v>
      </c>
      <c r="E34" s="186"/>
      <c r="F34" s="188"/>
      <c r="G34" s="192" t="s">
        <v>28</v>
      </c>
      <c r="H34" s="189"/>
      <c r="I34" s="189"/>
      <c r="J34" s="189"/>
      <c r="K34" s="189"/>
      <c r="L34" s="186" t="s">
        <v>135</v>
      </c>
      <c r="M34" s="189"/>
    </row>
    <row r="35" spans="1:13" ht="65.150000000000006" hidden="1" customHeight="1">
      <c r="A35" s="185" t="s">
        <v>30</v>
      </c>
      <c r="B35" s="186" t="s">
        <v>103</v>
      </c>
      <c r="C35" s="187" t="s">
        <v>136</v>
      </c>
      <c r="D35" s="187" t="s">
        <v>137</v>
      </c>
      <c r="E35" s="186"/>
      <c r="F35" s="188"/>
      <c r="G35" s="192" t="s">
        <v>28</v>
      </c>
      <c r="H35" s="189"/>
      <c r="I35" s="189"/>
      <c r="J35" s="189"/>
      <c r="K35" s="189"/>
      <c r="L35" s="186" t="s">
        <v>138</v>
      </c>
      <c r="M35" s="189"/>
    </row>
    <row r="36" spans="1:13" ht="65.150000000000006" customHeight="1">
      <c r="A36" s="185"/>
      <c r="B36" s="186" t="s">
        <v>103</v>
      </c>
      <c r="C36" s="193" t="s">
        <v>139</v>
      </c>
      <c r="D36" s="187" t="s">
        <v>140</v>
      </c>
      <c r="E36" s="186" t="s">
        <v>141</v>
      </c>
      <c r="F36" s="188" t="s">
        <v>142</v>
      </c>
      <c r="G36" s="192" t="s">
        <v>28</v>
      </c>
      <c r="H36" s="189"/>
      <c r="I36" s="189" t="s">
        <v>24</v>
      </c>
      <c r="J36" s="189"/>
      <c r="K36" s="189"/>
      <c r="L36" s="186" t="s">
        <v>143</v>
      </c>
      <c r="M36" s="189"/>
    </row>
    <row r="37" spans="1:13" ht="65.150000000000006" hidden="1" customHeight="1">
      <c r="A37" s="185" t="s">
        <v>30</v>
      </c>
      <c r="B37" s="186" t="s">
        <v>103</v>
      </c>
      <c r="C37" s="187" t="s">
        <v>144</v>
      </c>
      <c r="D37" s="187" t="s">
        <v>145</v>
      </c>
      <c r="E37" s="186"/>
      <c r="F37" s="188"/>
      <c r="G37" s="192" t="s">
        <v>28</v>
      </c>
      <c r="H37" s="189"/>
      <c r="I37" s="189"/>
      <c r="J37" s="189"/>
      <c r="K37" s="189"/>
      <c r="L37" s="186" t="s">
        <v>146</v>
      </c>
      <c r="M37" s="189"/>
    </row>
    <row r="38" spans="1:13" ht="158.25" customHeight="1">
      <c r="A38" s="189"/>
      <c r="B38" s="186" t="s">
        <v>103</v>
      </c>
      <c r="C38" s="193" t="s">
        <v>147</v>
      </c>
      <c r="D38" s="187" t="s">
        <v>148</v>
      </c>
      <c r="E38" s="186" t="s">
        <v>149</v>
      </c>
      <c r="F38" s="188" t="s">
        <v>150</v>
      </c>
      <c r="G38" s="192" t="s">
        <v>28</v>
      </c>
      <c r="H38" s="189"/>
      <c r="I38" s="189" t="s">
        <v>24</v>
      </c>
      <c r="J38" s="189"/>
      <c r="K38" s="189"/>
      <c r="L38" s="186" t="s">
        <v>151</v>
      </c>
      <c r="M38" s="189"/>
    </row>
    <row r="39" spans="1:13" ht="65.150000000000006" hidden="1" customHeight="1">
      <c r="A39" s="185" t="s">
        <v>30</v>
      </c>
      <c r="B39" s="186" t="s">
        <v>103</v>
      </c>
      <c r="C39" s="187" t="s">
        <v>152</v>
      </c>
      <c r="D39" s="187" t="s">
        <v>153</v>
      </c>
      <c r="E39" s="186"/>
      <c r="F39" s="188"/>
      <c r="G39" s="189"/>
      <c r="H39" s="189"/>
      <c r="I39" s="189"/>
      <c r="J39" s="189"/>
      <c r="K39" s="189"/>
      <c r="L39" s="186" t="s">
        <v>154</v>
      </c>
      <c r="M39" s="189"/>
    </row>
    <row r="40" spans="1:13" ht="87" hidden="1" customHeight="1">
      <c r="A40" s="185" t="s">
        <v>30</v>
      </c>
      <c r="B40" s="186" t="s">
        <v>103</v>
      </c>
      <c r="C40" s="190" t="s">
        <v>155</v>
      </c>
      <c r="D40" s="187" t="s">
        <v>156</v>
      </c>
      <c r="E40" s="186" t="s">
        <v>157</v>
      </c>
      <c r="F40" s="188" t="s">
        <v>158</v>
      </c>
      <c r="G40" s="192" t="s">
        <v>28</v>
      </c>
      <c r="H40" s="189"/>
      <c r="I40" s="189"/>
      <c r="J40" s="189"/>
      <c r="K40" s="189"/>
      <c r="L40" s="186" t="s">
        <v>159</v>
      </c>
      <c r="M40" s="189"/>
    </row>
    <row r="41" spans="1:13" ht="87" hidden="1" customHeight="1">
      <c r="A41" s="185" t="s">
        <v>30</v>
      </c>
      <c r="B41" s="186" t="s">
        <v>103</v>
      </c>
      <c r="C41" s="194" t="s">
        <v>160</v>
      </c>
      <c r="D41" s="187" t="s">
        <v>161</v>
      </c>
      <c r="E41" s="186" t="s">
        <v>69</v>
      </c>
      <c r="F41" s="188" t="s">
        <v>122</v>
      </c>
      <c r="G41" s="192"/>
      <c r="H41" s="189"/>
      <c r="I41" s="189"/>
      <c r="J41" s="189"/>
      <c r="K41" s="189"/>
      <c r="L41" s="186" t="s">
        <v>162</v>
      </c>
      <c r="M41" s="189"/>
    </row>
    <row r="42" spans="1:13" ht="153" customHeight="1">
      <c r="A42" s="189"/>
      <c r="B42" s="186" t="s">
        <v>163</v>
      </c>
      <c r="C42" s="187" t="s">
        <v>164</v>
      </c>
      <c r="D42" s="190" t="s">
        <v>165</v>
      </c>
      <c r="E42" s="186" t="s">
        <v>100</v>
      </c>
      <c r="F42" s="188" t="s">
        <v>166</v>
      </c>
      <c r="G42" s="192" t="s">
        <v>28</v>
      </c>
      <c r="H42" s="189"/>
      <c r="I42" s="189" t="s">
        <v>24</v>
      </c>
      <c r="J42" s="189"/>
      <c r="K42" s="189"/>
      <c r="L42" s="186" t="s">
        <v>167</v>
      </c>
      <c r="M42" s="189"/>
    </row>
    <row r="43" spans="1:13" ht="65.150000000000006" hidden="1" customHeight="1">
      <c r="A43" s="185" t="s">
        <v>30</v>
      </c>
      <c r="B43" s="186" t="s">
        <v>163</v>
      </c>
      <c r="C43" s="187" t="s">
        <v>168</v>
      </c>
      <c r="D43" s="190" t="s">
        <v>169</v>
      </c>
      <c r="E43" s="186"/>
      <c r="F43" s="188"/>
      <c r="G43" s="189"/>
      <c r="H43" s="189"/>
      <c r="I43" s="189"/>
      <c r="J43" s="189"/>
      <c r="K43" s="189"/>
      <c r="L43" s="186"/>
      <c r="M43" s="189"/>
    </row>
    <row r="44" spans="1:13" ht="65.150000000000006" hidden="1" customHeight="1">
      <c r="A44" s="185" t="s">
        <v>30</v>
      </c>
      <c r="B44" s="186" t="s">
        <v>163</v>
      </c>
      <c r="C44" s="187" t="s">
        <v>170</v>
      </c>
      <c r="D44" s="190" t="s">
        <v>171</v>
      </c>
      <c r="E44" s="186"/>
      <c r="F44" s="188"/>
      <c r="G44" s="189"/>
      <c r="H44" s="189"/>
      <c r="I44" s="189"/>
      <c r="J44" s="189"/>
      <c r="K44" s="189"/>
      <c r="L44" s="186"/>
      <c r="M44" s="189"/>
    </row>
    <row r="45" spans="1:13" ht="65.150000000000006" hidden="1" customHeight="1">
      <c r="A45" s="185" t="s">
        <v>30</v>
      </c>
      <c r="B45" s="186" t="s">
        <v>163</v>
      </c>
      <c r="C45" s="187" t="s">
        <v>172</v>
      </c>
      <c r="D45" s="190" t="s">
        <v>173</v>
      </c>
      <c r="E45" s="186"/>
      <c r="F45" s="188"/>
      <c r="G45" s="189"/>
      <c r="H45" s="189"/>
      <c r="I45" s="189"/>
      <c r="J45" s="189"/>
      <c r="K45" s="189"/>
      <c r="L45" s="186"/>
      <c r="M45" s="189"/>
    </row>
    <row r="46" spans="1:13" ht="65.150000000000006" hidden="1" customHeight="1">
      <c r="A46" s="185" t="s">
        <v>30</v>
      </c>
      <c r="B46" s="186" t="s">
        <v>163</v>
      </c>
      <c r="C46" s="187" t="s">
        <v>174</v>
      </c>
      <c r="D46" s="190" t="s">
        <v>175</v>
      </c>
      <c r="E46" s="186"/>
      <c r="F46" s="188"/>
      <c r="G46" s="189"/>
      <c r="H46" s="189"/>
      <c r="I46" s="189"/>
      <c r="J46" s="189"/>
      <c r="K46" s="189"/>
      <c r="L46" s="186"/>
      <c r="M46" s="189"/>
    </row>
    <row r="47" spans="1:13" ht="65.150000000000006" hidden="1" customHeight="1">
      <c r="A47" s="185" t="s">
        <v>30</v>
      </c>
      <c r="B47" s="186" t="s">
        <v>163</v>
      </c>
      <c r="C47" s="187" t="s">
        <v>176</v>
      </c>
      <c r="D47" s="190" t="s">
        <v>177</v>
      </c>
      <c r="E47" s="186"/>
      <c r="F47" s="188"/>
      <c r="G47" s="189"/>
      <c r="H47" s="189"/>
      <c r="I47" s="189"/>
      <c r="J47" s="189"/>
      <c r="K47" s="189"/>
      <c r="L47" s="186"/>
      <c r="M47" s="189"/>
    </row>
    <row r="48" spans="1:13" ht="65.150000000000006" hidden="1" customHeight="1">
      <c r="A48" s="185" t="s">
        <v>30</v>
      </c>
      <c r="B48" s="186" t="s">
        <v>163</v>
      </c>
      <c r="C48" s="187" t="s">
        <v>178</v>
      </c>
      <c r="D48" s="190" t="s">
        <v>179</v>
      </c>
      <c r="E48" s="186"/>
      <c r="F48" s="188"/>
      <c r="G48" s="189"/>
      <c r="H48" s="189"/>
      <c r="I48" s="189"/>
      <c r="J48" s="189"/>
      <c r="K48" s="189"/>
      <c r="L48" s="186"/>
      <c r="M48" s="189"/>
    </row>
    <row r="49" spans="1:13" ht="65.150000000000006" customHeight="1">
      <c r="A49" s="189"/>
      <c r="B49" s="186" t="s">
        <v>163</v>
      </c>
      <c r="C49" s="187" t="s">
        <v>180</v>
      </c>
      <c r="D49" s="190" t="s">
        <v>181</v>
      </c>
      <c r="E49" s="186"/>
      <c r="F49" s="188"/>
      <c r="G49" s="187" t="s">
        <v>182</v>
      </c>
      <c r="H49" s="189"/>
      <c r="I49" s="189" t="s">
        <v>24</v>
      </c>
      <c r="J49" s="189"/>
      <c r="K49" s="189"/>
      <c r="L49" s="198" t="s">
        <v>183</v>
      </c>
      <c r="M49" s="189"/>
    </row>
    <row r="50" spans="1:13" ht="65.150000000000006" hidden="1" customHeight="1">
      <c r="A50" s="185" t="s">
        <v>30</v>
      </c>
      <c r="B50" s="186" t="s">
        <v>163</v>
      </c>
      <c r="C50" s="187" t="s">
        <v>184</v>
      </c>
      <c r="D50" s="190" t="s">
        <v>185</v>
      </c>
      <c r="E50" s="186"/>
      <c r="F50" s="188"/>
      <c r="G50" s="189"/>
      <c r="H50" s="189"/>
      <c r="I50" s="189"/>
      <c r="J50" s="189"/>
      <c r="K50" s="189"/>
      <c r="L50" s="186"/>
      <c r="M50" s="189"/>
    </row>
    <row r="51" spans="1:13" ht="65.150000000000006" hidden="1" customHeight="1">
      <c r="A51" s="185" t="s">
        <v>30</v>
      </c>
      <c r="B51" s="186" t="s">
        <v>163</v>
      </c>
      <c r="C51" s="187" t="s">
        <v>186</v>
      </c>
      <c r="D51" s="190" t="s">
        <v>187</v>
      </c>
      <c r="E51" s="186"/>
      <c r="F51" s="188"/>
      <c r="G51" s="189"/>
      <c r="H51" s="189"/>
      <c r="I51" s="189"/>
      <c r="J51" s="189"/>
      <c r="K51" s="189"/>
      <c r="L51" s="186"/>
      <c r="M51" s="189"/>
    </row>
    <row r="52" spans="1:13" ht="65.150000000000006" hidden="1" customHeight="1">
      <c r="A52" s="185" t="s">
        <v>30</v>
      </c>
      <c r="B52" s="186" t="s">
        <v>163</v>
      </c>
      <c r="C52" s="187" t="s">
        <v>188</v>
      </c>
      <c r="D52" s="190" t="s">
        <v>189</v>
      </c>
      <c r="E52" s="186"/>
      <c r="F52" s="188"/>
      <c r="G52" s="189"/>
      <c r="H52" s="189"/>
      <c r="I52" s="189"/>
      <c r="J52" s="189"/>
      <c r="K52" s="189"/>
      <c r="L52" s="186"/>
      <c r="M52" s="189"/>
    </row>
    <row r="53" spans="1:13" ht="65.150000000000006" hidden="1" customHeight="1">
      <c r="A53" s="185" t="s">
        <v>30</v>
      </c>
      <c r="B53" s="186" t="s">
        <v>190</v>
      </c>
      <c r="C53" s="187" t="s">
        <v>191</v>
      </c>
      <c r="D53" s="195" t="s">
        <v>192</v>
      </c>
      <c r="E53" s="186"/>
      <c r="F53" s="188"/>
      <c r="G53" s="189"/>
      <c r="H53" s="189"/>
      <c r="I53" s="189"/>
      <c r="J53" s="189"/>
      <c r="K53" s="189"/>
      <c r="L53" s="186"/>
      <c r="M53" s="189"/>
    </row>
    <row r="54" spans="1:13" ht="65.150000000000006" hidden="1" customHeight="1">
      <c r="A54" s="185" t="s">
        <v>30</v>
      </c>
      <c r="B54" s="186" t="s">
        <v>190</v>
      </c>
      <c r="C54" s="187" t="s">
        <v>193</v>
      </c>
      <c r="D54" s="195" t="s">
        <v>194</v>
      </c>
      <c r="E54" s="186"/>
      <c r="F54" s="188"/>
      <c r="G54" s="189"/>
      <c r="H54" s="189"/>
      <c r="I54" s="189"/>
      <c r="J54" s="189"/>
      <c r="K54" s="189"/>
      <c r="L54" s="186"/>
      <c r="M54" s="189"/>
    </row>
    <row r="55" spans="1:13" ht="65.150000000000006" hidden="1" customHeight="1">
      <c r="A55" s="185" t="s">
        <v>30</v>
      </c>
      <c r="B55" s="186" t="s">
        <v>190</v>
      </c>
      <c r="C55" s="187" t="s">
        <v>195</v>
      </c>
      <c r="D55" s="195" t="s">
        <v>196</v>
      </c>
      <c r="E55" s="186"/>
      <c r="F55" s="188"/>
      <c r="G55" s="189"/>
      <c r="H55" s="189"/>
      <c r="I55" s="189"/>
      <c r="J55" s="189"/>
      <c r="K55" s="189"/>
      <c r="L55" s="186"/>
      <c r="M55" s="189"/>
    </row>
    <row r="56" spans="1:13" ht="65.150000000000006" hidden="1" customHeight="1">
      <c r="A56" s="185" t="s">
        <v>30</v>
      </c>
      <c r="B56" s="186" t="s">
        <v>190</v>
      </c>
      <c r="C56" s="187" t="s">
        <v>197</v>
      </c>
      <c r="D56" s="195" t="s">
        <v>198</v>
      </c>
      <c r="E56" s="186"/>
      <c r="F56" s="188"/>
      <c r="G56" s="189"/>
      <c r="H56" s="189"/>
      <c r="I56" s="189"/>
      <c r="J56" s="189"/>
      <c r="K56" s="189"/>
      <c r="L56" s="186"/>
      <c r="M56" s="189"/>
    </row>
    <row r="57" spans="1:13" ht="65.150000000000006" hidden="1" customHeight="1">
      <c r="A57" s="185" t="s">
        <v>30</v>
      </c>
      <c r="B57" s="186" t="s">
        <v>190</v>
      </c>
      <c r="C57" s="187" t="s">
        <v>199</v>
      </c>
      <c r="D57" s="195" t="s">
        <v>200</v>
      </c>
      <c r="E57" s="186"/>
      <c r="F57" s="188"/>
      <c r="G57" s="189"/>
      <c r="H57" s="189"/>
      <c r="I57" s="189"/>
      <c r="J57" s="189"/>
      <c r="K57" s="189"/>
      <c r="L57" s="186"/>
      <c r="M57" s="189"/>
    </row>
    <row r="58" spans="1:13" ht="65.150000000000006" hidden="1" customHeight="1">
      <c r="A58" s="185" t="s">
        <v>30</v>
      </c>
      <c r="B58" s="186" t="s">
        <v>190</v>
      </c>
      <c r="C58" s="187" t="s">
        <v>201</v>
      </c>
      <c r="D58" s="195" t="s">
        <v>202</v>
      </c>
      <c r="E58" s="186"/>
      <c r="F58" s="188"/>
      <c r="G58" s="189"/>
      <c r="H58" s="189"/>
      <c r="I58" s="189"/>
      <c r="J58" s="189"/>
      <c r="K58" s="189"/>
      <c r="L58" s="186"/>
      <c r="M58" s="189"/>
    </row>
    <row r="59" spans="1:13" ht="65.150000000000006" customHeight="1">
      <c r="A59" s="189"/>
      <c r="B59" s="186" t="s">
        <v>190</v>
      </c>
      <c r="C59" s="187" t="s">
        <v>203</v>
      </c>
      <c r="D59" s="195" t="s">
        <v>204</v>
      </c>
      <c r="E59" s="186" t="s">
        <v>205</v>
      </c>
      <c r="F59" s="188" t="s">
        <v>206</v>
      </c>
      <c r="G59" s="192" t="s">
        <v>28</v>
      </c>
      <c r="H59" s="189"/>
      <c r="I59" s="189" t="s">
        <v>24</v>
      </c>
      <c r="J59" s="189"/>
      <c r="K59" s="189"/>
      <c r="L59" s="186" t="s">
        <v>207</v>
      </c>
      <c r="M59" s="189"/>
    </row>
    <row r="60" spans="1:13" ht="145.5" customHeight="1">
      <c r="A60" s="189"/>
      <c r="B60" s="186" t="s">
        <v>190</v>
      </c>
      <c r="C60" s="187" t="s">
        <v>208</v>
      </c>
      <c r="D60" s="195" t="s">
        <v>209</v>
      </c>
      <c r="E60" s="186" t="s">
        <v>69</v>
      </c>
      <c r="F60" s="188" t="s">
        <v>70</v>
      </c>
      <c r="G60" s="189" t="s">
        <v>71</v>
      </c>
      <c r="H60" s="189"/>
      <c r="I60" s="189" t="s">
        <v>24</v>
      </c>
      <c r="J60" s="189"/>
      <c r="K60" s="189"/>
      <c r="L60" s="186" t="s">
        <v>210</v>
      </c>
      <c r="M60" s="189"/>
    </row>
    <row r="61" spans="1:13" ht="65.150000000000006" customHeight="1">
      <c r="A61" s="189"/>
      <c r="B61" s="186" t="s">
        <v>190</v>
      </c>
      <c r="C61" s="187" t="s">
        <v>211</v>
      </c>
      <c r="D61" s="195" t="s">
        <v>212</v>
      </c>
      <c r="E61" s="186"/>
      <c r="F61" s="188"/>
      <c r="G61" s="187" t="s">
        <v>213</v>
      </c>
      <c r="H61" s="189"/>
      <c r="I61" s="189" t="s">
        <v>24</v>
      </c>
      <c r="J61" s="189"/>
      <c r="K61" s="189"/>
      <c r="L61" s="186" t="s">
        <v>214</v>
      </c>
      <c r="M61" s="189"/>
    </row>
    <row r="62" spans="1:13" ht="65.150000000000006" customHeight="1">
      <c r="A62" s="189"/>
      <c r="B62" s="186" t="s">
        <v>190</v>
      </c>
      <c r="C62" s="187" t="s">
        <v>215</v>
      </c>
      <c r="D62" s="195" t="s">
        <v>216</v>
      </c>
      <c r="E62" s="186"/>
      <c r="F62" s="188"/>
      <c r="G62" s="187" t="s">
        <v>217</v>
      </c>
      <c r="H62" s="189"/>
      <c r="I62" s="189" t="s">
        <v>24</v>
      </c>
      <c r="J62" s="189"/>
      <c r="K62" s="189"/>
      <c r="L62" s="186" t="s">
        <v>218</v>
      </c>
      <c r="M62" s="189"/>
    </row>
    <row r="63" spans="1:13" ht="65.150000000000006" hidden="1" customHeight="1">
      <c r="A63" s="185" t="s">
        <v>30</v>
      </c>
      <c r="B63" s="186" t="s">
        <v>190</v>
      </c>
      <c r="C63" s="187" t="s">
        <v>172</v>
      </c>
      <c r="D63" s="195" t="s">
        <v>219</v>
      </c>
      <c r="E63" s="186"/>
      <c r="F63" s="188"/>
      <c r="G63" s="189"/>
      <c r="H63" s="189"/>
      <c r="I63" s="189"/>
      <c r="J63" s="189"/>
      <c r="K63" s="189"/>
      <c r="L63" s="186"/>
      <c r="M63" s="189"/>
    </row>
    <row r="64" spans="1:13" ht="65.150000000000006" hidden="1" customHeight="1">
      <c r="A64" s="185" t="s">
        <v>30</v>
      </c>
      <c r="B64" s="186" t="s">
        <v>190</v>
      </c>
      <c r="C64" s="187" t="s">
        <v>174</v>
      </c>
      <c r="D64" s="195" t="s">
        <v>220</v>
      </c>
      <c r="E64" s="186"/>
      <c r="F64" s="188"/>
      <c r="G64" s="189"/>
      <c r="H64" s="189"/>
      <c r="I64" s="189"/>
      <c r="J64" s="189"/>
      <c r="K64" s="189"/>
      <c r="L64" s="186"/>
      <c r="M64" s="189"/>
    </row>
    <row r="65" spans="1:13" ht="65.150000000000006" hidden="1" customHeight="1">
      <c r="A65" s="185" t="s">
        <v>30</v>
      </c>
      <c r="B65" s="186" t="s">
        <v>190</v>
      </c>
      <c r="C65" s="187" t="s">
        <v>176</v>
      </c>
      <c r="D65" s="195" t="s">
        <v>177</v>
      </c>
      <c r="E65" s="186"/>
      <c r="F65" s="188"/>
      <c r="G65" s="189"/>
      <c r="H65" s="189"/>
      <c r="I65" s="189"/>
      <c r="J65" s="189"/>
      <c r="K65" s="189"/>
      <c r="L65" s="186"/>
      <c r="M65" s="189"/>
    </row>
    <row r="66" spans="1:13" ht="65.150000000000006" hidden="1" customHeight="1">
      <c r="A66" s="185" t="s">
        <v>30</v>
      </c>
      <c r="B66" s="186" t="s">
        <v>190</v>
      </c>
      <c r="C66" s="187" t="s">
        <v>186</v>
      </c>
      <c r="D66" s="195" t="s">
        <v>187</v>
      </c>
      <c r="E66" s="186"/>
      <c r="F66" s="188"/>
      <c r="G66" s="189"/>
      <c r="H66" s="189"/>
      <c r="I66" s="189"/>
      <c r="J66" s="189"/>
      <c r="K66" s="189"/>
      <c r="L66" s="186"/>
      <c r="M66" s="189"/>
    </row>
    <row r="67" spans="1:13" ht="65.150000000000006" hidden="1" customHeight="1">
      <c r="A67" s="185" t="s">
        <v>30</v>
      </c>
      <c r="B67" s="186" t="s">
        <v>190</v>
      </c>
      <c r="C67" s="187" t="s">
        <v>188</v>
      </c>
      <c r="D67" s="195" t="s">
        <v>189</v>
      </c>
      <c r="E67" s="186"/>
      <c r="F67" s="188"/>
      <c r="G67" s="189"/>
      <c r="H67" s="189"/>
      <c r="I67" s="189"/>
      <c r="J67" s="189"/>
      <c r="K67" s="189"/>
      <c r="L67" s="186"/>
      <c r="M67" s="189"/>
    </row>
    <row r="68" spans="1:13" ht="147" hidden="1">
      <c r="A68" s="201" t="s">
        <v>221</v>
      </c>
      <c r="B68" s="180" t="s">
        <v>222</v>
      </c>
    </row>
    <row r="69" spans="1:13" ht="147" hidden="1">
      <c r="A69" s="185" t="s">
        <v>221</v>
      </c>
      <c r="B69" s="180" t="s">
        <v>223</v>
      </c>
    </row>
    <row r="70" spans="1:13" ht="147" hidden="1">
      <c r="A70" s="185" t="s">
        <v>221</v>
      </c>
      <c r="B70" s="180" t="s">
        <v>224</v>
      </c>
    </row>
    <row r="71" spans="1:13" ht="147" hidden="1">
      <c r="A71" s="185" t="s">
        <v>221</v>
      </c>
      <c r="B71" s="180" t="s">
        <v>225</v>
      </c>
    </row>
    <row r="72" spans="1:13" ht="147" hidden="1">
      <c r="A72" s="185" t="s">
        <v>221</v>
      </c>
      <c r="B72" s="180" t="s">
        <v>226</v>
      </c>
    </row>
  </sheetData>
  <autoFilter ref="A2:M72">
    <filterColumn colId="0">
      <filters blank="1"/>
    </filterColumn>
  </autoFilter>
  <phoneticPr fontId="53" type="noConversion"/>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2:J33"/>
  <sheetViews>
    <sheetView topLeftCell="A28" zoomScale="55" zoomScaleNormal="55" workbookViewId="0">
      <selection activeCell="C36" sqref="C36"/>
    </sheetView>
  </sheetViews>
  <sheetFormatPr defaultColWidth="9.26953125" defaultRowHeight="14"/>
  <cols>
    <col min="1" max="1" width="9.26953125" style="322"/>
    <col min="2" max="2" width="12.90625" style="322" bestFit="1" customWidth="1"/>
    <col min="3" max="3" width="206.26953125" style="322" customWidth="1"/>
    <col min="4" max="16384" width="9.26953125" style="322"/>
  </cols>
  <sheetData>
    <row r="2" spans="1:10" ht="24">
      <c r="C2" s="323" t="s">
        <v>3606</v>
      </c>
      <c r="D2" s="323"/>
      <c r="E2" s="323"/>
      <c r="F2" s="323"/>
      <c r="G2" s="323"/>
      <c r="H2" s="323"/>
      <c r="I2" s="323"/>
      <c r="J2" s="323"/>
    </row>
    <row r="3" spans="1:10" ht="24">
      <c r="C3" s="323"/>
      <c r="D3" s="323"/>
      <c r="E3" s="323"/>
      <c r="F3" s="323"/>
      <c r="G3" s="323"/>
      <c r="H3" s="323"/>
      <c r="I3" s="323"/>
      <c r="J3" s="323"/>
    </row>
    <row r="4" spans="1:10">
      <c r="A4" s="178" t="s">
        <v>227</v>
      </c>
      <c r="B4" s="178" t="s">
        <v>228</v>
      </c>
      <c r="C4" s="178" t="s">
        <v>229</v>
      </c>
      <c r="D4" s="178" t="s">
        <v>230</v>
      </c>
    </row>
    <row r="5" spans="1:10" ht="39">
      <c r="A5" s="324" t="s">
        <v>231</v>
      </c>
      <c r="B5" s="325">
        <v>43453</v>
      </c>
      <c r="C5" s="326" t="s">
        <v>232</v>
      </c>
      <c r="D5" s="324" t="s">
        <v>1859</v>
      </c>
    </row>
    <row r="6" spans="1:10" ht="409.5">
      <c r="A6" s="322" t="s">
        <v>233</v>
      </c>
      <c r="B6" s="264" t="s">
        <v>1860</v>
      </c>
      <c r="C6" s="216" t="s">
        <v>2839</v>
      </c>
      <c r="D6" s="216" t="s">
        <v>2488</v>
      </c>
    </row>
    <row r="7" spans="1:10" ht="42">
      <c r="A7" s="216" t="s">
        <v>2485</v>
      </c>
      <c r="B7" s="327">
        <v>44151</v>
      </c>
      <c r="C7" s="216" t="s">
        <v>2486</v>
      </c>
      <c r="D7" s="216" t="s">
        <v>2489</v>
      </c>
    </row>
    <row r="8" spans="1:10" ht="42">
      <c r="A8" s="328" t="s">
        <v>2493</v>
      </c>
      <c r="B8" s="327">
        <v>44162</v>
      </c>
      <c r="C8" s="216" t="s">
        <v>2509</v>
      </c>
      <c r="D8" s="216" t="s">
        <v>2510</v>
      </c>
    </row>
    <row r="9" spans="1:10" ht="154">
      <c r="A9" s="328" t="s">
        <v>2511</v>
      </c>
      <c r="B9" s="327">
        <v>44168</v>
      </c>
      <c r="C9" s="216" t="s">
        <v>2521</v>
      </c>
      <c r="D9" s="216" t="s">
        <v>2510</v>
      </c>
    </row>
    <row r="10" spans="1:10" ht="56">
      <c r="A10" s="328" t="s">
        <v>2538</v>
      </c>
      <c r="B10" s="327">
        <v>44175</v>
      </c>
      <c r="C10" s="216" t="s">
        <v>2539</v>
      </c>
      <c r="D10" s="216" t="s">
        <v>2510</v>
      </c>
    </row>
    <row r="11" spans="1:10" ht="56">
      <c r="A11" s="328" t="s">
        <v>2547</v>
      </c>
      <c r="B11" s="327">
        <v>44182</v>
      </c>
      <c r="C11" s="216" t="s">
        <v>2552</v>
      </c>
      <c r="D11" s="216" t="s">
        <v>2510</v>
      </c>
    </row>
    <row r="12" spans="1:10" ht="196">
      <c r="A12" s="328" t="s">
        <v>2562</v>
      </c>
      <c r="B12" s="327">
        <v>44194</v>
      </c>
      <c r="C12" s="216" t="s">
        <v>2621</v>
      </c>
      <c r="D12" s="216" t="s">
        <v>2510</v>
      </c>
    </row>
    <row r="13" spans="1:10" ht="196">
      <c r="A13" s="328" t="s">
        <v>2638</v>
      </c>
      <c r="B13" s="327">
        <v>44200</v>
      </c>
      <c r="C13" s="216" t="s">
        <v>2667</v>
      </c>
      <c r="D13" s="216" t="s">
        <v>2510</v>
      </c>
    </row>
    <row r="14" spans="1:10" ht="56">
      <c r="A14" s="328" t="s">
        <v>2671</v>
      </c>
      <c r="B14" s="327">
        <v>44203</v>
      </c>
      <c r="C14" s="216" t="s">
        <v>2688</v>
      </c>
      <c r="D14" s="216" t="s">
        <v>2510</v>
      </c>
    </row>
    <row r="15" spans="1:10" ht="364">
      <c r="A15" s="328" t="s">
        <v>2693</v>
      </c>
      <c r="B15" s="264" t="s">
        <v>2708</v>
      </c>
      <c r="C15" s="216" t="s">
        <v>2982</v>
      </c>
      <c r="D15" s="216" t="s">
        <v>2510</v>
      </c>
    </row>
    <row r="16" spans="1:10" ht="84">
      <c r="A16" s="328" t="s">
        <v>2875</v>
      </c>
      <c r="B16" s="327">
        <v>44267</v>
      </c>
      <c r="C16" s="216" t="s">
        <v>2876</v>
      </c>
      <c r="D16" s="216" t="s">
        <v>2877</v>
      </c>
    </row>
    <row r="17" spans="1:4" ht="182">
      <c r="A17" s="328" t="s">
        <v>2880</v>
      </c>
      <c r="B17" s="327">
        <v>44274</v>
      </c>
      <c r="C17" s="216" t="s">
        <v>2896</v>
      </c>
      <c r="D17" s="216" t="s">
        <v>2510</v>
      </c>
    </row>
    <row r="18" spans="1:4" ht="140">
      <c r="A18" s="328" t="s">
        <v>2898</v>
      </c>
      <c r="B18" s="327">
        <v>44284</v>
      </c>
      <c r="C18" s="216" t="s">
        <v>2927</v>
      </c>
      <c r="D18" s="216" t="s">
        <v>2510</v>
      </c>
    </row>
    <row r="19" spans="1:4" ht="112">
      <c r="A19" s="328" t="s">
        <v>2935</v>
      </c>
      <c r="B19" s="327">
        <v>44285</v>
      </c>
      <c r="C19" s="216" t="s">
        <v>2994</v>
      </c>
      <c r="D19" s="216" t="s">
        <v>2510</v>
      </c>
    </row>
    <row r="20" spans="1:4" ht="84">
      <c r="A20" s="328" t="s">
        <v>2988</v>
      </c>
      <c r="B20" s="327">
        <v>44294</v>
      </c>
      <c r="C20" s="216" t="s">
        <v>2993</v>
      </c>
      <c r="D20" s="216" t="s">
        <v>2510</v>
      </c>
    </row>
    <row r="21" spans="1:4" ht="28">
      <c r="A21" s="328" t="s">
        <v>2875</v>
      </c>
      <c r="B21" s="327">
        <v>44299</v>
      </c>
      <c r="C21" s="216" t="s">
        <v>3070</v>
      </c>
      <c r="D21" s="216" t="s">
        <v>2510</v>
      </c>
    </row>
    <row r="22" spans="1:4" ht="28">
      <c r="A22" s="328" t="s">
        <v>3076</v>
      </c>
      <c r="B22" s="327">
        <v>44308</v>
      </c>
      <c r="C22" s="216" t="s">
        <v>3077</v>
      </c>
      <c r="D22" s="216" t="s">
        <v>2510</v>
      </c>
    </row>
    <row r="23" spans="1:4" ht="28">
      <c r="A23" s="328" t="s">
        <v>3087</v>
      </c>
      <c r="B23" s="327">
        <v>44329</v>
      </c>
      <c r="C23" s="216" t="s">
        <v>3088</v>
      </c>
      <c r="D23" s="216" t="s">
        <v>2510</v>
      </c>
    </row>
    <row r="24" spans="1:4" ht="238">
      <c r="A24" s="328" t="s">
        <v>3142</v>
      </c>
      <c r="B24" s="327">
        <v>44329</v>
      </c>
      <c r="C24" s="216" t="s">
        <v>3176</v>
      </c>
      <c r="D24" s="216" t="s">
        <v>2510</v>
      </c>
    </row>
    <row r="25" spans="1:4" ht="294">
      <c r="A25" s="328" t="s">
        <v>3193</v>
      </c>
      <c r="B25" s="327">
        <v>44334</v>
      </c>
      <c r="C25" s="216" t="s">
        <v>3245</v>
      </c>
      <c r="D25" s="216" t="s">
        <v>2510</v>
      </c>
    </row>
    <row r="26" spans="1:4" ht="168">
      <c r="A26" s="328" t="s">
        <v>3269</v>
      </c>
      <c r="B26" s="327">
        <v>44340</v>
      </c>
      <c r="C26" s="216" t="s">
        <v>3293</v>
      </c>
      <c r="D26" s="216" t="s">
        <v>2510</v>
      </c>
    </row>
    <row r="27" spans="1:4">
      <c r="A27" s="328" t="s">
        <v>3550</v>
      </c>
      <c r="B27" s="327">
        <v>44356</v>
      </c>
      <c r="C27" s="216" t="s">
        <v>3578</v>
      </c>
      <c r="D27" s="216" t="s">
        <v>2510</v>
      </c>
    </row>
    <row r="28" spans="1:4" ht="28">
      <c r="A28" s="328" t="s">
        <v>3588</v>
      </c>
      <c r="B28" s="327">
        <v>44358</v>
      </c>
      <c r="C28" s="216" t="s">
        <v>3592</v>
      </c>
      <c r="D28" s="216" t="s">
        <v>2510</v>
      </c>
    </row>
    <row r="29" spans="1:4" ht="292" customHeight="1">
      <c r="A29" s="216" t="s">
        <v>3636</v>
      </c>
      <c r="B29" s="327">
        <v>44369</v>
      </c>
      <c r="C29" s="216" t="s">
        <v>4047</v>
      </c>
      <c r="D29" s="216" t="s">
        <v>2510</v>
      </c>
    </row>
    <row r="30" spans="1:4" ht="72" customHeight="1">
      <c r="A30" s="216" t="s">
        <v>4175</v>
      </c>
      <c r="B30" s="327">
        <v>44376</v>
      </c>
      <c r="C30" s="216" t="s">
        <v>4182</v>
      </c>
      <c r="D30" s="216" t="s">
        <v>2510</v>
      </c>
    </row>
    <row r="31" spans="1:4" ht="140">
      <c r="A31" s="216" t="s">
        <v>4186</v>
      </c>
      <c r="B31" s="327">
        <v>44377</v>
      </c>
      <c r="C31" s="216" t="s">
        <v>4220</v>
      </c>
      <c r="D31" s="216" t="s">
        <v>2510</v>
      </c>
    </row>
    <row r="32" spans="1:4">
      <c r="A32" s="216" t="s">
        <v>4234</v>
      </c>
      <c r="B32" s="327">
        <v>44385</v>
      </c>
      <c r="C32" s="216" t="s">
        <v>4235</v>
      </c>
      <c r="D32" s="216" t="s">
        <v>2510</v>
      </c>
    </row>
    <row r="33" spans="1:3">
      <c r="A33" s="216" t="s">
        <v>4241</v>
      </c>
      <c r="B33" s="327">
        <v>44398</v>
      </c>
      <c r="C33" s="216" t="s">
        <v>4242</v>
      </c>
    </row>
  </sheetData>
  <phoneticPr fontId="53" type="noConversion"/>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2:J16"/>
  <sheetViews>
    <sheetView topLeftCell="B1" workbookViewId="0">
      <selection activeCell="B3" sqref="B3:I3"/>
    </sheetView>
  </sheetViews>
  <sheetFormatPr defaultColWidth="9" defaultRowHeight="14"/>
  <cols>
    <col min="2" max="2" width="11.453125" customWidth="1"/>
    <col min="3" max="3" width="3.453125" customWidth="1"/>
    <col min="4" max="4" width="13.90625" customWidth="1"/>
    <col min="5" max="5" width="16.6328125" style="162" customWidth="1"/>
    <col min="6" max="6" width="15.453125" style="39" customWidth="1"/>
    <col min="7" max="7" width="74.90625" customWidth="1"/>
    <col min="8" max="8" width="24.90625" customWidth="1"/>
    <col min="9" max="9" width="20.6328125" customWidth="1"/>
  </cols>
  <sheetData>
    <row r="2" spans="1:10">
      <c r="A2" s="162"/>
      <c r="B2" s="162"/>
      <c r="C2" s="162"/>
      <c r="D2" s="162"/>
      <c r="G2" s="162"/>
      <c r="H2" s="162"/>
      <c r="I2" s="162"/>
    </row>
    <row r="3" spans="1:10" ht="25.5">
      <c r="A3" s="162"/>
      <c r="B3" s="503" t="s">
        <v>234</v>
      </c>
      <c r="C3" s="503"/>
      <c r="D3" s="503"/>
      <c r="E3" s="503"/>
      <c r="F3" s="503"/>
      <c r="G3" s="503"/>
      <c r="H3" s="503"/>
      <c r="I3" s="503"/>
    </row>
    <row r="4" spans="1:10" ht="25.5">
      <c r="A4" s="162"/>
      <c r="B4" s="163"/>
      <c r="C4" s="163"/>
      <c r="D4" s="163"/>
      <c r="E4" s="164"/>
      <c r="F4" s="163"/>
      <c r="G4" s="163"/>
      <c r="H4" s="163"/>
      <c r="I4" s="163"/>
    </row>
    <row r="5" spans="1:10">
      <c r="A5" s="162"/>
      <c r="B5" s="504" t="s">
        <v>235</v>
      </c>
      <c r="C5" s="504"/>
      <c r="D5" s="504"/>
      <c r="E5" s="504"/>
      <c r="F5" s="504"/>
      <c r="G5" s="504"/>
      <c r="H5" s="504"/>
      <c r="I5" s="504"/>
    </row>
    <row r="6" spans="1:10" ht="29.25" customHeight="1">
      <c r="A6" s="162"/>
      <c r="B6" s="505" t="s">
        <v>234</v>
      </c>
      <c r="C6" s="506"/>
      <c r="D6" s="506"/>
      <c r="E6" s="506"/>
      <c r="F6" s="506"/>
      <c r="G6" s="506"/>
      <c r="H6" s="506"/>
      <c r="I6" s="506"/>
    </row>
    <row r="7" spans="1:10" ht="36.75" customHeight="1">
      <c r="A7" s="162"/>
      <c r="B7" s="496" t="s">
        <v>236</v>
      </c>
      <c r="C7" s="507"/>
      <c r="D7" s="508" t="s">
        <v>237</v>
      </c>
      <c r="E7" s="509"/>
      <c r="F7" s="509"/>
      <c r="G7" s="509"/>
      <c r="H7" s="509"/>
      <c r="I7" s="510"/>
    </row>
    <row r="8" spans="1:10">
      <c r="A8" s="162"/>
      <c r="B8" s="165"/>
      <c r="C8" s="165"/>
      <c r="D8" s="165"/>
      <c r="E8" s="166"/>
      <c r="F8" s="167"/>
      <c r="G8" s="165"/>
      <c r="H8" s="165"/>
      <c r="I8" s="165"/>
    </row>
    <row r="9" spans="1:10">
      <c r="A9" s="162"/>
      <c r="B9" s="165"/>
      <c r="C9" s="165"/>
      <c r="D9" s="165"/>
      <c r="E9" s="166"/>
      <c r="F9" s="167"/>
      <c r="G9" s="165"/>
      <c r="H9" s="165"/>
      <c r="I9" s="165"/>
    </row>
    <row r="10" spans="1:10">
      <c r="A10" s="162"/>
      <c r="B10" s="168" t="s">
        <v>238</v>
      </c>
      <c r="C10" s="169"/>
      <c r="D10" s="170" t="s">
        <v>227</v>
      </c>
      <c r="E10" s="168" t="s">
        <v>239</v>
      </c>
      <c r="F10" s="171" t="s">
        <v>240</v>
      </c>
      <c r="G10" s="171" t="s">
        <v>241</v>
      </c>
      <c r="H10" s="496" t="s">
        <v>242</v>
      </c>
      <c r="I10" s="497"/>
    </row>
    <row r="11" spans="1:10" ht="24" customHeight="1">
      <c r="A11" s="162"/>
      <c r="B11" s="498" t="s">
        <v>243</v>
      </c>
      <c r="C11" s="499"/>
      <c r="D11" s="172" t="s">
        <v>244</v>
      </c>
      <c r="E11" s="173" t="s">
        <v>245</v>
      </c>
      <c r="F11" s="174">
        <v>42535</v>
      </c>
      <c r="G11" s="175"/>
      <c r="H11" s="500"/>
      <c r="I11" s="501"/>
    </row>
    <row r="15" spans="1:10" ht="23">
      <c r="D15" s="176"/>
      <c r="E15" s="177"/>
      <c r="F15" s="176"/>
      <c r="G15" s="176" t="s">
        <v>246</v>
      </c>
      <c r="H15" s="176"/>
      <c r="I15" s="176"/>
      <c r="J15" s="176"/>
    </row>
    <row r="16" spans="1:10" ht="23">
      <c r="D16" s="502"/>
      <c r="E16" s="502"/>
      <c r="F16" s="502"/>
      <c r="G16" s="502"/>
      <c r="H16" s="502"/>
      <c r="I16" s="502"/>
      <c r="J16" s="502"/>
    </row>
  </sheetData>
  <mergeCells count="9">
    <mergeCell ref="H10:I10"/>
    <mergeCell ref="B11:C11"/>
    <mergeCell ref="H11:I11"/>
    <mergeCell ref="D16:J16"/>
    <mergeCell ref="B3:I3"/>
    <mergeCell ref="B5:I5"/>
    <mergeCell ref="B6:I6"/>
    <mergeCell ref="B7:C7"/>
    <mergeCell ref="D7:I7"/>
  </mergeCells>
  <phoneticPr fontId="53" type="noConversion"/>
  <pageMargins left="0.69930555555555596" right="0.69930555555555596"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dimension ref="A1:H23"/>
  <sheetViews>
    <sheetView tabSelected="1" zoomScale="70" zoomScaleNormal="70" workbookViewId="0">
      <selection activeCell="C13" sqref="C13"/>
    </sheetView>
  </sheetViews>
  <sheetFormatPr defaultColWidth="9" defaultRowHeight="14"/>
  <cols>
    <col min="1" max="1" width="4.7265625" customWidth="1"/>
    <col min="2" max="2" width="86.7265625" customWidth="1"/>
    <col min="3" max="3" width="29.36328125" customWidth="1"/>
    <col min="4" max="7" width="10.36328125" customWidth="1"/>
    <col min="8" max="8" width="4.7265625" customWidth="1"/>
  </cols>
  <sheetData>
    <row r="1" spans="1:8" s="252" customFormat="1">
      <c r="A1" s="251" t="s">
        <v>247</v>
      </c>
      <c r="B1" s="251" t="s">
        <v>248</v>
      </c>
      <c r="C1" s="251" t="s">
        <v>249</v>
      </c>
      <c r="D1" s="251" t="s">
        <v>250</v>
      </c>
      <c r="E1" s="251" t="s">
        <v>1832</v>
      </c>
      <c r="F1" s="251" t="s">
        <v>251</v>
      </c>
      <c r="G1" s="251" t="s">
        <v>252</v>
      </c>
      <c r="H1" s="251" t="s">
        <v>253</v>
      </c>
    </row>
    <row r="2" spans="1:8" s="83" customFormat="1">
      <c r="A2" s="241" t="s">
        <v>254</v>
      </c>
      <c r="B2" s="242" t="s">
        <v>3960</v>
      </c>
      <c r="C2" s="243" t="s">
        <v>255</v>
      </c>
      <c r="D2" s="244">
        <f>COUNTIF(SA!$E:$E,"A")</f>
        <v>83</v>
      </c>
      <c r="E2" s="244">
        <f>COUNTIF(SA!$E:$E,"B")</f>
        <v>2</v>
      </c>
      <c r="F2" s="244">
        <f>COUNTIF(SA!$E:$E,"CA")</f>
        <v>0</v>
      </c>
      <c r="G2" s="244">
        <f>COUNTIF(SA!$E:$E,"CB")</f>
        <v>0</v>
      </c>
      <c r="H2" s="244">
        <f t="shared" ref="H2:H22" si="0">SUM($D2:$G2)</f>
        <v>85</v>
      </c>
    </row>
    <row r="3" spans="1:8" s="83" customFormat="1">
      <c r="A3" s="241" t="s">
        <v>256</v>
      </c>
      <c r="B3" s="242" t="s">
        <v>257</v>
      </c>
      <c r="C3" s="243" t="s">
        <v>258</v>
      </c>
      <c r="D3" s="244">
        <f>COUNTIF(SB!$E:$E,"A")</f>
        <v>3</v>
      </c>
      <c r="E3" s="244">
        <f>COUNTIF(SB!$E:$E,"B")</f>
        <v>0</v>
      </c>
      <c r="F3" s="244">
        <f>COUNTIF(SB!$E:$E,"CA")</f>
        <v>0</v>
      </c>
      <c r="G3" s="244">
        <f>COUNTIF(SB!$E:$E,"CB")</f>
        <v>2</v>
      </c>
      <c r="H3" s="244">
        <f t="shared" si="0"/>
        <v>5</v>
      </c>
    </row>
    <row r="4" spans="1:8" s="83" customFormat="1">
      <c r="A4" s="241" t="s">
        <v>259</v>
      </c>
      <c r="B4" s="242" t="s">
        <v>260</v>
      </c>
      <c r="C4" s="243" t="s">
        <v>261</v>
      </c>
      <c r="D4" s="244">
        <f>COUNTIF(SC!$E:$E,"A")</f>
        <v>12</v>
      </c>
      <c r="E4" s="244">
        <f>COUNTIF(SC!$E:$E,"B")</f>
        <v>0</v>
      </c>
      <c r="F4" s="244">
        <f>COUNTIF(SC!$E:$E,"CA")</f>
        <v>0</v>
      </c>
      <c r="G4" s="244">
        <f>COUNTIF(SC!$E:$E,"CB")</f>
        <v>7</v>
      </c>
      <c r="H4" s="244">
        <f t="shared" si="0"/>
        <v>19</v>
      </c>
    </row>
    <row r="5" spans="1:8" s="83" customFormat="1">
      <c r="A5" s="241" t="s">
        <v>262</v>
      </c>
      <c r="B5" s="242" t="s">
        <v>263</v>
      </c>
      <c r="C5" s="243" t="s">
        <v>264</v>
      </c>
      <c r="D5" s="244">
        <f>COUNTIF(SD!$E:$E,"A")</f>
        <v>55</v>
      </c>
      <c r="E5" s="244">
        <f>COUNTIF(SD!$E:$E,"B")</f>
        <v>0</v>
      </c>
      <c r="F5" s="244">
        <f>COUNTIF(SD!$E:$E,"CA")</f>
        <v>0</v>
      </c>
      <c r="G5" s="244">
        <f>COUNTIF(SD!$E:$E,"CB")</f>
        <v>0</v>
      </c>
      <c r="H5" s="244">
        <f t="shared" si="0"/>
        <v>55</v>
      </c>
    </row>
    <row r="6" spans="1:8" s="83" customFormat="1">
      <c r="A6" s="241" t="s">
        <v>265</v>
      </c>
      <c r="B6" s="242" t="s">
        <v>266</v>
      </c>
      <c r="C6" s="243" t="s">
        <v>267</v>
      </c>
      <c r="D6" s="244">
        <f>COUNTIF(SE!$E:$E,"A")</f>
        <v>6</v>
      </c>
      <c r="E6" s="244">
        <f>COUNTIF(SE!$E:$E,"B")</f>
        <v>0</v>
      </c>
      <c r="F6" s="244">
        <f>COUNTIF(SE!$E:$E,"CA")</f>
        <v>0</v>
      </c>
      <c r="G6" s="244">
        <f>COUNTIF(SE!$E:$E,"CB")</f>
        <v>0</v>
      </c>
      <c r="H6" s="244">
        <f t="shared" si="0"/>
        <v>6</v>
      </c>
    </row>
    <row r="7" spans="1:8" s="247" customFormat="1">
      <c r="A7" s="241" t="s">
        <v>268</v>
      </c>
      <c r="B7" s="245" t="s">
        <v>269</v>
      </c>
      <c r="C7" s="246" t="s">
        <v>270</v>
      </c>
      <c r="D7" s="241">
        <v>18</v>
      </c>
      <c r="E7" s="241">
        <v>0</v>
      </c>
      <c r="F7" s="241">
        <v>0</v>
      </c>
      <c r="G7" s="241">
        <v>0</v>
      </c>
      <c r="H7" s="241">
        <v>18</v>
      </c>
    </row>
    <row r="8" spans="1:8" s="83" customFormat="1">
      <c r="A8" s="241" t="s">
        <v>1846</v>
      </c>
      <c r="B8" s="242" t="s">
        <v>1835</v>
      </c>
      <c r="C8" s="243" t="s">
        <v>278</v>
      </c>
      <c r="D8" s="244">
        <f>COUNTIF(SG!$E:$E,"A")</f>
        <v>19</v>
      </c>
      <c r="E8" s="244">
        <f>COUNTIF(SG!$E:$E,"B")</f>
        <v>0</v>
      </c>
      <c r="F8" s="244">
        <f>COUNTIF(SG!$E:$E,"CA")</f>
        <v>0</v>
      </c>
      <c r="G8" s="244">
        <f>COUNTIF(SG!$E:$E,"CB")</f>
        <v>18</v>
      </c>
      <c r="H8" s="244">
        <f t="shared" si="0"/>
        <v>37</v>
      </c>
    </row>
    <row r="9" spans="1:8" s="83" customFormat="1">
      <c r="A9" s="241" t="s">
        <v>1847</v>
      </c>
      <c r="B9" s="242" t="s">
        <v>1823</v>
      </c>
      <c r="C9" s="248" t="s">
        <v>1824</v>
      </c>
      <c r="D9" s="244">
        <v>0</v>
      </c>
      <c r="E9" s="244">
        <v>0</v>
      </c>
      <c r="F9" s="244">
        <v>0</v>
      </c>
      <c r="G9" s="244">
        <v>36</v>
      </c>
      <c r="H9" s="244">
        <v>36</v>
      </c>
    </row>
    <row r="10" spans="1:8" s="247" customFormat="1">
      <c r="A10" s="241" t="s">
        <v>1848</v>
      </c>
      <c r="B10" s="245" t="s">
        <v>271</v>
      </c>
      <c r="C10" s="246" t="s">
        <v>272</v>
      </c>
      <c r="D10" s="241">
        <v>1</v>
      </c>
      <c r="E10" s="241">
        <v>0</v>
      </c>
      <c r="F10" s="241">
        <v>0</v>
      </c>
      <c r="G10" s="241">
        <v>0</v>
      </c>
      <c r="H10" s="241">
        <v>1</v>
      </c>
    </row>
    <row r="11" spans="1:8" s="83" customFormat="1">
      <c r="A11" s="249" t="s">
        <v>1849</v>
      </c>
      <c r="B11" s="242" t="s">
        <v>2491</v>
      </c>
      <c r="C11" s="243" t="s">
        <v>273</v>
      </c>
      <c r="D11" s="244">
        <f>COUNTIF(SJ!$E:$E,"A")</f>
        <v>48</v>
      </c>
      <c r="E11" s="244">
        <f>COUNTIF(SJ!$E:$E,"B")</f>
        <v>9</v>
      </c>
      <c r="F11" s="244">
        <f>COUNTIF(SJ!$E:$E,"CA")</f>
        <v>5</v>
      </c>
      <c r="G11" s="244">
        <f>COUNTIF(SJ!$E:$E,"CB")</f>
        <v>2</v>
      </c>
      <c r="H11" s="244">
        <f t="shared" si="0"/>
        <v>64</v>
      </c>
    </row>
    <row r="12" spans="1:8" s="83" customFormat="1">
      <c r="A12" s="241" t="s">
        <v>1850</v>
      </c>
      <c r="B12" s="242" t="s">
        <v>2518</v>
      </c>
      <c r="C12" s="243" t="s">
        <v>275</v>
      </c>
      <c r="D12" s="244">
        <f>COUNTIF(SK!$E:$E,"A")</f>
        <v>123</v>
      </c>
      <c r="E12" s="244">
        <f>COUNTIF(SK!$E:$E,"B")</f>
        <v>10</v>
      </c>
      <c r="F12" s="244">
        <f>COUNTIF(SK!$E:$E,"CA")</f>
        <v>4</v>
      </c>
      <c r="G12" s="244">
        <f>COUNTIF(SK!$E:$E,"CB")</f>
        <v>5</v>
      </c>
      <c r="H12" s="244">
        <f t="shared" si="0"/>
        <v>142</v>
      </c>
    </row>
    <row r="13" spans="1:8" s="83" customFormat="1">
      <c r="A13" s="241" t="s">
        <v>1851</v>
      </c>
      <c r="B13" s="242" t="s">
        <v>2540</v>
      </c>
      <c r="C13" s="243" t="s">
        <v>276</v>
      </c>
      <c r="D13" s="244">
        <f>COUNTIF(SL!$E:$E,"A")</f>
        <v>28</v>
      </c>
      <c r="E13" s="244">
        <f>COUNTIF(SL!$E:$E,"B")</f>
        <v>1</v>
      </c>
      <c r="F13" s="244">
        <f>COUNTIF(SL!$E:$E,"CA")</f>
        <v>0</v>
      </c>
      <c r="G13" s="244">
        <f>COUNTIF(SL!$E:$E,"CB")</f>
        <v>0</v>
      </c>
      <c r="H13" s="244">
        <f t="shared" si="0"/>
        <v>29</v>
      </c>
    </row>
    <row r="14" spans="1:8" s="83" customFormat="1">
      <c r="A14" s="241" t="s">
        <v>1852</v>
      </c>
      <c r="B14" s="242" t="s">
        <v>2492</v>
      </c>
      <c r="C14" s="243" t="s">
        <v>277</v>
      </c>
      <c r="D14" s="244">
        <f>COUNTIF(SM!$E:$E,"A")</f>
        <v>207</v>
      </c>
      <c r="E14" s="244">
        <f>COUNTIF(SM!$E:$E,"B")</f>
        <v>65</v>
      </c>
      <c r="F14" s="244">
        <f>COUNTIF(SM!$E:$E,"CA")</f>
        <v>59</v>
      </c>
      <c r="G14" s="244">
        <f>COUNTIF(SM!$E:$E,"CB")</f>
        <v>13</v>
      </c>
      <c r="H14" s="244">
        <f t="shared" si="0"/>
        <v>344</v>
      </c>
    </row>
    <row r="15" spans="1:8" s="83" customFormat="1">
      <c r="A15" s="249" t="s">
        <v>1853</v>
      </c>
      <c r="B15" s="242" t="s">
        <v>2490</v>
      </c>
      <c r="C15" s="243" t="s">
        <v>274</v>
      </c>
      <c r="D15" s="244">
        <f>COUNTIF(SN!$E:$E,"A")</f>
        <v>9</v>
      </c>
      <c r="E15" s="244">
        <f>COUNTIF(SN!$E:$E,"B")</f>
        <v>0</v>
      </c>
      <c r="F15" s="244">
        <f>COUNTIF(SN!$E:$E,"CA")</f>
        <v>0</v>
      </c>
      <c r="G15" s="244">
        <f>COUNTIF(SN!$E:$E,"CB")</f>
        <v>0</v>
      </c>
      <c r="H15" s="244">
        <f t="shared" si="0"/>
        <v>9</v>
      </c>
    </row>
    <row r="16" spans="1:8" s="83" customFormat="1">
      <c r="A16" s="250" t="s">
        <v>1825</v>
      </c>
      <c r="B16" s="242" t="s">
        <v>279</v>
      </c>
      <c r="C16" s="243" t="s">
        <v>280</v>
      </c>
      <c r="D16" s="244">
        <f>COUNTIF(SO!$E:$E,"A")</f>
        <v>31</v>
      </c>
      <c r="E16" s="244">
        <f>COUNTIF(SO!$E:$E,"B")</f>
        <v>6</v>
      </c>
      <c r="F16" s="244">
        <f>COUNTIF(SO!$E:$E,"CA")</f>
        <v>0</v>
      </c>
      <c r="G16" s="244">
        <f>COUNTIF(SO!$E:$E,"CB")</f>
        <v>0</v>
      </c>
      <c r="H16" s="244">
        <f t="shared" si="0"/>
        <v>37</v>
      </c>
    </row>
    <row r="17" spans="1:8" s="83" customFormat="1">
      <c r="A17" s="249" t="s">
        <v>1826</v>
      </c>
      <c r="B17" s="242" t="s">
        <v>281</v>
      </c>
      <c r="C17" s="243" t="s">
        <v>282</v>
      </c>
      <c r="D17" s="244">
        <f>COUNTIF(SP!$E:$E,"A")</f>
        <v>5</v>
      </c>
      <c r="E17" s="244">
        <f>COUNTIF(SP!$E:$E,"B")</f>
        <v>0</v>
      </c>
      <c r="F17" s="244">
        <f>COUNTIF(SP!$E:$E,"CA")</f>
        <v>3</v>
      </c>
      <c r="G17" s="244">
        <f>COUNTIF(SP!$E:$E,"CB")</f>
        <v>0</v>
      </c>
      <c r="H17" s="244">
        <f t="shared" si="0"/>
        <v>8</v>
      </c>
    </row>
    <row r="18" spans="1:8" s="83" customFormat="1">
      <c r="A18" s="249" t="s">
        <v>1827</v>
      </c>
      <c r="B18" s="242" t="s">
        <v>2734</v>
      </c>
      <c r="C18" s="243" t="s">
        <v>283</v>
      </c>
      <c r="D18" s="244">
        <v>0</v>
      </c>
      <c r="E18" s="244">
        <f>COUNTIF(SQ!$E:$E,"B")</f>
        <v>0</v>
      </c>
      <c r="F18" s="244">
        <f>COUNTIF(SQ!$E:$E,"CA")</f>
        <v>0</v>
      </c>
      <c r="G18" s="244">
        <f>COUNTIF(SQ!$E:$E,"CB")</f>
        <v>3</v>
      </c>
      <c r="H18" s="244">
        <f t="shared" si="0"/>
        <v>3</v>
      </c>
    </row>
    <row r="19" spans="1:8" s="83" customFormat="1">
      <c r="A19" s="241" t="s">
        <v>1828</v>
      </c>
      <c r="B19" s="242" t="s">
        <v>2517</v>
      </c>
      <c r="C19" s="243" t="s">
        <v>284</v>
      </c>
      <c r="D19" s="244">
        <f>COUNTIF(SR!$E:$E,"A")</f>
        <v>1</v>
      </c>
      <c r="E19" s="244">
        <f>COUNTIF(SR!$E:$E,"B")</f>
        <v>14</v>
      </c>
      <c r="F19" s="244">
        <f>COUNTIF(SR!$E:$E,"CA")</f>
        <v>0</v>
      </c>
      <c r="G19" s="244">
        <f>COUNTIF(SR!$E:$E,"CB")</f>
        <v>0</v>
      </c>
      <c r="H19" s="244">
        <f t="shared" si="0"/>
        <v>15</v>
      </c>
    </row>
    <row r="20" spans="1:8" s="83" customFormat="1">
      <c r="A20" s="249" t="s">
        <v>1829</v>
      </c>
      <c r="B20" s="242" t="s">
        <v>2522</v>
      </c>
      <c r="C20" s="243" t="s">
        <v>285</v>
      </c>
      <c r="D20" s="244">
        <f>COUNTIF(SS!$E:$E,"A")</f>
        <v>10</v>
      </c>
      <c r="E20" s="244">
        <f>COUNTIF(SS!$E:$E,"B")</f>
        <v>0</v>
      </c>
      <c r="F20" s="244">
        <f>COUNTIF(SS!$E:$E,"CA")</f>
        <v>0</v>
      </c>
      <c r="G20" s="244">
        <f>COUNTIF(SS!$E:$E,"CB")</f>
        <v>0</v>
      </c>
      <c r="H20" s="244">
        <f t="shared" si="0"/>
        <v>10</v>
      </c>
    </row>
    <row r="21" spans="1:8" s="83" customFormat="1">
      <c r="A21" s="249" t="s">
        <v>1854</v>
      </c>
      <c r="B21" s="242" t="s">
        <v>1830</v>
      </c>
      <c r="C21" s="242" t="s">
        <v>1831</v>
      </c>
      <c r="D21" s="244">
        <v>148</v>
      </c>
      <c r="E21" s="244">
        <f>COUNTIF(SH!$E:$E,"B")</f>
        <v>0</v>
      </c>
      <c r="F21" s="244">
        <v>0</v>
      </c>
      <c r="G21" s="244">
        <f>COUNTIF(SS!$E:$E,"CB")</f>
        <v>0</v>
      </c>
      <c r="H21" s="244">
        <f t="shared" si="0"/>
        <v>148</v>
      </c>
    </row>
    <row r="22" spans="1:8">
      <c r="A22" s="511" t="s">
        <v>286</v>
      </c>
      <c r="B22" s="512"/>
      <c r="C22" s="512"/>
      <c r="D22" s="614">
        <f>SUM(D2:D21)</f>
        <v>807</v>
      </c>
      <c r="E22" s="161">
        <f>SUM(E2:E21)</f>
        <v>107</v>
      </c>
      <c r="F22" s="614">
        <f>SUM(F2:F21)</f>
        <v>71</v>
      </c>
      <c r="G22" s="614">
        <f>SUM(G2:G21)</f>
        <v>86</v>
      </c>
      <c r="H22" s="614">
        <f t="shared" si="0"/>
        <v>1071</v>
      </c>
    </row>
    <row r="23" spans="1:8" ht="338">
      <c r="A23" s="218"/>
      <c r="B23" s="217" t="s">
        <v>4236</v>
      </c>
    </row>
  </sheetData>
  <mergeCells count="1">
    <mergeCell ref="A22:C22"/>
  </mergeCells>
  <phoneticPr fontId="53" type="noConversion"/>
  <pageMargins left="0.69930555555555596" right="0.69930555555555596"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dimension ref="A1:L86"/>
  <sheetViews>
    <sheetView zoomScale="70" zoomScaleNormal="70" workbookViewId="0">
      <pane xSplit="1" ySplit="1" topLeftCell="D47" activePane="bottomRight" state="frozen"/>
      <selection pane="topRight"/>
      <selection pane="bottomLeft"/>
      <selection pane="bottomRight" activeCell="G14" sqref="G14"/>
    </sheetView>
  </sheetViews>
  <sheetFormatPr defaultColWidth="48.08984375" defaultRowHeight="14.5"/>
  <cols>
    <col min="1" max="1" width="13.08984375" style="278" customWidth="1"/>
    <col min="2" max="2" width="73.6328125" style="279" customWidth="1"/>
    <col min="3" max="3" width="21.36328125" style="280" customWidth="1"/>
    <col min="4" max="4" width="10.453125" style="276" customWidth="1"/>
    <col min="5" max="5" width="6.36328125" style="276" customWidth="1"/>
    <col min="6" max="6" width="9.08984375" style="276" customWidth="1"/>
    <col min="7" max="7" width="17.26953125" style="279" customWidth="1"/>
    <col min="8" max="8" width="11.36328125" style="276" customWidth="1"/>
    <col min="9" max="9" width="10.453125" style="276" customWidth="1"/>
    <col min="10" max="10" width="31" style="276" customWidth="1"/>
    <col min="11" max="11" width="31.36328125" style="276" customWidth="1"/>
    <col min="12" max="16384" width="48.08984375" style="274"/>
  </cols>
  <sheetData>
    <row r="1" spans="1:12" s="272" customFormat="1" ht="13">
      <c r="A1" s="40" t="s">
        <v>287</v>
      </c>
      <c r="B1" s="40" t="s">
        <v>288</v>
      </c>
      <c r="C1" s="150" t="s">
        <v>289</v>
      </c>
      <c r="D1" s="40" t="s">
        <v>290</v>
      </c>
      <c r="E1" s="40" t="s">
        <v>291</v>
      </c>
      <c r="F1" s="40" t="s">
        <v>292</v>
      </c>
      <c r="G1" s="85" t="s">
        <v>293</v>
      </c>
      <c r="H1" s="40" t="s">
        <v>8</v>
      </c>
      <c r="I1" s="40" t="s">
        <v>6</v>
      </c>
      <c r="J1" s="40" t="s">
        <v>294</v>
      </c>
      <c r="K1" s="40" t="s">
        <v>241</v>
      </c>
      <c r="L1" s="40" t="s">
        <v>295</v>
      </c>
    </row>
    <row r="2" spans="1:12" s="428" customFormat="1" ht="96">
      <c r="A2" s="514" t="s">
        <v>296</v>
      </c>
      <c r="B2" s="428" t="s">
        <v>4140</v>
      </c>
      <c r="C2" s="428" t="s">
        <v>3963</v>
      </c>
      <c r="D2" s="468" t="s">
        <v>3961</v>
      </c>
      <c r="E2" s="468" t="s">
        <v>1858</v>
      </c>
      <c r="F2" s="468" t="s">
        <v>3624</v>
      </c>
      <c r="G2" s="476" t="s">
        <v>3962</v>
      </c>
      <c r="H2" s="468" t="s">
        <v>2405</v>
      </c>
      <c r="I2" s="468" t="s">
        <v>2469</v>
      </c>
      <c r="J2" s="428" t="s">
        <v>4040</v>
      </c>
      <c r="K2" s="428" t="s">
        <v>4184</v>
      </c>
    </row>
    <row r="3" spans="1:12" s="472" customFormat="1" ht="24">
      <c r="A3" s="517"/>
      <c r="B3" s="428" t="s">
        <v>3967</v>
      </c>
      <c r="C3" s="428" t="s">
        <v>3968</v>
      </c>
      <c r="D3" s="468" t="s">
        <v>3969</v>
      </c>
      <c r="E3" s="468" t="s">
        <v>1858</v>
      </c>
      <c r="F3" s="468" t="s">
        <v>2390</v>
      </c>
      <c r="G3" s="468" t="s">
        <v>2390</v>
      </c>
      <c r="H3" s="468" t="s">
        <v>2405</v>
      </c>
      <c r="I3" s="468" t="s">
        <v>2469</v>
      </c>
      <c r="J3" s="476" t="s">
        <v>4041</v>
      </c>
      <c r="K3" s="428" t="s">
        <v>3970</v>
      </c>
      <c r="L3" s="428"/>
    </row>
    <row r="4" spans="1:12" ht="12" customHeight="1">
      <c r="A4" s="515"/>
      <c r="B4" s="428" t="s">
        <v>3296</v>
      </c>
      <c r="C4" s="151" t="s">
        <v>297</v>
      </c>
      <c r="D4" s="468" t="s">
        <v>298</v>
      </c>
      <c r="E4" s="215" t="s">
        <v>299</v>
      </c>
      <c r="F4" s="438" t="s">
        <v>2793</v>
      </c>
      <c r="G4" s="438" t="s">
        <v>2793</v>
      </c>
      <c r="H4" s="215" t="s">
        <v>57</v>
      </c>
      <c r="I4" s="215" t="s">
        <v>301</v>
      </c>
      <c r="J4" s="215" t="s">
        <v>302</v>
      </c>
      <c r="K4" s="215" t="s">
        <v>303</v>
      </c>
      <c r="L4" s="147"/>
    </row>
    <row r="5" spans="1:12" ht="24">
      <c r="A5" s="515"/>
      <c r="B5" s="428" t="s">
        <v>3228</v>
      </c>
      <c r="C5" s="151" t="s">
        <v>3613</v>
      </c>
      <c r="D5" s="468" t="s">
        <v>305</v>
      </c>
      <c r="E5" s="215" t="s">
        <v>299</v>
      </c>
      <c r="F5" s="438" t="s">
        <v>2793</v>
      </c>
      <c r="G5" s="438" t="s">
        <v>2793</v>
      </c>
      <c r="H5" s="215" t="s">
        <v>57</v>
      </c>
      <c r="I5" s="215" t="s">
        <v>306</v>
      </c>
      <c r="J5" s="215" t="s">
        <v>302</v>
      </c>
      <c r="K5" s="215" t="s">
        <v>303</v>
      </c>
      <c r="L5" s="147"/>
    </row>
    <row r="6" spans="1:12" ht="24">
      <c r="A6" s="515"/>
      <c r="B6" s="428" t="s">
        <v>2523</v>
      </c>
      <c r="C6" s="151" t="s">
        <v>307</v>
      </c>
      <c r="D6" s="468" t="s">
        <v>308</v>
      </c>
      <c r="E6" s="215" t="s">
        <v>299</v>
      </c>
      <c r="F6" s="438" t="s">
        <v>3334</v>
      </c>
      <c r="G6" s="435" t="s">
        <v>309</v>
      </c>
      <c r="H6" s="215" t="s">
        <v>57</v>
      </c>
      <c r="I6" s="215" t="s">
        <v>310</v>
      </c>
      <c r="J6" s="215" t="s">
        <v>302</v>
      </c>
      <c r="K6" s="215" t="s">
        <v>303</v>
      </c>
      <c r="L6" s="147"/>
    </row>
    <row r="7" spans="1:12" s="472" customFormat="1" ht="26">
      <c r="A7" s="515"/>
      <c r="B7" s="428" t="s">
        <v>4188</v>
      </c>
      <c r="C7" s="428" t="s">
        <v>4161</v>
      </c>
      <c r="D7" s="147" t="s">
        <v>4163</v>
      </c>
      <c r="E7" s="489" t="s">
        <v>1858</v>
      </c>
      <c r="F7" s="489" t="s">
        <v>4165</v>
      </c>
      <c r="G7" s="428" t="s">
        <v>4161</v>
      </c>
      <c r="H7" s="489" t="s">
        <v>2464</v>
      </c>
      <c r="I7" s="489" t="s">
        <v>2469</v>
      </c>
      <c r="J7" s="147" t="s">
        <v>4167</v>
      </c>
      <c r="K7" s="428" t="s">
        <v>4169</v>
      </c>
      <c r="L7" s="428"/>
    </row>
    <row r="8" spans="1:12" s="472" customFormat="1" ht="26">
      <c r="A8" s="515"/>
      <c r="B8" s="428" t="s">
        <v>4187</v>
      </c>
      <c r="C8" s="428" t="s">
        <v>4162</v>
      </c>
      <c r="D8" s="147" t="s">
        <v>4164</v>
      </c>
      <c r="E8" s="489" t="s">
        <v>1858</v>
      </c>
      <c r="F8" s="489" t="s">
        <v>4165</v>
      </c>
      <c r="G8" s="428" t="s">
        <v>4162</v>
      </c>
      <c r="H8" s="489" t="s">
        <v>2464</v>
      </c>
      <c r="I8" s="489" t="s">
        <v>2469</v>
      </c>
      <c r="J8" s="147" t="s">
        <v>4168</v>
      </c>
      <c r="K8" s="428" t="s">
        <v>4169</v>
      </c>
      <c r="L8" s="428"/>
    </row>
    <row r="9" spans="1:12" ht="24">
      <c r="A9" s="515"/>
      <c r="B9" s="428" t="s">
        <v>4004</v>
      </c>
      <c r="C9" s="151" t="s">
        <v>2735</v>
      </c>
      <c r="D9" s="468" t="s">
        <v>312</v>
      </c>
      <c r="E9" s="215" t="s">
        <v>299</v>
      </c>
      <c r="F9" s="438" t="s">
        <v>3335</v>
      </c>
      <c r="G9" s="435" t="s">
        <v>3336</v>
      </c>
      <c r="H9" s="215" t="s">
        <v>57</v>
      </c>
      <c r="I9" s="215" t="s">
        <v>310</v>
      </c>
      <c r="J9" s="465" t="s">
        <v>3609</v>
      </c>
      <c r="K9" s="215" t="s">
        <v>303</v>
      </c>
      <c r="L9" s="147"/>
    </row>
    <row r="10" spans="1:12" ht="24">
      <c r="A10" s="515"/>
      <c r="B10" s="428" t="s">
        <v>2528</v>
      </c>
      <c r="C10" s="151" t="s">
        <v>313</v>
      </c>
      <c r="D10" s="468" t="s">
        <v>314</v>
      </c>
      <c r="E10" s="215" t="s">
        <v>299</v>
      </c>
      <c r="F10" s="438" t="s">
        <v>3334</v>
      </c>
      <c r="G10" s="435" t="s">
        <v>3617</v>
      </c>
      <c r="H10" s="215" t="s">
        <v>57</v>
      </c>
      <c r="I10" s="215" t="s">
        <v>310</v>
      </c>
      <c r="J10" s="215" t="s">
        <v>302</v>
      </c>
      <c r="K10" s="215" t="s">
        <v>303</v>
      </c>
      <c r="L10" s="147"/>
    </row>
    <row r="11" spans="1:12" ht="24">
      <c r="A11" s="515"/>
      <c r="B11" s="428" t="s">
        <v>3616</v>
      </c>
      <c r="C11" s="151" t="s">
        <v>315</v>
      </c>
      <c r="D11" s="468" t="s">
        <v>316</v>
      </c>
      <c r="E11" s="215" t="s">
        <v>299</v>
      </c>
      <c r="F11" s="438" t="s">
        <v>3334</v>
      </c>
      <c r="G11" s="435" t="s">
        <v>3618</v>
      </c>
      <c r="H11" s="215" t="s">
        <v>57</v>
      </c>
      <c r="I11" s="215" t="s">
        <v>310</v>
      </c>
      <c r="J11" s="215" t="s">
        <v>302</v>
      </c>
      <c r="K11" s="215" t="s">
        <v>303</v>
      </c>
      <c r="L11" s="147"/>
    </row>
    <row r="12" spans="1:12" s="275" customFormat="1" ht="13" customHeight="1">
      <c r="A12" s="515"/>
      <c r="B12" s="152" t="s">
        <v>3619</v>
      </c>
      <c r="C12" s="153" t="s">
        <v>317</v>
      </c>
      <c r="D12" s="154" t="s">
        <v>318</v>
      </c>
      <c r="E12" s="154" t="s">
        <v>299</v>
      </c>
      <c r="F12" s="438" t="s">
        <v>3334</v>
      </c>
      <c r="G12" s="435" t="s">
        <v>317</v>
      </c>
      <c r="H12" s="154" t="s">
        <v>57</v>
      </c>
      <c r="I12" s="154" t="s">
        <v>310</v>
      </c>
      <c r="J12" s="154" t="s">
        <v>302</v>
      </c>
      <c r="K12" s="154" t="s">
        <v>319</v>
      </c>
      <c r="L12" s="146"/>
    </row>
    <row r="13" spans="1:12" s="275" customFormat="1" ht="24">
      <c r="A13" s="515"/>
      <c r="B13" s="152" t="s">
        <v>3231</v>
      </c>
      <c r="C13" s="153" t="s">
        <v>320</v>
      </c>
      <c r="D13" s="154" t="s">
        <v>321</v>
      </c>
      <c r="E13" s="154" t="s">
        <v>299</v>
      </c>
      <c r="F13" s="438" t="s">
        <v>2793</v>
      </c>
      <c r="G13" s="438" t="s">
        <v>2793</v>
      </c>
      <c r="H13" s="154" t="s">
        <v>57</v>
      </c>
      <c r="I13" s="154" t="s">
        <v>310</v>
      </c>
      <c r="J13" s="154" t="s">
        <v>302</v>
      </c>
      <c r="K13" s="154" t="s">
        <v>303</v>
      </c>
      <c r="L13" s="146"/>
    </row>
    <row r="14" spans="1:12" s="275" customFormat="1" ht="24">
      <c r="A14" s="515"/>
      <c r="B14" s="152" t="s">
        <v>322</v>
      </c>
      <c r="C14" s="153" t="s">
        <v>323</v>
      </c>
      <c r="D14" s="154" t="s">
        <v>324</v>
      </c>
      <c r="E14" s="154" t="s">
        <v>299</v>
      </c>
      <c r="F14" s="438" t="s">
        <v>2793</v>
      </c>
      <c r="G14" s="438" t="s">
        <v>2793</v>
      </c>
      <c r="H14" s="154" t="s">
        <v>57</v>
      </c>
      <c r="I14" s="154" t="s">
        <v>310</v>
      </c>
      <c r="J14" s="154" t="s">
        <v>302</v>
      </c>
      <c r="K14" s="154" t="s">
        <v>303</v>
      </c>
      <c r="L14" s="146"/>
    </row>
    <row r="15" spans="1:12" ht="24">
      <c r="A15" s="515"/>
      <c r="B15" s="213" t="s">
        <v>325</v>
      </c>
      <c r="C15" s="151" t="s">
        <v>3612</v>
      </c>
      <c r="D15" s="468" t="s">
        <v>327</v>
      </c>
      <c r="E15" s="215" t="s">
        <v>299</v>
      </c>
      <c r="F15" s="438" t="s">
        <v>2793</v>
      </c>
      <c r="G15" s="438" t="s">
        <v>2793</v>
      </c>
      <c r="H15" s="215" t="s">
        <v>57</v>
      </c>
      <c r="I15" s="215" t="s">
        <v>310</v>
      </c>
      <c r="J15" s="215" t="s">
        <v>302</v>
      </c>
      <c r="K15" s="215" t="s">
        <v>303</v>
      </c>
      <c r="L15" s="147"/>
    </row>
    <row r="16" spans="1:12" ht="24">
      <c r="A16" s="515"/>
      <c r="B16" s="332" t="s">
        <v>2524</v>
      </c>
      <c r="C16" s="151" t="s">
        <v>328</v>
      </c>
      <c r="D16" s="468" t="s">
        <v>329</v>
      </c>
      <c r="E16" s="215" t="s">
        <v>299</v>
      </c>
      <c r="F16" s="438" t="s">
        <v>2793</v>
      </c>
      <c r="G16" s="438" t="s">
        <v>2793</v>
      </c>
      <c r="H16" s="215" t="s">
        <v>57</v>
      </c>
      <c r="I16" s="215" t="s">
        <v>310</v>
      </c>
      <c r="J16" s="215" t="s">
        <v>302</v>
      </c>
      <c r="K16" s="215" t="s">
        <v>303</v>
      </c>
      <c r="L16" s="147"/>
    </row>
    <row r="17" spans="1:12" s="273" customFormat="1" ht="57" customHeight="1">
      <c r="A17" s="515"/>
      <c r="B17" s="428" t="s">
        <v>2541</v>
      </c>
      <c r="C17" s="334" t="s">
        <v>352</v>
      </c>
      <c r="D17" s="468" t="s">
        <v>2542</v>
      </c>
      <c r="E17" s="335" t="s">
        <v>299</v>
      </c>
      <c r="F17" s="438" t="s">
        <v>2793</v>
      </c>
      <c r="G17" s="438" t="s">
        <v>2793</v>
      </c>
      <c r="H17" s="335" t="s">
        <v>57</v>
      </c>
      <c r="I17" s="156" t="s">
        <v>2872</v>
      </c>
      <c r="J17" s="333" t="s">
        <v>2512</v>
      </c>
      <c r="K17" s="335" t="s">
        <v>2543</v>
      </c>
      <c r="L17" s="147"/>
    </row>
    <row r="18" spans="1:12" s="14" customFormat="1" ht="30" customHeight="1">
      <c r="A18" s="515"/>
      <c r="B18" s="155" t="s">
        <v>2546</v>
      </c>
      <c r="C18" s="155" t="s">
        <v>373</v>
      </c>
      <c r="D18" s="156" t="s">
        <v>374</v>
      </c>
      <c r="E18" s="156" t="s">
        <v>299</v>
      </c>
      <c r="F18" s="438" t="s">
        <v>2793</v>
      </c>
      <c r="G18" s="438" t="s">
        <v>2793</v>
      </c>
      <c r="H18" s="156" t="s">
        <v>24</v>
      </c>
      <c r="I18" s="156" t="s">
        <v>71</v>
      </c>
      <c r="J18" s="156" t="s">
        <v>375</v>
      </c>
      <c r="K18" s="155"/>
      <c r="L18" s="281"/>
    </row>
    <row r="19" spans="1:12" ht="24">
      <c r="A19" s="515"/>
      <c r="B19" s="213" t="s">
        <v>331</v>
      </c>
      <c r="C19" s="151" t="s">
        <v>332</v>
      </c>
      <c r="D19" s="468" t="s">
        <v>333</v>
      </c>
      <c r="E19" s="215" t="s">
        <v>299</v>
      </c>
      <c r="F19" s="438" t="s">
        <v>2793</v>
      </c>
      <c r="G19" s="438" t="s">
        <v>2793</v>
      </c>
      <c r="H19" s="215" t="s">
        <v>57</v>
      </c>
      <c r="I19" s="215" t="s">
        <v>334</v>
      </c>
      <c r="J19" s="215" t="s">
        <v>302</v>
      </c>
      <c r="K19" s="215" t="s">
        <v>303</v>
      </c>
      <c r="L19" s="147"/>
    </row>
    <row r="20" spans="1:12" ht="24">
      <c r="A20" s="515"/>
      <c r="B20" s="151" t="s">
        <v>335</v>
      </c>
      <c r="C20" s="151" t="s">
        <v>336</v>
      </c>
      <c r="D20" s="468" t="s">
        <v>337</v>
      </c>
      <c r="E20" s="215" t="s">
        <v>299</v>
      </c>
      <c r="F20" s="438" t="s">
        <v>2793</v>
      </c>
      <c r="G20" s="438" t="s">
        <v>2793</v>
      </c>
      <c r="H20" s="215" t="s">
        <v>57</v>
      </c>
      <c r="I20" s="215" t="s">
        <v>338</v>
      </c>
      <c r="J20" s="215" t="s">
        <v>302</v>
      </c>
      <c r="K20" s="215" t="s">
        <v>303</v>
      </c>
      <c r="L20" s="147"/>
    </row>
    <row r="21" spans="1:12" ht="132">
      <c r="A21" s="515"/>
      <c r="B21" s="151" t="s">
        <v>3621</v>
      </c>
      <c r="C21" s="151" t="s">
        <v>3625</v>
      </c>
      <c r="D21" s="468" t="s">
        <v>3623</v>
      </c>
      <c r="E21" s="465" t="s">
        <v>299</v>
      </c>
      <c r="F21" s="465" t="s">
        <v>3624</v>
      </c>
      <c r="G21" s="465" t="s">
        <v>3622</v>
      </c>
      <c r="H21" s="465" t="s">
        <v>3626</v>
      </c>
      <c r="I21" s="465" t="s">
        <v>3650</v>
      </c>
      <c r="J21" s="465" t="s">
        <v>3627</v>
      </c>
      <c r="K21" s="487" t="s">
        <v>4185</v>
      </c>
      <c r="L21" s="147"/>
    </row>
    <row r="22" spans="1:12" s="273" customFormat="1" ht="60">
      <c r="A22" s="515"/>
      <c r="B22" s="155" t="s">
        <v>4177</v>
      </c>
      <c r="C22" s="155" t="s">
        <v>356</v>
      </c>
      <c r="D22" s="156" t="s">
        <v>357</v>
      </c>
      <c r="E22" s="487" t="s">
        <v>299</v>
      </c>
      <c r="F22" s="487" t="s">
        <v>2793</v>
      </c>
      <c r="G22" s="487" t="s">
        <v>2793</v>
      </c>
      <c r="H22" s="156" t="s">
        <v>57</v>
      </c>
      <c r="I22" s="156" t="s">
        <v>358</v>
      </c>
      <c r="J22" s="156" t="s">
        <v>4180</v>
      </c>
      <c r="K22" s="435"/>
      <c r="L22" s="147"/>
    </row>
    <row r="23" spans="1:12" s="273" customFormat="1" ht="13" customHeight="1">
      <c r="A23" s="515"/>
      <c r="B23" s="155" t="s">
        <v>4178</v>
      </c>
      <c r="C23" s="155" t="s">
        <v>2685</v>
      </c>
      <c r="D23" s="156" t="s">
        <v>2686</v>
      </c>
      <c r="E23" s="487" t="s">
        <v>299</v>
      </c>
      <c r="F23" s="487" t="s">
        <v>2793</v>
      </c>
      <c r="G23" s="487" t="s">
        <v>2793</v>
      </c>
      <c r="H23" s="156" t="s">
        <v>2464</v>
      </c>
      <c r="I23" s="156" t="s">
        <v>3141</v>
      </c>
      <c r="J23" s="156" t="s">
        <v>2700</v>
      </c>
      <c r="K23" s="435"/>
      <c r="L23" s="147"/>
    </row>
    <row r="24" spans="1:12" s="273" customFormat="1" ht="24">
      <c r="A24" s="515"/>
      <c r="B24" s="155" t="s">
        <v>4179</v>
      </c>
      <c r="C24" s="155" t="s">
        <v>352</v>
      </c>
      <c r="D24" s="156" t="s">
        <v>361</v>
      </c>
      <c r="E24" s="487" t="s">
        <v>299</v>
      </c>
      <c r="F24" s="487" t="s">
        <v>2793</v>
      </c>
      <c r="G24" s="487" t="s">
        <v>2793</v>
      </c>
      <c r="H24" s="156" t="s">
        <v>57</v>
      </c>
      <c r="I24" s="156" t="s">
        <v>354</v>
      </c>
      <c r="J24" s="156" t="s">
        <v>3590</v>
      </c>
      <c r="K24" s="435"/>
      <c r="L24" s="147"/>
    </row>
    <row r="25" spans="1:12" ht="48">
      <c r="A25" s="515"/>
      <c r="B25" s="151" t="s">
        <v>4189</v>
      </c>
      <c r="C25" s="151" t="s">
        <v>4153</v>
      </c>
      <c r="D25" s="489" t="s">
        <v>4154</v>
      </c>
      <c r="E25" s="489" t="s">
        <v>1858</v>
      </c>
      <c r="F25" s="489" t="s">
        <v>4155</v>
      </c>
      <c r="G25" s="489" t="s">
        <v>4156</v>
      </c>
      <c r="H25" s="489" t="s">
        <v>57</v>
      </c>
      <c r="I25" s="489" t="s">
        <v>338</v>
      </c>
      <c r="J25" s="147" t="s">
        <v>4170</v>
      </c>
      <c r="K25" s="428" t="s">
        <v>4198</v>
      </c>
      <c r="L25" s="147"/>
    </row>
    <row r="26" spans="1:12" ht="26">
      <c r="A26" s="515"/>
      <c r="B26" s="151" t="s">
        <v>4190</v>
      </c>
      <c r="C26" s="151" t="s">
        <v>4158</v>
      </c>
      <c r="D26" s="489" t="s">
        <v>4152</v>
      </c>
      <c r="E26" s="489" t="s">
        <v>1858</v>
      </c>
      <c r="F26" s="489" t="s">
        <v>4155</v>
      </c>
      <c r="G26" s="489" t="s">
        <v>4159</v>
      </c>
      <c r="H26" s="489" t="s">
        <v>57</v>
      </c>
      <c r="I26" s="489" t="s">
        <v>338</v>
      </c>
      <c r="J26" s="147" t="s">
        <v>4171</v>
      </c>
      <c r="K26" s="428" t="s">
        <v>4198</v>
      </c>
      <c r="L26" s="147"/>
    </row>
    <row r="27" spans="1:12" ht="24">
      <c r="A27" s="515"/>
      <c r="B27" s="151" t="s">
        <v>4191</v>
      </c>
      <c r="C27" s="151" t="s">
        <v>4172</v>
      </c>
      <c r="D27" s="489" t="s">
        <v>4173</v>
      </c>
      <c r="E27" s="489" t="s">
        <v>1858</v>
      </c>
      <c r="F27" s="489" t="s">
        <v>4155</v>
      </c>
      <c r="G27" s="489" t="s">
        <v>4172</v>
      </c>
      <c r="H27" s="489" t="s">
        <v>57</v>
      </c>
      <c r="I27" s="489" t="s">
        <v>2469</v>
      </c>
      <c r="J27" s="147" t="s">
        <v>4174</v>
      </c>
      <c r="K27" s="428" t="s">
        <v>4198</v>
      </c>
      <c r="L27" s="147"/>
    </row>
    <row r="28" spans="1:12" ht="65">
      <c r="A28" s="515"/>
      <c r="B28" s="151" t="s">
        <v>4193</v>
      </c>
      <c r="C28" s="151" t="s">
        <v>4192</v>
      </c>
      <c r="D28" s="489" t="s">
        <v>4200</v>
      </c>
      <c r="E28" s="489" t="s">
        <v>4194</v>
      </c>
      <c r="F28" s="489" t="s">
        <v>4195</v>
      </c>
      <c r="G28" s="489" t="s">
        <v>4192</v>
      </c>
      <c r="H28" s="489" t="s">
        <v>4196</v>
      </c>
      <c r="I28" s="489" t="s">
        <v>4197</v>
      </c>
      <c r="J28" s="147" t="s">
        <v>4199</v>
      </c>
      <c r="K28" s="428" t="s">
        <v>4198</v>
      </c>
      <c r="L28" s="147"/>
    </row>
    <row r="29" spans="1:12" s="273" customFormat="1" ht="24">
      <c r="A29" s="515"/>
      <c r="B29" s="151" t="s">
        <v>2561</v>
      </c>
      <c r="C29" s="151" t="s">
        <v>339</v>
      </c>
      <c r="D29" s="468" t="s">
        <v>340</v>
      </c>
      <c r="E29" s="215" t="s">
        <v>299</v>
      </c>
      <c r="F29" s="438" t="s">
        <v>3337</v>
      </c>
      <c r="G29" s="435" t="s">
        <v>339</v>
      </c>
      <c r="H29" s="215" t="s">
        <v>57</v>
      </c>
      <c r="I29" s="215" t="s">
        <v>310</v>
      </c>
      <c r="J29" s="215" t="s">
        <v>341</v>
      </c>
      <c r="K29" s="215"/>
      <c r="L29" s="147"/>
    </row>
    <row r="30" spans="1:12" s="273" customFormat="1" ht="36">
      <c r="A30" s="515"/>
      <c r="B30" s="151" t="s">
        <v>3972</v>
      </c>
      <c r="C30" s="151" t="s">
        <v>342</v>
      </c>
      <c r="D30" s="468" t="s">
        <v>343</v>
      </c>
      <c r="E30" s="215" t="s">
        <v>299</v>
      </c>
      <c r="F30" s="438" t="s">
        <v>3337</v>
      </c>
      <c r="G30" s="435" t="s">
        <v>342</v>
      </c>
      <c r="H30" s="215" t="s">
        <v>57</v>
      </c>
      <c r="I30" s="215" t="s">
        <v>310</v>
      </c>
      <c r="J30" s="215" t="s">
        <v>344</v>
      </c>
      <c r="K30" s="215"/>
      <c r="L30" s="147"/>
    </row>
    <row r="31" spans="1:12" ht="12" customHeight="1">
      <c r="A31" s="515"/>
      <c r="B31" s="357" t="s">
        <v>2736</v>
      </c>
      <c r="C31" s="151" t="s">
        <v>297</v>
      </c>
      <c r="D31" s="468" t="s">
        <v>298</v>
      </c>
      <c r="E31" s="215" t="s">
        <v>299</v>
      </c>
      <c r="F31" s="438" t="s">
        <v>2793</v>
      </c>
      <c r="G31" s="438" t="s">
        <v>2793</v>
      </c>
      <c r="H31" s="215" t="s">
        <v>57</v>
      </c>
      <c r="I31" s="215" t="s">
        <v>301</v>
      </c>
      <c r="J31" s="215" t="s">
        <v>302</v>
      </c>
      <c r="K31" s="215" t="s">
        <v>303</v>
      </c>
      <c r="L31" s="147"/>
    </row>
    <row r="32" spans="1:12" ht="24">
      <c r="A32" s="515"/>
      <c r="B32" s="332" t="s">
        <v>2529</v>
      </c>
      <c r="C32" s="151" t="s">
        <v>304</v>
      </c>
      <c r="D32" s="468" t="s">
        <v>305</v>
      </c>
      <c r="E32" s="215" t="s">
        <v>299</v>
      </c>
      <c r="F32" s="438" t="s">
        <v>2793</v>
      </c>
      <c r="G32" s="438" t="s">
        <v>2793</v>
      </c>
      <c r="H32" s="215" t="s">
        <v>57</v>
      </c>
      <c r="I32" s="215" t="s">
        <v>306</v>
      </c>
      <c r="J32" s="215" t="s">
        <v>302</v>
      </c>
      <c r="K32" s="215" t="s">
        <v>303</v>
      </c>
      <c r="L32" s="147"/>
    </row>
    <row r="33" spans="1:12" ht="13" customHeight="1">
      <c r="A33" s="515"/>
      <c r="B33" s="428" t="s">
        <v>4221</v>
      </c>
      <c r="C33" s="213" t="s">
        <v>307</v>
      </c>
      <c r="D33" s="468" t="s">
        <v>308</v>
      </c>
      <c r="E33" s="215" t="s">
        <v>299</v>
      </c>
      <c r="F33" s="438" t="s">
        <v>2793</v>
      </c>
      <c r="G33" s="438" t="s">
        <v>2793</v>
      </c>
      <c r="H33" s="215" t="s">
        <v>57</v>
      </c>
      <c r="I33" s="215" t="s">
        <v>306</v>
      </c>
      <c r="J33" s="215" t="s">
        <v>302</v>
      </c>
      <c r="K33" s="148"/>
      <c r="L33" s="149"/>
    </row>
    <row r="34" spans="1:12" ht="12" customHeight="1">
      <c r="A34" s="515"/>
      <c r="B34" s="428" t="s">
        <v>4045</v>
      </c>
      <c r="C34" s="360" t="s">
        <v>2821</v>
      </c>
      <c r="D34" s="468" t="s">
        <v>2822</v>
      </c>
      <c r="E34" s="215" t="s">
        <v>299</v>
      </c>
      <c r="F34" s="438" t="s">
        <v>3337</v>
      </c>
      <c r="G34" s="435" t="s">
        <v>311</v>
      </c>
      <c r="H34" s="215" t="s">
        <v>57</v>
      </c>
      <c r="I34" s="215" t="s">
        <v>310</v>
      </c>
      <c r="J34" s="464" t="s">
        <v>2390</v>
      </c>
      <c r="K34" s="148"/>
      <c r="L34" s="149"/>
    </row>
    <row r="35" spans="1:12" ht="12" customHeight="1">
      <c r="A35" s="515"/>
      <c r="B35" s="357" t="s">
        <v>2738</v>
      </c>
      <c r="C35" s="213" t="s">
        <v>313</v>
      </c>
      <c r="D35" s="468" t="s">
        <v>314</v>
      </c>
      <c r="E35" s="215" t="s">
        <v>299</v>
      </c>
      <c r="F35" s="438" t="s">
        <v>2793</v>
      </c>
      <c r="G35" s="438" t="s">
        <v>2793</v>
      </c>
      <c r="H35" s="215" t="s">
        <v>57</v>
      </c>
      <c r="I35" s="215" t="s">
        <v>310</v>
      </c>
      <c r="J35" s="215" t="s">
        <v>302</v>
      </c>
      <c r="K35" s="148"/>
      <c r="L35" s="149"/>
    </row>
    <row r="36" spans="1:12" ht="12" customHeight="1">
      <c r="A36" s="515"/>
      <c r="B36" s="213" t="s">
        <v>345</v>
      </c>
      <c r="C36" s="213" t="s">
        <v>315</v>
      </c>
      <c r="D36" s="468" t="s">
        <v>316</v>
      </c>
      <c r="E36" s="215" t="s">
        <v>299</v>
      </c>
      <c r="F36" s="438" t="s">
        <v>2793</v>
      </c>
      <c r="G36" s="438" t="s">
        <v>2793</v>
      </c>
      <c r="H36" s="215" t="s">
        <v>57</v>
      </c>
      <c r="I36" s="215" t="s">
        <v>310</v>
      </c>
      <c r="J36" s="215" t="s">
        <v>302</v>
      </c>
      <c r="K36" s="148"/>
      <c r="L36" s="149"/>
    </row>
    <row r="37" spans="1:12" ht="24">
      <c r="A37" s="515"/>
      <c r="B37" s="213" t="s">
        <v>346</v>
      </c>
      <c r="C37" s="151" t="s">
        <v>326</v>
      </c>
      <c r="D37" s="468" t="s">
        <v>327</v>
      </c>
      <c r="E37" s="215" t="s">
        <v>299</v>
      </c>
      <c r="F37" s="438" t="s">
        <v>2793</v>
      </c>
      <c r="G37" s="438" t="s">
        <v>2793</v>
      </c>
      <c r="H37" s="215" t="s">
        <v>57</v>
      </c>
      <c r="I37" s="215" t="s">
        <v>310</v>
      </c>
      <c r="J37" s="215" t="s">
        <v>302</v>
      </c>
      <c r="K37" s="215" t="s">
        <v>303</v>
      </c>
      <c r="L37" s="147"/>
    </row>
    <row r="38" spans="1:12" s="273" customFormat="1" ht="100" customHeight="1">
      <c r="A38" s="515"/>
      <c r="B38" s="428" t="s">
        <v>2525</v>
      </c>
      <c r="C38" s="213" t="s">
        <v>330</v>
      </c>
      <c r="D38" s="468" t="s">
        <v>347</v>
      </c>
      <c r="E38" s="215" t="s">
        <v>299</v>
      </c>
      <c r="F38" s="438" t="s">
        <v>3338</v>
      </c>
      <c r="G38" s="435" t="s">
        <v>330</v>
      </c>
      <c r="H38" s="215" t="s">
        <v>57</v>
      </c>
      <c r="I38" s="215" t="s">
        <v>310</v>
      </c>
      <c r="J38" s="435" t="s">
        <v>2396</v>
      </c>
      <c r="K38" s="160"/>
      <c r="L38" s="147"/>
    </row>
    <row r="39" spans="1:12" ht="24">
      <c r="A39" s="515"/>
      <c r="B39" s="357" t="s">
        <v>2739</v>
      </c>
      <c r="C39" s="151" t="s">
        <v>332</v>
      </c>
      <c r="D39" s="468" t="s">
        <v>333</v>
      </c>
      <c r="E39" s="215" t="s">
        <v>299</v>
      </c>
      <c r="F39" s="438" t="s">
        <v>2793</v>
      </c>
      <c r="G39" s="438" t="s">
        <v>2793</v>
      </c>
      <c r="H39" s="215" t="s">
        <v>57</v>
      </c>
      <c r="I39" s="215" t="s">
        <v>334</v>
      </c>
      <c r="J39" s="215" t="s">
        <v>302</v>
      </c>
      <c r="K39" s="215" t="s">
        <v>303</v>
      </c>
      <c r="L39" s="147"/>
    </row>
    <row r="40" spans="1:12" ht="24">
      <c r="A40" s="515"/>
      <c r="B40" s="360" t="s">
        <v>2646</v>
      </c>
      <c r="C40" s="151" t="s">
        <v>2640</v>
      </c>
      <c r="D40" s="468" t="s">
        <v>2641</v>
      </c>
      <c r="E40" s="341" t="s">
        <v>2642</v>
      </c>
      <c r="F40" s="438" t="s">
        <v>2793</v>
      </c>
      <c r="G40" s="438" t="s">
        <v>2793</v>
      </c>
      <c r="H40" s="341" t="s">
        <v>2643</v>
      </c>
      <c r="I40" s="341" t="s">
        <v>2644</v>
      </c>
      <c r="J40" s="341" t="s">
        <v>2645</v>
      </c>
      <c r="K40" s="341"/>
      <c r="L40" s="147"/>
    </row>
    <row r="41" spans="1:12" ht="24">
      <c r="A41" s="515"/>
      <c r="B41" s="357" t="s">
        <v>2737</v>
      </c>
      <c r="C41" s="151" t="s">
        <v>348</v>
      </c>
      <c r="D41" s="468" t="s">
        <v>349</v>
      </c>
      <c r="E41" s="215" t="s">
        <v>299</v>
      </c>
      <c r="F41" s="438" t="s">
        <v>2793</v>
      </c>
      <c r="G41" s="438" t="s">
        <v>2793</v>
      </c>
      <c r="H41" s="215" t="s">
        <v>57</v>
      </c>
      <c r="I41" s="215" t="s">
        <v>350</v>
      </c>
      <c r="J41" s="215" t="s">
        <v>302</v>
      </c>
      <c r="K41" s="215" t="s">
        <v>303</v>
      </c>
      <c r="L41" s="147"/>
    </row>
    <row r="42" spans="1:12" ht="24">
      <c r="A42" s="515"/>
      <c r="B42" s="151" t="s">
        <v>3552</v>
      </c>
      <c r="C42" s="151" t="s">
        <v>3551</v>
      </c>
      <c r="D42" s="468" t="s">
        <v>3553</v>
      </c>
      <c r="E42" s="462" t="s">
        <v>3554</v>
      </c>
      <c r="F42" s="438" t="s">
        <v>2793</v>
      </c>
      <c r="G42" s="438" t="s">
        <v>2793</v>
      </c>
      <c r="H42" s="215" t="s">
        <v>57</v>
      </c>
      <c r="I42" s="215" t="s">
        <v>338</v>
      </c>
      <c r="J42" s="215" t="s">
        <v>302</v>
      </c>
      <c r="K42" s="215" t="s">
        <v>303</v>
      </c>
      <c r="L42" s="147"/>
    </row>
    <row r="43" spans="1:12" s="273" customFormat="1" ht="57" customHeight="1">
      <c r="A43" s="515"/>
      <c r="B43" s="213" t="s">
        <v>351</v>
      </c>
      <c r="C43" s="213" t="s">
        <v>352</v>
      </c>
      <c r="D43" s="468" t="s">
        <v>353</v>
      </c>
      <c r="E43" s="215" t="s">
        <v>299</v>
      </c>
      <c r="F43" s="438" t="s">
        <v>2793</v>
      </c>
      <c r="G43" s="438" t="s">
        <v>2793</v>
      </c>
      <c r="H43" s="215" t="s">
        <v>57</v>
      </c>
      <c r="I43" s="156" t="s">
        <v>354</v>
      </c>
      <c r="J43" s="329" t="s">
        <v>2512</v>
      </c>
      <c r="K43" s="160"/>
      <c r="L43" s="147"/>
    </row>
    <row r="44" spans="1:12" s="14" customFormat="1" ht="30" customHeight="1">
      <c r="A44" s="515"/>
      <c r="B44" s="155" t="s">
        <v>3229</v>
      </c>
      <c r="C44" s="155" t="s">
        <v>373</v>
      </c>
      <c r="D44" s="156" t="s">
        <v>374</v>
      </c>
      <c r="E44" s="156" t="s">
        <v>299</v>
      </c>
      <c r="F44" s="438" t="s">
        <v>2793</v>
      </c>
      <c r="G44" s="438" t="s">
        <v>2793</v>
      </c>
      <c r="H44" s="156" t="s">
        <v>24</v>
      </c>
      <c r="I44" s="156" t="s">
        <v>71</v>
      </c>
      <c r="J44" s="156" t="s">
        <v>375</v>
      </c>
      <c r="K44" s="155"/>
      <c r="L44" s="281"/>
    </row>
    <row r="45" spans="1:12" s="273" customFormat="1" ht="60">
      <c r="A45" s="515"/>
      <c r="B45" s="155" t="s">
        <v>355</v>
      </c>
      <c r="C45" s="155" t="s">
        <v>356</v>
      </c>
      <c r="D45" s="156" t="s">
        <v>357</v>
      </c>
      <c r="E45" s="215" t="s">
        <v>299</v>
      </c>
      <c r="F45" s="438" t="s">
        <v>2793</v>
      </c>
      <c r="G45" s="438" t="s">
        <v>2793</v>
      </c>
      <c r="H45" s="156" t="s">
        <v>57</v>
      </c>
      <c r="I45" s="156" t="s">
        <v>358</v>
      </c>
      <c r="J45" s="156" t="s">
        <v>359</v>
      </c>
      <c r="K45" s="160"/>
      <c r="L45" s="147"/>
    </row>
    <row r="46" spans="1:12" s="273" customFormat="1" ht="13" customHeight="1">
      <c r="A46" s="515"/>
      <c r="B46" s="155" t="s">
        <v>2745</v>
      </c>
      <c r="C46" s="155" t="s">
        <v>2685</v>
      </c>
      <c r="D46" s="156" t="s">
        <v>2686</v>
      </c>
      <c r="E46" s="350" t="s">
        <v>299</v>
      </c>
      <c r="F46" s="438" t="s">
        <v>2793</v>
      </c>
      <c r="G46" s="438" t="s">
        <v>2793</v>
      </c>
      <c r="H46" s="156" t="s">
        <v>2464</v>
      </c>
      <c r="I46" s="156" t="s">
        <v>3141</v>
      </c>
      <c r="J46" s="156" t="s">
        <v>2700</v>
      </c>
      <c r="K46" s="349"/>
      <c r="L46" s="147"/>
    </row>
    <row r="47" spans="1:12" s="273" customFormat="1" ht="24">
      <c r="A47" s="515"/>
      <c r="B47" s="155" t="s">
        <v>360</v>
      </c>
      <c r="C47" s="155" t="s">
        <v>352</v>
      </c>
      <c r="D47" s="156" t="s">
        <v>361</v>
      </c>
      <c r="E47" s="215" t="s">
        <v>299</v>
      </c>
      <c r="F47" s="438" t="s">
        <v>2793</v>
      </c>
      <c r="G47" s="438" t="s">
        <v>2793</v>
      </c>
      <c r="H47" s="156" t="s">
        <v>57</v>
      </c>
      <c r="I47" s="156" t="s">
        <v>354</v>
      </c>
      <c r="J47" s="156" t="s">
        <v>3590</v>
      </c>
      <c r="K47" s="160"/>
      <c r="L47" s="147"/>
    </row>
    <row r="48" spans="1:12" s="428" customFormat="1" ht="96">
      <c r="A48" s="514" t="s">
        <v>3596</v>
      </c>
      <c r="B48" s="428" t="s">
        <v>4150</v>
      </c>
      <c r="C48" s="428" t="s">
        <v>3962</v>
      </c>
      <c r="D48" s="485" t="s">
        <v>3961</v>
      </c>
      <c r="E48" s="485" t="s">
        <v>1858</v>
      </c>
      <c r="F48" s="485" t="s">
        <v>3624</v>
      </c>
      <c r="G48" s="485" t="s">
        <v>3962</v>
      </c>
      <c r="H48" s="485" t="s">
        <v>2405</v>
      </c>
      <c r="I48" s="485" t="s">
        <v>2469</v>
      </c>
      <c r="J48" s="428" t="s">
        <v>4040</v>
      </c>
      <c r="K48" s="428" t="s">
        <v>4184</v>
      </c>
    </row>
    <row r="49" spans="1:12" s="273" customFormat="1" ht="16.5" customHeight="1">
      <c r="A49" s="515"/>
      <c r="B49" s="155" t="s">
        <v>4145</v>
      </c>
      <c r="C49" s="155" t="s">
        <v>362</v>
      </c>
      <c r="D49" s="156" t="s">
        <v>363</v>
      </c>
      <c r="E49" s="215" t="s">
        <v>299</v>
      </c>
      <c r="F49" s="438" t="s">
        <v>2793</v>
      </c>
      <c r="G49" s="438" t="s">
        <v>2793</v>
      </c>
      <c r="H49" s="156" t="s">
        <v>57</v>
      </c>
      <c r="I49" s="156" t="s">
        <v>310</v>
      </c>
      <c r="J49" s="156" t="s">
        <v>3595</v>
      </c>
      <c r="K49" s="160"/>
      <c r="L49" s="147" t="s">
        <v>2706</v>
      </c>
    </row>
    <row r="50" spans="1:12" ht="12" customHeight="1">
      <c r="A50" s="515"/>
      <c r="B50" s="213" t="s">
        <v>364</v>
      </c>
      <c r="C50" s="151" t="s">
        <v>297</v>
      </c>
      <c r="D50" s="468" t="s">
        <v>2729</v>
      </c>
      <c r="E50" s="215" t="s">
        <v>299</v>
      </c>
      <c r="F50" s="438" t="s">
        <v>2793</v>
      </c>
      <c r="G50" s="438" t="s">
        <v>2793</v>
      </c>
      <c r="H50" s="215" t="s">
        <v>57</v>
      </c>
      <c r="I50" s="215" t="s">
        <v>301</v>
      </c>
      <c r="J50" s="215" t="s">
        <v>302</v>
      </c>
      <c r="K50" s="215" t="s">
        <v>303</v>
      </c>
      <c r="L50" s="147"/>
    </row>
    <row r="51" spans="1:12" ht="24">
      <c r="A51" s="515"/>
      <c r="B51" s="213" t="s">
        <v>365</v>
      </c>
      <c r="C51" s="151" t="s">
        <v>304</v>
      </c>
      <c r="D51" s="468" t="s">
        <v>305</v>
      </c>
      <c r="E51" s="215" t="s">
        <v>299</v>
      </c>
      <c r="F51" s="438" t="s">
        <v>2793</v>
      </c>
      <c r="G51" s="438" t="s">
        <v>2793</v>
      </c>
      <c r="H51" s="215" t="s">
        <v>57</v>
      </c>
      <c r="I51" s="215" t="s">
        <v>306</v>
      </c>
      <c r="J51" s="215" t="s">
        <v>302</v>
      </c>
      <c r="K51" s="215" t="s">
        <v>303</v>
      </c>
      <c r="L51" s="147"/>
    </row>
    <row r="52" spans="1:12" ht="13" customHeight="1">
      <c r="A52" s="515"/>
      <c r="B52" s="155" t="s">
        <v>2526</v>
      </c>
      <c r="C52" s="155" t="s">
        <v>307</v>
      </c>
      <c r="D52" s="156" t="s">
        <v>308</v>
      </c>
      <c r="E52" s="215" t="s">
        <v>299</v>
      </c>
      <c r="F52" s="438" t="s">
        <v>2793</v>
      </c>
      <c r="G52" s="438" t="s">
        <v>2793</v>
      </c>
      <c r="H52" s="156" t="s">
        <v>57</v>
      </c>
      <c r="I52" s="156" t="s">
        <v>310</v>
      </c>
      <c r="J52" s="156"/>
      <c r="K52" s="148"/>
      <c r="L52" s="149"/>
    </row>
    <row r="53" spans="1:12" ht="13" customHeight="1">
      <c r="A53" s="515"/>
      <c r="B53" s="155" t="s">
        <v>4146</v>
      </c>
      <c r="C53" s="155" t="s">
        <v>311</v>
      </c>
      <c r="D53" s="156" t="s">
        <v>312</v>
      </c>
      <c r="E53" s="215" t="s">
        <v>299</v>
      </c>
      <c r="F53" s="438" t="s">
        <v>2793</v>
      </c>
      <c r="G53" s="438" t="s">
        <v>2793</v>
      </c>
      <c r="H53" s="156" t="s">
        <v>57</v>
      </c>
      <c r="I53" s="156" t="s">
        <v>310</v>
      </c>
      <c r="J53" s="156" t="s">
        <v>2390</v>
      </c>
      <c r="K53" s="148"/>
      <c r="L53" s="149"/>
    </row>
    <row r="54" spans="1:12" ht="13" customHeight="1">
      <c r="A54" s="515"/>
      <c r="B54" s="155" t="s">
        <v>366</v>
      </c>
      <c r="C54" s="155" t="s">
        <v>313</v>
      </c>
      <c r="D54" s="156" t="s">
        <v>314</v>
      </c>
      <c r="E54" s="215" t="s">
        <v>299</v>
      </c>
      <c r="F54" s="438" t="s">
        <v>2793</v>
      </c>
      <c r="G54" s="438" t="s">
        <v>2793</v>
      </c>
      <c r="H54" s="156" t="s">
        <v>57</v>
      </c>
      <c r="I54" s="156" t="s">
        <v>310</v>
      </c>
      <c r="J54" s="156"/>
      <c r="K54" s="148"/>
      <c r="L54" s="149"/>
    </row>
    <row r="55" spans="1:12" ht="13" customHeight="1">
      <c r="A55" s="515"/>
      <c r="B55" s="155" t="s">
        <v>367</v>
      </c>
      <c r="C55" s="155" t="s">
        <v>315</v>
      </c>
      <c r="D55" s="156" t="s">
        <v>316</v>
      </c>
      <c r="E55" s="215" t="s">
        <v>299</v>
      </c>
      <c r="F55" s="438" t="s">
        <v>2793</v>
      </c>
      <c r="G55" s="438" t="s">
        <v>2793</v>
      </c>
      <c r="H55" s="156" t="s">
        <v>57</v>
      </c>
      <c r="I55" s="156" t="s">
        <v>310</v>
      </c>
      <c r="J55" s="156"/>
      <c r="K55" s="148"/>
      <c r="L55" s="149"/>
    </row>
    <row r="56" spans="1:12" ht="24">
      <c r="A56" s="515"/>
      <c r="B56" s="213" t="s">
        <v>368</v>
      </c>
      <c r="C56" s="151" t="s">
        <v>326</v>
      </c>
      <c r="D56" s="468" t="s">
        <v>327</v>
      </c>
      <c r="E56" s="215" t="s">
        <v>299</v>
      </c>
      <c r="F56" s="438" t="s">
        <v>2793</v>
      </c>
      <c r="G56" s="438" t="s">
        <v>2793</v>
      </c>
      <c r="H56" s="215" t="s">
        <v>57</v>
      </c>
      <c r="I56" s="215" t="s">
        <v>310</v>
      </c>
      <c r="J56" s="215" t="s">
        <v>302</v>
      </c>
      <c r="K56" s="215" t="s">
        <v>303</v>
      </c>
      <c r="L56" s="147"/>
    </row>
    <row r="57" spans="1:12" ht="36">
      <c r="A57" s="515"/>
      <c r="B57" s="155" t="s">
        <v>4237</v>
      </c>
      <c r="C57" s="155" t="s">
        <v>352</v>
      </c>
      <c r="D57" s="156" t="s">
        <v>361</v>
      </c>
      <c r="E57" s="215" t="s">
        <v>299</v>
      </c>
      <c r="F57" s="438" t="s">
        <v>2793</v>
      </c>
      <c r="G57" s="438" t="s">
        <v>2793</v>
      </c>
      <c r="H57" s="156" t="s">
        <v>57</v>
      </c>
      <c r="I57" s="156" t="s">
        <v>354</v>
      </c>
      <c r="J57" s="156" t="s">
        <v>4238</v>
      </c>
      <c r="K57" s="148"/>
      <c r="L57" s="149"/>
    </row>
    <row r="58" spans="1:12" s="14" customFormat="1" ht="30" customHeight="1">
      <c r="A58" s="515"/>
      <c r="B58" s="155" t="s">
        <v>2682</v>
      </c>
      <c r="C58" s="155" t="s">
        <v>2679</v>
      </c>
      <c r="D58" s="156" t="s">
        <v>3345</v>
      </c>
      <c r="E58" s="156" t="s">
        <v>2404</v>
      </c>
      <c r="F58" s="438" t="s">
        <v>2793</v>
      </c>
      <c r="G58" s="438" t="s">
        <v>2793</v>
      </c>
      <c r="H58" s="156" t="s">
        <v>57</v>
      </c>
      <c r="I58" s="156" t="s">
        <v>310</v>
      </c>
      <c r="J58" s="156" t="s">
        <v>2680</v>
      </c>
      <c r="K58" s="155"/>
      <c r="L58" s="281"/>
    </row>
    <row r="59" spans="1:12" s="14" customFormat="1" ht="30" customHeight="1">
      <c r="A59" s="515"/>
      <c r="B59" s="155" t="s">
        <v>1836</v>
      </c>
      <c r="C59" s="155" t="s">
        <v>370</v>
      </c>
      <c r="D59" s="156" t="s">
        <v>371</v>
      </c>
      <c r="E59" s="156" t="s">
        <v>2404</v>
      </c>
      <c r="F59" s="438" t="s">
        <v>2793</v>
      </c>
      <c r="G59" s="438" t="s">
        <v>2793</v>
      </c>
      <c r="H59" s="156" t="s">
        <v>57</v>
      </c>
      <c r="I59" s="156" t="s">
        <v>310</v>
      </c>
      <c r="J59" s="156" t="s">
        <v>2681</v>
      </c>
      <c r="K59" s="155"/>
      <c r="L59" s="281"/>
    </row>
    <row r="60" spans="1:12" s="14" customFormat="1" ht="30" customHeight="1">
      <c r="A60" s="515"/>
      <c r="B60" s="155" t="s">
        <v>372</v>
      </c>
      <c r="C60" s="155" t="s">
        <v>373</v>
      </c>
      <c r="D60" s="156" t="s">
        <v>374</v>
      </c>
      <c r="E60" s="156" t="s">
        <v>299</v>
      </c>
      <c r="F60" s="438" t="s">
        <v>2793</v>
      </c>
      <c r="G60" s="438" t="s">
        <v>2793</v>
      </c>
      <c r="H60" s="156" t="s">
        <v>24</v>
      </c>
      <c r="I60" s="156" t="s">
        <v>71</v>
      </c>
      <c r="J60" s="156" t="s">
        <v>375</v>
      </c>
      <c r="K60" s="155"/>
      <c r="L60" s="281"/>
    </row>
    <row r="61" spans="1:12" s="273" customFormat="1" ht="60">
      <c r="A61" s="515"/>
      <c r="B61" s="155" t="s">
        <v>376</v>
      </c>
      <c r="C61" s="155" t="s">
        <v>356</v>
      </c>
      <c r="D61" s="156" t="s">
        <v>357</v>
      </c>
      <c r="E61" s="215" t="s">
        <v>299</v>
      </c>
      <c r="F61" s="438" t="s">
        <v>2793</v>
      </c>
      <c r="G61" s="438" t="s">
        <v>2793</v>
      </c>
      <c r="H61" s="156" t="s">
        <v>57</v>
      </c>
      <c r="I61" s="156" t="s">
        <v>358</v>
      </c>
      <c r="J61" s="156" t="s">
        <v>2683</v>
      </c>
      <c r="K61" s="160"/>
      <c r="L61" s="147"/>
    </row>
    <row r="62" spans="1:12" s="273" customFormat="1" ht="24">
      <c r="A62" s="515"/>
      <c r="B62" s="155" t="s">
        <v>4239</v>
      </c>
      <c r="C62" s="155" t="s">
        <v>352</v>
      </c>
      <c r="D62" s="156" t="s">
        <v>361</v>
      </c>
      <c r="E62" s="215" t="s">
        <v>299</v>
      </c>
      <c r="F62" s="438" t="s">
        <v>2793</v>
      </c>
      <c r="G62" s="438" t="s">
        <v>2793</v>
      </c>
      <c r="H62" s="156" t="s">
        <v>57</v>
      </c>
      <c r="I62" s="156" t="s">
        <v>354</v>
      </c>
      <c r="J62" s="156" t="s">
        <v>3591</v>
      </c>
      <c r="K62" s="160"/>
      <c r="L62" s="147"/>
    </row>
    <row r="63" spans="1:12" s="273" customFormat="1" ht="13" customHeight="1">
      <c r="A63" s="516"/>
      <c r="B63" s="155" t="s">
        <v>2699</v>
      </c>
      <c r="C63" s="155" t="s">
        <v>2685</v>
      </c>
      <c r="D63" s="156" t="s">
        <v>2686</v>
      </c>
      <c r="E63" s="345" t="s">
        <v>299</v>
      </c>
      <c r="F63" s="438" t="s">
        <v>2793</v>
      </c>
      <c r="G63" s="438" t="s">
        <v>2793</v>
      </c>
      <c r="H63" s="156" t="s">
        <v>2687</v>
      </c>
      <c r="I63" s="156" t="s">
        <v>3141</v>
      </c>
      <c r="J63" s="156" t="s">
        <v>2700</v>
      </c>
      <c r="K63" s="344"/>
      <c r="L63" s="147"/>
    </row>
    <row r="64" spans="1:12" s="428" customFormat="1" ht="96">
      <c r="A64" s="514" t="s">
        <v>3597</v>
      </c>
      <c r="B64" s="428" t="s">
        <v>4151</v>
      </c>
      <c r="C64" s="428" t="s">
        <v>3962</v>
      </c>
      <c r="D64" s="485" t="s">
        <v>3961</v>
      </c>
      <c r="E64" s="485" t="s">
        <v>1858</v>
      </c>
      <c r="F64" s="485" t="s">
        <v>3624</v>
      </c>
      <c r="G64" s="485" t="s">
        <v>3962</v>
      </c>
      <c r="H64" s="485" t="s">
        <v>2405</v>
      </c>
      <c r="I64" s="485" t="s">
        <v>2469</v>
      </c>
      <c r="J64" s="428" t="s">
        <v>4040</v>
      </c>
      <c r="K64" s="428" t="s">
        <v>4184</v>
      </c>
    </row>
    <row r="65" spans="1:12" s="472" customFormat="1" ht="26">
      <c r="A65" s="517"/>
      <c r="B65" s="428" t="s">
        <v>4160</v>
      </c>
      <c r="C65" s="428" t="s">
        <v>4161</v>
      </c>
      <c r="D65" s="147" t="s">
        <v>4163</v>
      </c>
      <c r="E65" s="485" t="s">
        <v>1858</v>
      </c>
      <c r="F65" s="485" t="s">
        <v>4165</v>
      </c>
      <c r="G65" s="428" t="s">
        <v>4161</v>
      </c>
      <c r="H65" s="485" t="s">
        <v>4166</v>
      </c>
      <c r="I65" s="485" t="s">
        <v>2469</v>
      </c>
      <c r="J65" s="147" t="s">
        <v>4167</v>
      </c>
      <c r="K65" s="428" t="s">
        <v>4169</v>
      </c>
      <c r="L65" s="428"/>
    </row>
    <row r="66" spans="1:12" s="472" customFormat="1" ht="26">
      <c r="A66" s="517"/>
      <c r="B66" s="428" t="s">
        <v>4176</v>
      </c>
      <c r="C66" s="428" t="s">
        <v>4162</v>
      </c>
      <c r="D66" s="147" t="s">
        <v>4164</v>
      </c>
      <c r="E66" s="485" t="s">
        <v>1858</v>
      </c>
      <c r="F66" s="485" t="s">
        <v>4165</v>
      </c>
      <c r="G66" s="428" t="s">
        <v>4162</v>
      </c>
      <c r="H66" s="485" t="s">
        <v>4166</v>
      </c>
      <c r="I66" s="485" t="s">
        <v>2469</v>
      </c>
      <c r="J66" s="147" t="s">
        <v>4168</v>
      </c>
      <c r="K66" s="428" t="s">
        <v>4169</v>
      </c>
      <c r="L66" s="428"/>
    </row>
    <row r="67" spans="1:12" s="273" customFormat="1" ht="16.5" customHeight="1">
      <c r="A67" s="515"/>
      <c r="B67" s="155" t="s">
        <v>2707</v>
      </c>
      <c r="C67" s="155" t="s">
        <v>362</v>
      </c>
      <c r="D67" s="156" t="s">
        <v>2746</v>
      </c>
      <c r="E67" s="215" t="s">
        <v>299</v>
      </c>
      <c r="F67" s="438" t="s">
        <v>2793</v>
      </c>
      <c r="G67" s="438" t="s">
        <v>2793</v>
      </c>
      <c r="H67" s="156" t="s">
        <v>57</v>
      </c>
      <c r="I67" s="156" t="s">
        <v>310</v>
      </c>
      <c r="J67" s="156" t="s">
        <v>3594</v>
      </c>
      <c r="K67" s="160"/>
      <c r="L67" s="147" t="s">
        <v>2706</v>
      </c>
    </row>
    <row r="68" spans="1:12" ht="36">
      <c r="A68" s="515"/>
      <c r="B68" s="155" t="s">
        <v>2494</v>
      </c>
      <c r="C68" s="155" t="s">
        <v>352</v>
      </c>
      <c r="D68" s="156" t="s">
        <v>3459</v>
      </c>
      <c r="E68" s="320" t="s">
        <v>299</v>
      </c>
      <c r="F68" s="438" t="s">
        <v>2793</v>
      </c>
      <c r="G68" s="438" t="s">
        <v>2793</v>
      </c>
      <c r="H68" s="156" t="s">
        <v>57</v>
      </c>
      <c r="I68" s="156" t="s">
        <v>4207</v>
      </c>
      <c r="J68" s="156" t="s">
        <v>2512</v>
      </c>
      <c r="K68" s="148"/>
      <c r="L68" s="149"/>
    </row>
    <row r="69" spans="1:12" ht="12" customHeight="1">
      <c r="A69" s="515"/>
      <c r="B69" s="213" t="s">
        <v>377</v>
      </c>
      <c r="C69" s="151" t="s">
        <v>297</v>
      </c>
      <c r="D69" s="468" t="s">
        <v>3460</v>
      </c>
      <c r="E69" s="215" t="s">
        <v>299</v>
      </c>
      <c r="F69" s="438" t="s">
        <v>2793</v>
      </c>
      <c r="G69" s="438" t="s">
        <v>2793</v>
      </c>
      <c r="H69" s="215" t="s">
        <v>57</v>
      </c>
      <c r="I69" s="215" t="s">
        <v>301</v>
      </c>
      <c r="J69" s="215" t="s">
        <v>302</v>
      </c>
      <c r="K69" s="215" t="s">
        <v>303</v>
      </c>
      <c r="L69" s="147"/>
    </row>
    <row r="70" spans="1:12" ht="24">
      <c r="A70" s="515"/>
      <c r="B70" s="213" t="s">
        <v>378</v>
      </c>
      <c r="C70" s="151" t="s">
        <v>304</v>
      </c>
      <c r="D70" s="468" t="s">
        <v>305</v>
      </c>
      <c r="E70" s="215" t="s">
        <v>299</v>
      </c>
      <c r="F70" s="438" t="s">
        <v>2793</v>
      </c>
      <c r="G70" s="438" t="s">
        <v>2793</v>
      </c>
      <c r="H70" s="215" t="s">
        <v>57</v>
      </c>
      <c r="I70" s="215" t="s">
        <v>306</v>
      </c>
      <c r="J70" s="215" t="s">
        <v>302</v>
      </c>
      <c r="K70" s="215" t="s">
        <v>303</v>
      </c>
      <c r="L70" s="147"/>
    </row>
    <row r="71" spans="1:12" ht="12" customHeight="1">
      <c r="A71" s="515"/>
      <c r="B71" s="155" t="s">
        <v>2527</v>
      </c>
      <c r="C71" s="155" t="s">
        <v>307</v>
      </c>
      <c r="D71" s="156" t="s">
        <v>3462</v>
      </c>
      <c r="E71" s="215" t="s">
        <v>299</v>
      </c>
      <c r="F71" s="438" t="s">
        <v>2793</v>
      </c>
      <c r="G71" s="438" t="s">
        <v>2793</v>
      </c>
      <c r="H71" s="156" t="s">
        <v>57</v>
      </c>
      <c r="I71" s="156" t="s">
        <v>310</v>
      </c>
      <c r="J71" s="156"/>
      <c r="K71" s="148"/>
      <c r="L71" s="149"/>
    </row>
    <row r="72" spans="1:12" ht="12" customHeight="1">
      <c r="A72" s="515"/>
      <c r="B72" s="155" t="s">
        <v>4005</v>
      </c>
      <c r="C72" s="155" t="s">
        <v>3549</v>
      </c>
      <c r="D72" s="156" t="s">
        <v>3461</v>
      </c>
      <c r="E72" s="215" t="s">
        <v>299</v>
      </c>
      <c r="F72" s="438" t="s">
        <v>3339</v>
      </c>
      <c r="G72" s="435" t="s">
        <v>3336</v>
      </c>
      <c r="H72" s="156" t="s">
        <v>57</v>
      </c>
      <c r="I72" s="156" t="s">
        <v>310</v>
      </c>
      <c r="J72" s="156" t="s">
        <v>2390</v>
      </c>
      <c r="K72" s="148"/>
      <c r="L72" s="149"/>
    </row>
    <row r="73" spans="1:12" ht="12" customHeight="1">
      <c r="A73" s="515"/>
      <c r="B73" s="155" t="s">
        <v>379</v>
      </c>
      <c r="C73" s="155" t="s">
        <v>313</v>
      </c>
      <c r="D73" s="156" t="s">
        <v>3463</v>
      </c>
      <c r="E73" s="215" t="s">
        <v>299</v>
      </c>
      <c r="F73" s="438" t="s">
        <v>2793</v>
      </c>
      <c r="G73" s="438" t="s">
        <v>2793</v>
      </c>
      <c r="H73" s="156" t="s">
        <v>57</v>
      </c>
      <c r="I73" s="156" t="s">
        <v>310</v>
      </c>
      <c r="J73" s="156"/>
      <c r="K73" s="148"/>
      <c r="L73" s="149"/>
    </row>
    <row r="74" spans="1:12" ht="12" customHeight="1">
      <c r="A74" s="515"/>
      <c r="B74" s="155" t="s">
        <v>380</v>
      </c>
      <c r="C74" s="155" t="s">
        <v>315</v>
      </c>
      <c r="D74" s="156" t="s">
        <v>3464</v>
      </c>
      <c r="E74" s="215" t="s">
        <v>299</v>
      </c>
      <c r="F74" s="438" t="s">
        <v>2793</v>
      </c>
      <c r="G74" s="438" t="s">
        <v>2793</v>
      </c>
      <c r="H74" s="156" t="s">
        <v>57</v>
      </c>
      <c r="I74" s="156" t="s">
        <v>310</v>
      </c>
      <c r="J74" s="156"/>
      <c r="K74" s="148"/>
      <c r="L74" s="149"/>
    </row>
    <row r="75" spans="1:12" ht="24">
      <c r="A75" s="515"/>
      <c r="B75" s="213" t="s">
        <v>381</v>
      </c>
      <c r="C75" s="151" t="s">
        <v>326</v>
      </c>
      <c r="D75" s="468" t="s">
        <v>3465</v>
      </c>
      <c r="E75" s="215" t="s">
        <v>299</v>
      </c>
      <c r="F75" s="438" t="s">
        <v>2793</v>
      </c>
      <c r="G75" s="438" t="s">
        <v>2793</v>
      </c>
      <c r="H75" s="215" t="s">
        <v>57</v>
      </c>
      <c r="I75" s="215" t="s">
        <v>310</v>
      </c>
      <c r="J75" s="215" t="s">
        <v>302</v>
      </c>
      <c r="K75" s="215" t="s">
        <v>303</v>
      </c>
      <c r="L75" s="147"/>
    </row>
    <row r="76" spans="1:12" s="14" customFormat="1" ht="30" customHeight="1">
      <c r="A76" s="515"/>
      <c r="B76" s="155" t="s">
        <v>3097</v>
      </c>
      <c r="C76" s="155" t="s">
        <v>373</v>
      </c>
      <c r="D76" s="156" t="s">
        <v>3466</v>
      </c>
      <c r="E76" s="156" t="s">
        <v>299</v>
      </c>
      <c r="F76" s="438" t="s">
        <v>2793</v>
      </c>
      <c r="G76" s="438" t="s">
        <v>2793</v>
      </c>
      <c r="H76" s="156" t="s">
        <v>24</v>
      </c>
      <c r="I76" s="156" t="s">
        <v>71</v>
      </c>
      <c r="J76" s="156" t="s">
        <v>3467</v>
      </c>
      <c r="K76" s="155"/>
      <c r="L76" s="281"/>
    </row>
    <row r="77" spans="1:12" s="14" customFormat="1" ht="30" customHeight="1">
      <c r="A77" s="515"/>
      <c r="B77" s="155" t="s">
        <v>4201</v>
      </c>
      <c r="C77" s="155" t="s">
        <v>4202</v>
      </c>
      <c r="D77" s="156" t="s">
        <v>4203</v>
      </c>
      <c r="E77" s="156" t="s">
        <v>299</v>
      </c>
      <c r="F77" s="489" t="s">
        <v>4204</v>
      </c>
      <c r="G77" s="489" t="s">
        <v>4202</v>
      </c>
      <c r="H77" s="156" t="s">
        <v>24</v>
      </c>
      <c r="I77" s="156" t="s">
        <v>4197</v>
      </c>
      <c r="J77" s="156" t="s">
        <v>4205</v>
      </c>
      <c r="K77" s="428" t="s">
        <v>4198</v>
      </c>
      <c r="L77" s="281"/>
    </row>
    <row r="78" spans="1:12" s="14" customFormat="1" ht="30" customHeight="1">
      <c r="A78" s="515"/>
      <c r="B78" s="155" t="s">
        <v>3266</v>
      </c>
      <c r="C78" s="155" t="s">
        <v>3267</v>
      </c>
      <c r="D78" s="156" t="s">
        <v>3268</v>
      </c>
      <c r="E78" s="156" t="s">
        <v>299</v>
      </c>
      <c r="F78" s="438" t="s">
        <v>2793</v>
      </c>
      <c r="G78" s="438" t="s">
        <v>2793</v>
      </c>
      <c r="H78" s="156" t="s">
        <v>2405</v>
      </c>
      <c r="I78" s="156" t="s">
        <v>2469</v>
      </c>
      <c r="J78" s="156" t="s">
        <v>4037</v>
      </c>
      <c r="K78" s="421"/>
      <c r="L78" s="476" t="s">
        <v>4038</v>
      </c>
    </row>
    <row r="79" spans="1:12" s="14" customFormat="1" ht="30" customHeight="1">
      <c r="A79" s="515"/>
      <c r="B79" s="155" t="s">
        <v>2676</v>
      </c>
      <c r="C79" s="155" t="s">
        <v>384</v>
      </c>
      <c r="D79" s="156" t="s">
        <v>3458</v>
      </c>
      <c r="E79" s="156" t="s">
        <v>299</v>
      </c>
      <c r="F79" s="438" t="s">
        <v>2793</v>
      </c>
      <c r="G79" s="438" t="s">
        <v>2793</v>
      </c>
      <c r="H79" s="156" t="s">
        <v>24</v>
      </c>
      <c r="I79" s="156" t="s">
        <v>71</v>
      </c>
      <c r="J79" s="156" t="s">
        <v>2678</v>
      </c>
      <c r="K79" s="155"/>
      <c r="L79" s="281"/>
    </row>
    <row r="80" spans="1:12" s="273" customFormat="1" ht="192">
      <c r="A80" s="515"/>
      <c r="B80" s="155" t="s">
        <v>2694</v>
      </c>
      <c r="C80" s="155" t="s">
        <v>356</v>
      </c>
      <c r="D80" s="156" t="s">
        <v>357</v>
      </c>
      <c r="E80" s="215" t="s">
        <v>299</v>
      </c>
      <c r="F80" s="438" t="s">
        <v>2793</v>
      </c>
      <c r="G80" s="438" t="s">
        <v>2793</v>
      </c>
      <c r="H80" s="156" t="s">
        <v>57</v>
      </c>
      <c r="I80" s="156" t="s">
        <v>358</v>
      </c>
      <c r="J80" s="156" t="s">
        <v>2684</v>
      </c>
      <c r="K80" s="160"/>
      <c r="L80" s="348" t="s">
        <v>2691</v>
      </c>
    </row>
    <row r="81" spans="1:12" s="273" customFormat="1" ht="39">
      <c r="A81" s="515"/>
      <c r="B81" s="155" t="s">
        <v>3074</v>
      </c>
      <c r="C81" s="155" t="s">
        <v>352</v>
      </c>
      <c r="D81" s="156" t="s">
        <v>361</v>
      </c>
      <c r="E81" s="215" t="s">
        <v>299</v>
      </c>
      <c r="F81" s="438" t="s">
        <v>2793</v>
      </c>
      <c r="G81" s="438" t="s">
        <v>2793</v>
      </c>
      <c r="H81" s="156" t="s">
        <v>57</v>
      </c>
      <c r="I81" s="156" t="s">
        <v>354</v>
      </c>
      <c r="J81" s="156" t="s">
        <v>3591</v>
      </c>
      <c r="K81" s="160"/>
      <c r="L81" s="147" t="s">
        <v>2692</v>
      </c>
    </row>
    <row r="82" spans="1:12" s="273" customFormat="1" ht="13" customHeight="1">
      <c r="A82" s="515"/>
      <c r="B82" s="155" t="s">
        <v>3149</v>
      </c>
      <c r="C82" s="155" t="s">
        <v>2685</v>
      </c>
      <c r="D82" s="156" t="s">
        <v>2686</v>
      </c>
      <c r="E82" s="350" t="s">
        <v>299</v>
      </c>
      <c r="F82" s="438" t="s">
        <v>2793</v>
      </c>
      <c r="G82" s="438" t="s">
        <v>2793</v>
      </c>
      <c r="H82" s="156" t="s">
        <v>2464</v>
      </c>
      <c r="I82" s="156" t="s">
        <v>3141</v>
      </c>
      <c r="J82" s="156" t="s">
        <v>2700</v>
      </c>
      <c r="K82" s="349"/>
      <c r="L82" s="147"/>
    </row>
    <row r="83" spans="1:12" s="273" customFormat="1" ht="13" customHeight="1">
      <c r="A83" s="515"/>
      <c r="B83" s="155" t="s">
        <v>3216</v>
      </c>
      <c r="C83" s="17" t="s">
        <v>2978</v>
      </c>
      <c r="D83" s="457" t="s">
        <v>2979</v>
      </c>
      <c r="E83" s="393" t="s">
        <v>2980</v>
      </c>
      <c r="F83" s="438" t="s">
        <v>2793</v>
      </c>
      <c r="G83" s="438" t="s">
        <v>2793</v>
      </c>
      <c r="H83" s="393" t="s">
        <v>2931</v>
      </c>
      <c r="I83" s="457" t="s">
        <v>2469</v>
      </c>
      <c r="J83" s="17" t="s">
        <v>2930</v>
      </c>
      <c r="K83" s="17"/>
      <c r="L83" s="17" t="s">
        <v>3071</v>
      </c>
    </row>
    <row r="84" spans="1:12" ht="24">
      <c r="A84" s="515"/>
      <c r="B84" s="151" t="s">
        <v>4157</v>
      </c>
      <c r="C84" s="151" t="s">
        <v>4158</v>
      </c>
      <c r="D84" s="485" t="s">
        <v>4152</v>
      </c>
      <c r="E84" s="485" t="s">
        <v>1858</v>
      </c>
      <c r="F84" s="485" t="s">
        <v>4155</v>
      </c>
      <c r="G84" s="485" t="s">
        <v>4159</v>
      </c>
      <c r="H84" s="485" t="s">
        <v>57</v>
      </c>
      <c r="I84" s="485" t="s">
        <v>338</v>
      </c>
      <c r="J84" s="147" t="s">
        <v>4170</v>
      </c>
      <c r="K84" s="428" t="s">
        <v>4169</v>
      </c>
      <c r="L84" s="147"/>
    </row>
    <row r="85" spans="1:12" s="277" customFormat="1" ht="30" customHeight="1">
      <c r="A85" s="513" t="s">
        <v>386</v>
      </c>
      <c r="B85" s="157" t="s">
        <v>2701</v>
      </c>
      <c r="C85" s="157" t="s">
        <v>387</v>
      </c>
      <c r="D85" s="158" t="s">
        <v>388</v>
      </c>
      <c r="E85" s="158" t="s">
        <v>299</v>
      </c>
      <c r="F85" s="438" t="s">
        <v>2793</v>
      </c>
      <c r="G85" s="438" t="s">
        <v>2793</v>
      </c>
      <c r="H85" s="158" t="s">
        <v>57</v>
      </c>
      <c r="I85" s="158" t="s">
        <v>3153</v>
      </c>
      <c r="J85" s="158" t="s">
        <v>3599</v>
      </c>
      <c r="K85" s="157"/>
      <c r="L85" s="282"/>
    </row>
    <row r="86" spans="1:12" s="277" customFormat="1" ht="30" customHeight="1">
      <c r="A86" s="513"/>
      <c r="B86" s="157" t="s">
        <v>2744</v>
      </c>
      <c r="C86" s="157" t="s">
        <v>2695</v>
      </c>
      <c r="D86" s="159" t="s">
        <v>389</v>
      </c>
      <c r="E86" s="158" t="s">
        <v>299</v>
      </c>
      <c r="F86" s="438" t="s">
        <v>2793</v>
      </c>
      <c r="G86" s="438" t="s">
        <v>2793</v>
      </c>
      <c r="H86" s="158" t="s">
        <v>57</v>
      </c>
      <c r="I86" s="158" t="s">
        <v>3153</v>
      </c>
      <c r="J86" s="158" t="s">
        <v>3598</v>
      </c>
      <c r="K86" s="157"/>
      <c r="L86" s="282"/>
    </row>
  </sheetData>
  <mergeCells count="4">
    <mergeCell ref="A85:A86"/>
    <mergeCell ref="A48:A63"/>
    <mergeCell ref="A64:A84"/>
    <mergeCell ref="A2:A47"/>
  </mergeCells>
  <phoneticPr fontId="53" type="noConversion"/>
  <pageMargins left="0.69930555555555596" right="0.69930555555555596"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dimension ref="A1:M7"/>
  <sheetViews>
    <sheetView zoomScale="70" zoomScaleNormal="70" workbookViewId="0">
      <pane xSplit="1" ySplit="1" topLeftCell="B2" activePane="bottomRight" state="frozen"/>
      <selection pane="topRight"/>
      <selection pane="bottomLeft"/>
      <selection pane="bottomRight" activeCell="B23" sqref="B23"/>
    </sheetView>
  </sheetViews>
  <sheetFormatPr defaultColWidth="9" defaultRowHeight="14"/>
  <cols>
    <col min="1" max="1" width="11.36328125" customWidth="1"/>
    <col min="2" max="2" width="43" customWidth="1"/>
    <col min="3" max="3" width="17.26953125" customWidth="1"/>
    <col min="4" max="4" width="15.453125" customWidth="1"/>
    <col min="5" max="5" width="6.36328125" customWidth="1"/>
    <col min="6" max="6" width="9.08984375" customWidth="1"/>
    <col min="7" max="7" width="14.26953125" style="39" customWidth="1"/>
    <col min="8" max="8" width="11.36328125" customWidth="1"/>
    <col min="9" max="9" width="9" customWidth="1"/>
    <col min="10" max="10" width="44.6328125" customWidth="1"/>
    <col min="11" max="11" width="6" customWidth="1"/>
    <col min="12" max="12" width="28.36328125" customWidth="1"/>
  </cols>
  <sheetData>
    <row r="1" spans="1:13" s="141" customFormat="1" ht="13">
      <c r="A1" s="40" t="s">
        <v>287</v>
      </c>
      <c r="B1" s="40" t="s">
        <v>288</v>
      </c>
      <c r="C1" s="40" t="s">
        <v>289</v>
      </c>
      <c r="D1" s="40" t="s">
        <v>290</v>
      </c>
      <c r="E1" s="40" t="s">
        <v>291</v>
      </c>
      <c r="F1" s="40" t="s">
        <v>292</v>
      </c>
      <c r="G1" s="40" t="s">
        <v>293</v>
      </c>
      <c r="H1" s="140" t="s">
        <v>8</v>
      </c>
      <c r="I1" s="140" t="s">
        <v>6</v>
      </c>
      <c r="J1" s="40" t="s">
        <v>294</v>
      </c>
      <c r="K1" s="40" t="s">
        <v>241</v>
      </c>
      <c r="L1" s="40" t="s">
        <v>295</v>
      </c>
    </row>
    <row r="2" spans="1:13" s="57" customFormat="1" ht="36">
      <c r="A2" s="518" t="s">
        <v>390</v>
      </c>
      <c r="B2" s="143" t="s">
        <v>391</v>
      </c>
      <c r="C2" s="143" t="s">
        <v>2536</v>
      </c>
      <c r="D2" s="144" t="s">
        <v>392</v>
      </c>
      <c r="E2" s="144" t="s">
        <v>299</v>
      </c>
      <c r="F2" s="521" t="s">
        <v>302</v>
      </c>
      <c r="G2" s="521" t="s">
        <v>302</v>
      </c>
      <c r="H2" s="144" t="s">
        <v>24</v>
      </c>
      <c r="I2" s="145" t="s">
        <v>71</v>
      </c>
      <c r="J2" s="143" t="s">
        <v>1837</v>
      </c>
      <c r="K2" s="521" t="s">
        <v>393</v>
      </c>
      <c r="L2" s="65"/>
    </row>
    <row r="3" spans="1:13" s="57" customFormat="1" ht="36">
      <c r="A3" s="519"/>
      <c r="B3" s="143" t="s">
        <v>394</v>
      </c>
      <c r="C3" s="143" t="s">
        <v>2537</v>
      </c>
      <c r="D3" s="144" t="s">
        <v>395</v>
      </c>
      <c r="E3" s="144" t="s">
        <v>299</v>
      </c>
      <c r="F3" s="522"/>
      <c r="G3" s="522"/>
      <c r="H3" s="144" t="s">
        <v>24</v>
      </c>
      <c r="I3" s="145" t="s">
        <v>338</v>
      </c>
      <c r="J3" s="143" t="s">
        <v>3408</v>
      </c>
      <c r="K3" s="524"/>
      <c r="L3" s="65"/>
    </row>
    <row r="4" spans="1:13" s="57" customFormat="1" ht="24">
      <c r="A4" s="519"/>
      <c r="B4" s="143" t="s">
        <v>396</v>
      </c>
      <c r="C4" s="143" t="s">
        <v>1842</v>
      </c>
      <c r="D4" s="144" t="s">
        <v>1840</v>
      </c>
      <c r="E4" s="144" t="s">
        <v>1841</v>
      </c>
      <c r="F4" s="522"/>
      <c r="G4" s="522"/>
      <c r="H4" s="144" t="s">
        <v>24</v>
      </c>
      <c r="I4" s="145" t="s">
        <v>71</v>
      </c>
      <c r="J4" s="143" t="s">
        <v>1839</v>
      </c>
      <c r="K4" s="524"/>
      <c r="L4" s="65"/>
    </row>
    <row r="5" spans="1:13" s="57" customFormat="1">
      <c r="A5" s="519"/>
      <c r="B5" s="143" t="s">
        <v>3614</v>
      </c>
      <c r="C5" s="143" t="s">
        <v>397</v>
      </c>
      <c r="D5" s="144" t="s">
        <v>398</v>
      </c>
      <c r="E5" s="144" t="s">
        <v>299</v>
      </c>
      <c r="F5" s="522"/>
      <c r="G5" s="522"/>
      <c r="H5" s="144" t="s">
        <v>57</v>
      </c>
      <c r="I5" s="145" t="s">
        <v>310</v>
      </c>
      <c r="J5" s="143" t="s">
        <v>399</v>
      </c>
      <c r="K5" s="524"/>
      <c r="L5" s="65"/>
    </row>
    <row r="6" spans="1:13" s="57" customFormat="1" ht="13.5" customHeight="1">
      <c r="A6" s="520"/>
      <c r="B6" s="143" t="s">
        <v>400</v>
      </c>
      <c r="C6" s="143" t="s">
        <v>401</v>
      </c>
      <c r="D6" s="144" t="s">
        <v>402</v>
      </c>
      <c r="E6" s="144" t="s">
        <v>1841</v>
      </c>
      <c r="F6" s="523"/>
      <c r="G6" s="523"/>
      <c r="H6" s="144" t="s">
        <v>57</v>
      </c>
      <c r="I6" s="145" t="s">
        <v>310</v>
      </c>
      <c r="J6" s="143" t="s">
        <v>1838</v>
      </c>
      <c r="K6" s="525"/>
      <c r="L6" s="65"/>
    </row>
    <row r="7" spans="1:13" s="142" customFormat="1">
      <c r="G7" s="139"/>
      <c r="J7"/>
      <c r="K7"/>
      <c r="L7"/>
      <c r="M7"/>
    </row>
  </sheetData>
  <mergeCells count="4">
    <mergeCell ref="A2:A6"/>
    <mergeCell ref="F2:F6"/>
    <mergeCell ref="G2:G6"/>
    <mergeCell ref="K2:K6"/>
  </mergeCells>
  <phoneticPr fontId="53" type="noConversion"/>
  <pageMargins left="0.69930555555555596" right="0.69930555555555596" top="0.75" bottom="0.75" header="0.3" footer="0.3"/>
</worksheet>
</file>

<file path=xl/worksheets/sheet7.xml><?xml version="1.0" encoding="utf-8"?>
<worksheet xmlns="http://schemas.openxmlformats.org/spreadsheetml/2006/main" xmlns:r="http://schemas.openxmlformats.org/officeDocument/2006/relationships">
  <dimension ref="A1:L20"/>
  <sheetViews>
    <sheetView zoomScaleNormal="100" workbookViewId="0">
      <pane xSplit="1" ySplit="1" topLeftCell="B2" activePane="bottomRight" state="frozen"/>
      <selection pane="topRight"/>
      <selection pane="bottomLeft"/>
      <selection pane="bottomRight" activeCell="B12" sqref="A1:L20"/>
    </sheetView>
  </sheetViews>
  <sheetFormatPr defaultColWidth="9" defaultRowHeight="14"/>
  <cols>
    <col min="1" max="1" width="6.08984375" customWidth="1"/>
    <col min="2" max="2" width="52.08984375" customWidth="1"/>
    <col min="3" max="3" width="34.6328125" customWidth="1"/>
    <col min="4" max="4" width="13.90625" customWidth="1"/>
    <col min="5" max="5" width="6.36328125" customWidth="1"/>
    <col min="6" max="6" width="9.08984375" style="39" customWidth="1"/>
    <col min="7" max="7" width="16.36328125" style="219" customWidth="1"/>
    <col min="8" max="8" width="10.453125" customWidth="1"/>
    <col min="9" max="9" width="17.26953125" customWidth="1"/>
    <col min="10" max="10" width="90.36328125" style="39" customWidth="1"/>
    <col min="11" max="11" width="19.7265625" customWidth="1"/>
    <col min="12" max="12" width="40.453125" customWidth="1"/>
  </cols>
  <sheetData>
    <row r="1" spans="1:12" s="138" customFormat="1" ht="24">
      <c r="A1" s="40" t="s">
        <v>287</v>
      </c>
      <c r="B1" s="40" t="s">
        <v>288</v>
      </c>
      <c r="C1" s="40" t="s">
        <v>289</v>
      </c>
      <c r="D1" s="40" t="s">
        <v>290</v>
      </c>
      <c r="E1" s="40" t="s">
        <v>291</v>
      </c>
      <c r="F1" s="40" t="s">
        <v>292</v>
      </c>
      <c r="G1" s="68" t="s">
        <v>293</v>
      </c>
      <c r="H1" s="40" t="s">
        <v>8</v>
      </c>
      <c r="I1" s="140" t="s">
        <v>6</v>
      </c>
      <c r="J1" s="40" t="s">
        <v>294</v>
      </c>
      <c r="K1" s="40" t="s">
        <v>241</v>
      </c>
      <c r="L1" s="40" t="s">
        <v>295</v>
      </c>
    </row>
    <row r="2" spans="1:12" s="12" customFormat="1" ht="13">
      <c r="A2" s="526" t="s">
        <v>403</v>
      </c>
      <c r="B2" s="428" t="s">
        <v>4126</v>
      </c>
      <c r="C2" s="336" t="s">
        <v>2550</v>
      </c>
      <c r="D2" s="42" t="s">
        <v>405</v>
      </c>
      <c r="E2" s="42" t="s">
        <v>299</v>
      </c>
      <c r="F2" s="438" t="s">
        <v>3343</v>
      </c>
      <c r="G2" s="437" t="s">
        <v>3343</v>
      </c>
      <c r="H2" s="42" t="s">
        <v>24</v>
      </c>
      <c r="I2" s="43" t="s">
        <v>406</v>
      </c>
      <c r="J2" s="42" t="s">
        <v>407</v>
      </c>
      <c r="K2" s="42" t="s">
        <v>408</v>
      </c>
      <c r="L2" s="44"/>
    </row>
    <row r="3" spans="1:12" s="12" customFormat="1" ht="13">
      <c r="A3" s="526"/>
      <c r="B3" s="41" t="s">
        <v>409</v>
      </c>
      <c r="C3" s="41" t="s">
        <v>410</v>
      </c>
      <c r="D3" s="42" t="s">
        <v>411</v>
      </c>
      <c r="E3" s="42" t="s">
        <v>299</v>
      </c>
      <c r="F3" s="438" t="s">
        <v>3343</v>
      </c>
      <c r="G3" s="437" t="s">
        <v>302</v>
      </c>
      <c r="H3" s="42" t="s">
        <v>24</v>
      </c>
      <c r="I3" s="43" t="s">
        <v>406</v>
      </c>
      <c r="J3" s="42" t="s">
        <v>412</v>
      </c>
      <c r="K3" s="42" t="s">
        <v>408</v>
      </c>
      <c r="L3" s="44"/>
    </row>
    <row r="4" spans="1:12" s="12" customFormat="1" ht="13">
      <c r="A4" s="526"/>
      <c r="B4" s="41" t="s">
        <v>413</v>
      </c>
      <c r="C4" s="41" t="s">
        <v>414</v>
      </c>
      <c r="D4" s="42" t="s">
        <v>415</v>
      </c>
      <c r="E4" s="42" t="s">
        <v>299</v>
      </c>
      <c r="F4" s="438" t="s">
        <v>3343</v>
      </c>
      <c r="G4" s="437" t="s">
        <v>302</v>
      </c>
      <c r="H4" s="42" t="s">
        <v>24</v>
      </c>
      <c r="I4" s="43" t="s">
        <v>406</v>
      </c>
      <c r="J4" s="42" t="s">
        <v>416</v>
      </c>
      <c r="K4" s="42" t="s">
        <v>408</v>
      </c>
      <c r="L4" s="44"/>
    </row>
    <row r="5" spans="1:12" s="12" customFormat="1" ht="24">
      <c r="A5" s="526"/>
      <c r="B5" s="41" t="s">
        <v>417</v>
      </c>
      <c r="C5" s="41" t="s">
        <v>418</v>
      </c>
      <c r="D5" s="42" t="s">
        <v>419</v>
      </c>
      <c r="E5" s="42" t="s">
        <v>299</v>
      </c>
      <c r="F5" s="438" t="s">
        <v>3343</v>
      </c>
      <c r="G5" s="437" t="s">
        <v>302</v>
      </c>
      <c r="H5" s="42" t="s">
        <v>24</v>
      </c>
      <c r="I5" s="43" t="s">
        <v>71</v>
      </c>
      <c r="J5" s="42" t="s">
        <v>420</v>
      </c>
      <c r="K5" s="42" t="s">
        <v>408</v>
      </c>
      <c r="L5" s="44"/>
    </row>
    <row r="6" spans="1:12" s="12" customFormat="1" ht="13">
      <c r="A6" s="526"/>
      <c r="B6" s="41" t="s">
        <v>421</v>
      </c>
      <c r="C6" s="41" t="s">
        <v>422</v>
      </c>
      <c r="D6" s="42" t="s">
        <v>423</v>
      </c>
      <c r="E6" s="42" t="s">
        <v>299</v>
      </c>
      <c r="F6" s="438" t="s">
        <v>3343</v>
      </c>
      <c r="G6" s="437" t="s">
        <v>302</v>
      </c>
      <c r="H6" s="42" t="s">
        <v>24</v>
      </c>
      <c r="I6" s="43" t="s">
        <v>424</v>
      </c>
      <c r="J6" s="447" t="s">
        <v>3409</v>
      </c>
      <c r="K6" s="42" t="s">
        <v>408</v>
      </c>
      <c r="L6" s="44"/>
    </row>
    <row r="7" spans="1:12" s="12" customFormat="1" ht="24">
      <c r="A7" s="526"/>
      <c r="B7" s="41" t="s">
        <v>425</v>
      </c>
      <c r="C7" s="41" t="s">
        <v>426</v>
      </c>
      <c r="D7" s="42" t="s">
        <v>427</v>
      </c>
      <c r="E7" s="42" t="s">
        <v>299</v>
      </c>
      <c r="F7" s="438" t="s">
        <v>3343</v>
      </c>
      <c r="G7" s="437" t="s">
        <v>302</v>
      </c>
      <c r="H7" s="42" t="s">
        <v>24</v>
      </c>
      <c r="I7" s="43" t="s">
        <v>428</v>
      </c>
      <c r="J7" s="42" t="s">
        <v>429</v>
      </c>
      <c r="K7" s="42" t="s">
        <v>408</v>
      </c>
      <c r="L7" s="44"/>
    </row>
    <row r="8" spans="1:12" s="12" customFormat="1" ht="24">
      <c r="A8" s="526"/>
      <c r="B8" s="41" t="s">
        <v>430</v>
      </c>
      <c r="C8" s="41" t="s">
        <v>431</v>
      </c>
      <c r="D8" s="42" t="s">
        <v>432</v>
      </c>
      <c r="E8" s="42" t="s">
        <v>299</v>
      </c>
      <c r="F8" s="438" t="s">
        <v>3343</v>
      </c>
      <c r="G8" s="437" t="s">
        <v>302</v>
      </c>
      <c r="H8" s="42" t="s">
        <v>57</v>
      </c>
      <c r="I8" s="43" t="s">
        <v>433</v>
      </c>
      <c r="J8" s="42" t="s">
        <v>434</v>
      </c>
      <c r="K8" s="42" t="s">
        <v>408</v>
      </c>
      <c r="L8" s="44"/>
    </row>
    <row r="9" spans="1:12" s="12" customFormat="1" ht="24">
      <c r="A9" s="526"/>
      <c r="B9" s="428" t="s">
        <v>3214</v>
      </c>
      <c r="C9" s="41" t="s">
        <v>435</v>
      </c>
      <c r="D9" s="42" t="s">
        <v>436</v>
      </c>
      <c r="E9" s="42" t="s">
        <v>299</v>
      </c>
      <c r="F9" s="438" t="s">
        <v>437</v>
      </c>
      <c r="G9" s="437" t="s">
        <v>438</v>
      </c>
      <c r="H9" s="42" t="s">
        <v>57</v>
      </c>
      <c r="I9" s="43" t="s">
        <v>406</v>
      </c>
      <c r="J9" s="465" t="s">
        <v>3637</v>
      </c>
      <c r="K9" s="42" t="s">
        <v>408</v>
      </c>
      <c r="L9" s="44"/>
    </row>
    <row r="10" spans="1:12" s="12" customFormat="1" ht="13">
      <c r="A10" s="526"/>
      <c r="B10" s="41" t="s">
        <v>439</v>
      </c>
      <c r="C10" s="41" t="s">
        <v>440</v>
      </c>
      <c r="D10" s="42" t="s">
        <v>441</v>
      </c>
      <c r="E10" s="42" t="s">
        <v>299</v>
      </c>
      <c r="F10" s="438" t="s">
        <v>3343</v>
      </c>
      <c r="G10" s="437" t="s">
        <v>302</v>
      </c>
      <c r="H10" s="42" t="s">
        <v>24</v>
      </c>
      <c r="I10" s="43" t="s">
        <v>406</v>
      </c>
      <c r="J10" s="42" t="s">
        <v>442</v>
      </c>
      <c r="K10" s="42" t="s">
        <v>408</v>
      </c>
      <c r="L10" s="44"/>
    </row>
    <row r="11" spans="1:12" s="12" customFormat="1" ht="13">
      <c r="A11" s="526"/>
      <c r="B11" s="41" t="s">
        <v>443</v>
      </c>
      <c r="C11" s="412" t="s">
        <v>3213</v>
      </c>
      <c r="D11" s="42" t="s">
        <v>444</v>
      </c>
      <c r="E11" s="42" t="s">
        <v>299</v>
      </c>
      <c r="F11" s="438" t="s">
        <v>3343</v>
      </c>
      <c r="G11" s="437" t="s">
        <v>302</v>
      </c>
      <c r="H11" s="42" t="s">
        <v>24</v>
      </c>
      <c r="I11" s="43" t="s">
        <v>406</v>
      </c>
      <c r="J11" s="42" t="s">
        <v>445</v>
      </c>
      <c r="K11" s="42" t="s">
        <v>408</v>
      </c>
      <c r="L11" s="44"/>
    </row>
    <row r="12" spans="1:12" s="12" customFormat="1" ht="13">
      <c r="A12" s="526"/>
      <c r="B12" s="402" t="s">
        <v>3175</v>
      </c>
      <c r="C12" s="428" t="s">
        <v>3555</v>
      </c>
      <c r="D12" s="42" t="s">
        <v>446</v>
      </c>
      <c r="E12" s="42" t="s">
        <v>299</v>
      </c>
      <c r="F12" s="438" t="s">
        <v>3343</v>
      </c>
      <c r="G12" s="437" t="s">
        <v>302</v>
      </c>
      <c r="H12" s="404" t="s">
        <v>2464</v>
      </c>
      <c r="I12" s="43" t="s">
        <v>406</v>
      </c>
      <c r="J12" s="42" t="s">
        <v>302</v>
      </c>
      <c r="K12" s="42" t="s">
        <v>408</v>
      </c>
      <c r="L12" s="44"/>
    </row>
    <row r="13" spans="1:12" s="12" customFormat="1" ht="13">
      <c r="A13" s="526"/>
      <c r="B13" s="41" t="s">
        <v>447</v>
      </c>
      <c r="C13" s="41" t="s">
        <v>448</v>
      </c>
      <c r="D13" s="42" t="s">
        <v>449</v>
      </c>
      <c r="E13" s="413" t="s">
        <v>3212</v>
      </c>
      <c r="F13" s="438" t="s">
        <v>3343</v>
      </c>
      <c r="G13" s="437" t="s">
        <v>302</v>
      </c>
      <c r="H13" s="42" t="s">
        <v>24</v>
      </c>
      <c r="I13" s="43" t="s">
        <v>71</v>
      </c>
      <c r="J13" s="42" t="s">
        <v>450</v>
      </c>
      <c r="K13" s="42" t="s">
        <v>408</v>
      </c>
      <c r="L13" s="44"/>
    </row>
    <row r="14" spans="1:12" s="12" customFormat="1" ht="13">
      <c r="A14" s="526"/>
      <c r="B14" s="41" t="s">
        <v>451</v>
      </c>
      <c r="C14" s="41" t="s">
        <v>452</v>
      </c>
      <c r="D14" s="42" t="s">
        <v>453</v>
      </c>
      <c r="E14" s="413" t="s">
        <v>3212</v>
      </c>
      <c r="F14" s="438" t="s">
        <v>3343</v>
      </c>
      <c r="G14" s="437" t="s">
        <v>302</v>
      </c>
      <c r="H14" s="42" t="s">
        <v>24</v>
      </c>
      <c r="I14" s="43" t="s">
        <v>406</v>
      </c>
      <c r="J14" s="42" t="s">
        <v>302</v>
      </c>
      <c r="K14" s="42" t="s">
        <v>408</v>
      </c>
      <c r="L14" s="44"/>
    </row>
    <row r="15" spans="1:12" s="12" customFormat="1" ht="24">
      <c r="A15" s="526"/>
      <c r="B15" s="41" t="s">
        <v>454</v>
      </c>
      <c r="C15" s="41" t="s">
        <v>455</v>
      </c>
      <c r="D15" s="42" t="s">
        <v>456</v>
      </c>
      <c r="E15" s="413" t="s">
        <v>3212</v>
      </c>
      <c r="F15" s="438" t="s">
        <v>3343</v>
      </c>
      <c r="G15" s="437" t="s">
        <v>302</v>
      </c>
      <c r="H15" s="42" t="s">
        <v>24</v>
      </c>
      <c r="I15" s="42" t="s">
        <v>457</v>
      </c>
      <c r="J15" s="42" t="s">
        <v>302</v>
      </c>
      <c r="K15" s="42" t="s">
        <v>408</v>
      </c>
      <c r="L15" s="44"/>
    </row>
    <row r="16" spans="1:12" s="12" customFormat="1" ht="13">
      <c r="A16" s="526"/>
      <c r="B16" s="41" t="s">
        <v>458</v>
      </c>
      <c r="C16" s="41" t="s">
        <v>459</v>
      </c>
      <c r="D16" s="337" t="s">
        <v>2548</v>
      </c>
      <c r="E16" s="413" t="s">
        <v>3212</v>
      </c>
      <c r="F16" s="438" t="s">
        <v>3343</v>
      </c>
      <c r="G16" s="437" t="s">
        <v>302</v>
      </c>
      <c r="H16" s="42" t="s">
        <v>24</v>
      </c>
      <c r="I16" s="43" t="s">
        <v>406</v>
      </c>
      <c r="J16" s="42" t="s">
        <v>302</v>
      </c>
      <c r="K16" s="42" t="s">
        <v>408</v>
      </c>
      <c r="L16" s="44"/>
    </row>
    <row r="17" spans="1:12" s="12" customFormat="1" ht="13">
      <c r="A17" s="526"/>
      <c r="B17" s="41" t="s">
        <v>460</v>
      </c>
      <c r="C17" s="41" t="s">
        <v>461</v>
      </c>
      <c r="D17" s="337" t="s">
        <v>2549</v>
      </c>
      <c r="E17" s="413" t="s">
        <v>3212</v>
      </c>
      <c r="F17" s="438" t="s">
        <v>3343</v>
      </c>
      <c r="G17" s="437" t="s">
        <v>302</v>
      </c>
      <c r="H17" s="42" t="s">
        <v>24</v>
      </c>
      <c r="I17" s="43" t="s">
        <v>406</v>
      </c>
      <c r="J17" s="42" t="s">
        <v>302</v>
      </c>
      <c r="K17" s="42" t="s">
        <v>408</v>
      </c>
      <c r="L17" s="44"/>
    </row>
    <row r="18" spans="1:12" s="12" customFormat="1" ht="13">
      <c r="A18" s="526"/>
      <c r="B18" s="41" t="s">
        <v>462</v>
      </c>
      <c r="C18" s="41" t="s">
        <v>463</v>
      </c>
      <c r="D18" s="42" t="s">
        <v>464</v>
      </c>
      <c r="E18" s="413" t="s">
        <v>3212</v>
      </c>
      <c r="F18" s="438" t="s">
        <v>3343</v>
      </c>
      <c r="G18" s="437" t="s">
        <v>302</v>
      </c>
      <c r="H18" s="42" t="s">
        <v>24</v>
      </c>
      <c r="I18" s="43" t="s">
        <v>465</v>
      </c>
      <c r="J18" s="42" t="s">
        <v>302</v>
      </c>
      <c r="K18" s="42" t="s">
        <v>408</v>
      </c>
      <c r="L18" s="44"/>
    </row>
    <row r="19" spans="1:12" s="12" customFormat="1" ht="13">
      <c r="A19" s="526"/>
      <c r="B19" s="41" t="s">
        <v>466</v>
      </c>
      <c r="C19" s="41" t="s">
        <v>467</v>
      </c>
      <c r="D19" s="42" t="s">
        <v>468</v>
      </c>
      <c r="E19" s="413" t="s">
        <v>3212</v>
      </c>
      <c r="F19" s="438" t="s">
        <v>3343</v>
      </c>
      <c r="G19" s="437" t="s">
        <v>302</v>
      </c>
      <c r="H19" s="42" t="s">
        <v>24</v>
      </c>
      <c r="I19" s="43" t="s">
        <v>469</v>
      </c>
      <c r="J19" s="42" t="s">
        <v>302</v>
      </c>
      <c r="K19" s="42" t="s">
        <v>408</v>
      </c>
      <c r="L19" s="44"/>
    </row>
    <row r="20" spans="1:12" s="12" customFormat="1" ht="13">
      <c r="A20" s="526"/>
      <c r="B20" s="41" t="s">
        <v>470</v>
      </c>
      <c r="C20" s="41" t="s">
        <v>471</v>
      </c>
      <c r="D20" s="42" t="s">
        <v>472</v>
      </c>
      <c r="E20" s="42" t="s">
        <v>299</v>
      </c>
      <c r="F20" s="438" t="s">
        <v>3343</v>
      </c>
      <c r="G20" s="437" t="s">
        <v>302</v>
      </c>
      <c r="H20" s="42" t="s">
        <v>57</v>
      </c>
      <c r="I20" s="43" t="s">
        <v>71</v>
      </c>
      <c r="J20" s="42" t="s">
        <v>450</v>
      </c>
      <c r="K20" s="42" t="s">
        <v>408</v>
      </c>
      <c r="L20" s="44"/>
    </row>
  </sheetData>
  <mergeCells count="1">
    <mergeCell ref="A2:A20"/>
  </mergeCells>
  <phoneticPr fontId="53" type="noConversion"/>
  <pageMargins left="0.69930555555555596" right="0.69930555555555596"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dimension ref="A1:KT56"/>
  <sheetViews>
    <sheetView zoomScale="70" zoomScaleNormal="70" workbookViewId="0">
      <pane xSplit="1" ySplit="1" topLeftCell="B2" activePane="bottomRight" state="frozen"/>
      <selection pane="topRight"/>
      <selection pane="bottomLeft"/>
      <selection pane="bottomRight" sqref="A1:XFD1048576"/>
    </sheetView>
  </sheetViews>
  <sheetFormatPr defaultColWidth="9" defaultRowHeight="12"/>
  <cols>
    <col min="1" max="1" width="8" style="84" customWidth="1"/>
    <col min="2" max="2" width="48" style="126" customWidth="1"/>
    <col min="3" max="3" width="21.6328125" style="126" customWidth="1"/>
    <col min="4" max="4" width="20.453125" style="127" customWidth="1"/>
    <col min="5" max="5" width="6.36328125" style="127" customWidth="1"/>
    <col min="6" max="6" width="10" style="127" customWidth="1"/>
    <col min="7" max="7" width="14.26953125" style="127" customWidth="1"/>
    <col min="8" max="8" width="11.36328125" style="128" customWidth="1"/>
    <col min="9" max="9" width="9.7265625" style="126" customWidth="1"/>
    <col min="10" max="10" width="26.7265625" style="84" customWidth="1"/>
    <col min="11" max="11" width="20.90625" style="84" customWidth="1"/>
    <col min="12" max="12" width="25.26953125" style="84" customWidth="1"/>
    <col min="13" max="16384" width="9" style="84"/>
  </cols>
  <sheetData>
    <row r="1" spans="1:306" s="123" customFormat="1" ht="13">
      <c r="A1" s="5" t="s">
        <v>6</v>
      </c>
      <c r="B1" s="129" t="s">
        <v>288</v>
      </c>
      <c r="C1" s="129" t="s">
        <v>289</v>
      </c>
      <c r="D1" s="6" t="s">
        <v>290</v>
      </c>
      <c r="E1" s="6" t="s">
        <v>291</v>
      </c>
      <c r="F1" s="130" t="s">
        <v>292</v>
      </c>
      <c r="G1" s="6" t="s">
        <v>293</v>
      </c>
      <c r="H1" s="129" t="s">
        <v>8</v>
      </c>
      <c r="I1" s="129" t="s">
        <v>6</v>
      </c>
      <c r="J1" s="7" t="s">
        <v>294</v>
      </c>
      <c r="K1" s="6" t="s">
        <v>241</v>
      </c>
      <c r="L1" s="40" t="s">
        <v>295</v>
      </c>
    </row>
    <row r="2" spans="1:306" s="124" customFormat="1" ht="24">
      <c r="A2" s="527" t="s">
        <v>473</v>
      </c>
      <c r="B2" s="131" t="s">
        <v>474</v>
      </c>
      <c r="C2" s="131" t="s">
        <v>475</v>
      </c>
      <c r="D2" s="132" t="s">
        <v>476</v>
      </c>
      <c r="E2" s="132" t="s">
        <v>299</v>
      </c>
      <c r="F2" s="132" t="s">
        <v>302</v>
      </c>
      <c r="G2" s="132" t="s">
        <v>302</v>
      </c>
      <c r="H2" s="132" t="s">
        <v>57</v>
      </c>
      <c r="I2" s="131" t="s">
        <v>28</v>
      </c>
      <c r="J2" s="131" t="s">
        <v>302</v>
      </c>
      <c r="K2" s="528" t="s">
        <v>3556</v>
      </c>
      <c r="L2" s="44"/>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c r="AV2" s="135"/>
      <c r="AW2" s="135"/>
      <c r="AX2" s="135"/>
      <c r="AY2" s="135"/>
      <c r="AZ2" s="135"/>
      <c r="BA2" s="135"/>
      <c r="BB2" s="135"/>
      <c r="BC2" s="135"/>
      <c r="BD2" s="135"/>
      <c r="BE2" s="135"/>
      <c r="BF2" s="135"/>
      <c r="BG2" s="135"/>
      <c r="BH2" s="135"/>
      <c r="BI2" s="135"/>
      <c r="BJ2" s="135"/>
      <c r="BK2" s="135"/>
      <c r="BL2" s="135"/>
      <c r="BM2" s="135"/>
      <c r="BN2" s="135"/>
      <c r="BO2" s="135"/>
      <c r="BP2" s="135"/>
      <c r="BQ2" s="135"/>
      <c r="BR2" s="135"/>
      <c r="BS2" s="135"/>
      <c r="BT2" s="135"/>
      <c r="BU2" s="135"/>
      <c r="BV2" s="135"/>
      <c r="BW2" s="135"/>
      <c r="BX2" s="135"/>
      <c r="BY2" s="135"/>
      <c r="BZ2" s="135"/>
      <c r="CA2" s="135"/>
      <c r="CB2" s="135"/>
      <c r="CC2" s="135"/>
      <c r="CD2" s="135"/>
      <c r="CE2" s="135"/>
      <c r="CF2" s="135"/>
      <c r="CG2" s="135"/>
      <c r="CH2" s="135"/>
      <c r="CI2" s="135"/>
      <c r="CJ2" s="135"/>
      <c r="CK2" s="135"/>
      <c r="CL2" s="135"/>
      <c r="CM2" s="135"/>
      <c r="CN2" s="135"/>
      <c r="CO2" s="135"/>
      <c r="CP2" s="135"/>
      <c r="CQ2" s="135"/>
      <c r="CR2" s="135"/>
      <c r="CS2" s="135"/>
      <c r="CT2" s="135"/>
      <c r="CU2" s="135"/>
      <c r="CV2" s="135"/>
      <c r="CW2" s="135"/>
      <c r="CX2" s="135"/>
      <c r="CY2" s="135"/>
      <c r="CZ2" s="135"/>
      <c r="DA2" s="135"/>
      <c r="DB2" s="135"/>
      <c r="DC2" s="135"/>
      <c r="DD2" s="135"/>
      <c r="DE2" s="135"/>
      <c r="DF2" s="135"/>
      <c r="DG2" s="135"/>
      <c r="DH2" s="135"/>
      <c r="DI2" s="135"/>
      <c r="DJ2" s="135"/>
      <c r="DK2" s="135"/>
      <c r="DL2" s="135"/>
      <c r="DM2" s="135"/>
      <c r="DN2" s="135"/>
      <c r="DO2" s="135"/>
      <c r="DP2" s="135"/>
      <c r="DQ2" s="135"/>
      <c r="DR2" s="135"/>
      <c r="DS2" s="135"/>
      <c r="DT2" s="135"/>
      <c r="DU2" s="135"/>
      <c r="DV2" s="135"/>
      <c r="DW2" s="135"/>
      <c r="DX2" s="135"/>
      <c r="DY2" s="135"/>
      <c r="DZ2" s="135"/>
      <c r="EA2" s="135"/>
      <c r="EB2" s="135"/>
      <c r="EC2" s="135"/>
      <c r="ED2" s="135"/>
      <c r="EE2" s="135"/>
      <c r="EF2" s="135"/>
      <c r="EG2" s="135"/>
      <c r="EH2" s="135"/>
      <c r="EI2" s="135"/>
      <c r="EJ2" s="135"/>
      <c r="EK2" s="135"/>
      <c r="EL2" s="135"/>
      <c r="EM2" s="135"/>
      <c r="EN2" s="135"/>
      <c r="EO2" s="135"/>
      <c r="EP2" s="135"/>
      <c r="EQ2" s="135"/>
      <c r="ER2" s="135"/>
      <c r="ES2" s="135"/>
      <c r="ET2" s="135"/>
      <c r="EU2" s="135"/>
      <c r="EV2" s="135"/>
      <c r="EW2" s="135"/>
      <c r="EX2" s="135"/>
      <c r="EY2" s="135"/>
      <c r="EZ2" s="135"/>
      <c r="FA2" s="135"/>
      <c r="FB2" s="135"/>
      <c r="FC2" s="135"/>
      <c r="FD2" s="135"/>
      <c r="FE2" s="135"/>
      <c r="FF2" s="135"/>
      <c r="FG2" s="135"/>
      <c r="FH2" s="135"/>
      <c r="FI2" s="135"/>
      <c r="FJ2" s="135"/>
      <c r="FK2" s="135"/>
      <c r="FL2" s="135"/>
      <c r="FM2" s="135"/>
      <c r="FN2" s="135"/>
      <c r="FO2" s="135"/>
      <c r="FP2" s="135"/>
      <c r="FQ2" s="135"/>
      <c r="FR2" s="135"/>
      <c r="FS2" s="135"/>
      <c r="FT2" s="135"/>
      <c r="FU2" s="135"/>
      <c r="FV2" s="135"/>
      <c r="FW2" s="135"/>
      <c r="FX2" s="135"/>
      <c r="FY2" s="135"/>
      <c r="FZ2" s="135"/>
      <c r="GA2" s="135"/>
      <c r="GB2" s="135"/>
      <c r="GC2" s="135"/>
      <c r="GD2" s="135"/>
      <c r="GE2" s="135"/>
      <c r="GF2" s="135"/>
      <c r="GG2" s="135"/>
      <c r="GH2" s="135"/>
      <c r="GI2" s="135"/>
      <c r="GJ2" s="135"/>
      <c r="GK2" s="135"/>
      <c r="GL2" s="135"/>
      <c r="GM2" s="135"/>
      <c r="GN2" s="135"/>
      <c r="GO2" s="135"/>
      <c r="GP2" s="135"/>
      <c r="GQ2" s="135"/>
      <c r="GR2" s="135"/>
      <c r="GS2" s="135"/>
      <c r="GT2" s="135"/>
      <c r="GU2" s="135"/>
      <c r="GV2" s="135"/>
      <c r="GW2" s="135"/>
      <c r="GX2" s="135"/>
      <c r="GY2" s="135"/>
      <c r="GZ2" s="135"/>
      <c r="HA2" s="135"/>
      <c r="HB2" s="135"/>
      <c r="HC2" s="135"/>
      <c r="HD2" s="135"/>
      <c r="HE2" s="135"/>
      <c r="HF2" s="135"/>
      <c r="HG2" s="135"/>
      <c r="HH2" s="135"/>
      <c r="HI2" s="135"/>
      <c r="HJ2" s="135"/>
      <c r="HK2" s="135"/>
      <c r="HL2" s="135"/>
      <c r="HM2" s="135"/>
      <c r="HN2" s="135"/>
      <c r="HO2" s="135"/>
      <c r="HP2" s="135"/>
      <c r="HQ2" s="135"/>
      <c r="HR2" s="135"/>
      <c r="HS2" s="135"/>
      <c r="HT2" s="135"/>
      <c r="HU2" s="135"/>
      <c r="HV2" s="135"/>
      <c r="HW2" s="135"/>
      <c r="HX2" s="135"/>
      <c r="HY2" s="135"/>
      <c r="HZ2" s="135"/>
      <c r="IA2" s="135"/>
      <c r="IB2" s="135"/>
      <c r="IC2" s="135"/>
      <c r="ID2" s="135"/>
      <c r="IE2" s="135"/>
      <c r="IF2" s="135"/>
      <c r="IG2" s="135"/>
      <c r="IH2" s="135"/>
      <c r="II2" s="135"/>
      <c r="IJ2" s="135"/>
      <c r="IK2" s="135"/>
      <c r="IL2" s="135"/>
      <c r="IM2" s="135"/>
      <c r="IN2" s="135"/>
      <c r="IO2" s="135"/>
      <c r="IP2" s="135"/>
      <c r="IQ2" s="135"/>
      <c r="IR2" s="135"/>
      <c r="IS2" s="135"/>
      <c r="IT2" s="135"/>
      <c r="IU2" s="135"/>
      <c r="IV2" s="135"/>
      <c r="IW2" s="135"/>
      <c r="IX2" s="135"/>
      <c r="IY2" s="135"/>
      <c r="IZ2" s="135"/>
      <c r="JA2" s="135"/>
      <c r="JB2" s="135"/>
      <c r="JC2" s="135"/>
      <c r="JD2" s="135"/>
      <c r="JE2" s="135"/>
      <c r="JF2" s="135"/>
      <c r="JG2" s="135"/>
      <c r="JH2" s="135"/>
      <c r="JI2" s="135"/>
      <c r="JJ2" s="135"/>
      <c r="JK2" s="135"/>
      <c r="JL2" s="135"/>
      <c r="JM2" s="135"/>
      <c r="JN2" s="135"/>
      <c r="JO2" s="135"/>
      <c r="JP2" s="135"/>
      <c r="JQ2" s="135"/>
      <c r="JR2" s="135"/>
      <c r="JS2" s="135"/>
      <c r="JT2" s="135"/>
      <c r="JU2" s="135"/>
      <c r="JV2" s="135"/>
      <c r="JW2" s="135"/>
      <c r="JX2" s="135"/>
      <c r="JY2" s="135"/>
      <c r="JZ2" s="135"/>
      <c r="KA2" s="135"/>
      <c r="KB2" s="135"/>
      <c r="KC2" s="135"/>
      <c r="KD2" s="135"/>
      <c r="KE2" s="135"/>
      <c r="KF2" s="135"/>
      <c r="KG2" s="135"/>
      <c r="KH2" s="135"/>
      <c r="KI2" s="135"/>
      <c r="KJ2" s="135"/>
      <c r="KK2" s="135"/>
      <c r="KL2" s="135"/>
      <c r="KM2" s="135"/>
      <c r="KN2" s="135"/>
      <c r="KO2" s="135"/>
      <c r="KP2" s="135"/>
      <c r="KQ2" s="135"/>
      <c r="KR2" s="135"/>
      <c r="KS2" s="135"/>
      <c r="KT2" s="135"/>
    </row>
    <row r="3" spans="1:306" s="124" customFormat="1">
      <c r="A3" s="527"/>
      <c r="B3" s="131" t="s">
        <v>477</v>
      </c>
      <c r="C3" s="131" t="s">
        <v>478</v>
      </c>
      <c r="D3" s="132" t="s">
        <v>479</v>
      </c>
      <c r="E3" s="132" t="s">
        <v>299</v>
      </c>
      <c r="F3" s="132" t="s">
        <v>302</v>
      </c>
      <c r="G3" s="132" t="s">
        <v>302</v>
      </c>
      <c r="H3" s="132" t="s">
        <v>57</v>
      </c>
      <c r="I3" s="131" t="s">
        <v>28</v>
      </c>
      <c r="J3" s="131" t="s">
        <v>302</v>
      </c>
      <c r="K3" s="528"/>
      <c r="L3" s="87"/>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c r="BC3" s="135"/>
      <c r="BD3" s="135"/>
      <c r="BE3" s="135"/>
      <c r="BF3" s="135"/>
      <c r="BG3" s="135"/>
      <c r="BH3" s="135"/>
      <c r="BI3" s="135"/>
      <c r="BJ3" s="135"/>
      <c r="BK3" s="135"/>
      <c r="BL3" s="135"/>
      <c r="BM3" s="135"/>
      <c r="BN3" s="135"/>
      <c r="BO3" s="135"/>
      <c r="BP3" s="135"/>
      <c r="BQ3" s="135"/>
      <c r="BR3" s="135"/>
      <c r="BS3" s="135"/>
      <c r="BT3" s="135"/>
      <c r="BU3" s="135"/>
      <c r="BV3" s="135"/>
      <c r="BW3" s="135"/>
      <c r="BX3" s="135"/>
      <c r="BY3" s="135"/>
      <c r="BZ3" s="135"/>
      <c r="CA3" s="135"/>
      <c r="CB3" s="135"/>
      <c r="CC3" s="135"/>
      <c r="CD3" s="135"/>
      <c r="CE3" s="135"/>
      <c r="CF3" s="135"/>
      <c r="CG3" s="135"/>
      <c r="CH3" s="135"/>
      <c r="CI3" s="135"/>
      <c r="CJ3" s="135"/>
      <c r="CK3" s="135"/>
      <c r="CL3" s="135"/>
      <c r="CM3" s="135"/>
      <c r="CN3" s="135"/>
      <c r="CO3" s="135"/>
      <c r="CP3" s="135"/>
      <c r="CQ3" s="135"/>
      <c r="CR3" s="135"/>
      <c r="CS3" s="135"/>
      <c r="CT3" s="135"/>
      <c r="CU3" s="135"/>
      <c r="CV3" s="135"/>
      <c r="CW3" s="135"/>
      <c r="CX3" s="135"/>
      <c r="CY3" s="135"/>
      <c r="CZ3" s="135"/>
      <c r="DA3" s="135"/>
      <c r="DB3" s="135"/>
      <c r="DC3" s="135"/>
      <c r="DD3" s="135"/>
      <c r="DE3" s="135"/>
      <c r="DF3" s="135"/>
      <c r="DG3" s="135"/>
      <c r="DH3" s="135"/>
      <c r="DI3" s="135"/>
      <c r="DJ3" s="135"/>
      <c r="DK3" s="135"/>
      <c r="DL3" s="135"/>
      <c r="DM3" s="135"/>
      <c r="DN3" s="135"/>
      <c r="DO3" s="135"/>
      <c r="DP3" s="135"/>
      <c r="DQ3" s="135"/>
      <c r="DR3" s="135"/>
      <c r="DS3" s="135"/>
      <c r="DT3" s="135"/>
      <c r="DU3" s="135"/>
      <c r="DV3" s="135"/>
      <c r="DW3" s="135"/>
      <c r="DX3" s="135"/>
      <c r="DY3" s="135"/>
      <c r="DZ3" s="135"/>
      <c r="EA3" s="135"/>
      <c r="EB3" s="135"/>
      <c r="EC3" s="135"/>
      <c r="ED3" s="135"/>
      <c r="EE3" s="135"/>
      <c r="EF3" s="135"/>
      <c r="EG3" s="135"/>
      <c r="EH3" s="135"/>
      <c r="EI3" s="135"/>
      <c r="EJ3" s="135"/>
      <c r="EK3" s="135"/>
      <c r="EL3" s="135"/>
      <c r="EM3" s="135"/>
      <c r="EN3" s="135"/>
      <c r="EO3" s="135"/>
      <c r="EP3" s="135"/>
      <c r="EQ3" s="135"/>
      <c r="ER3" s="135"/>
      <c r="ES3" s="135"/>
      <c r="ET3" s="135"/>
      <c r="EU3" s="135"/>
      <c r="EV3" s="135"/>
      <c r="EW3" s="135"/>
      <c r="EX3" s="135"/>
      <c r="EY3" s="135"/>
      <c r="EZ3" s="135"/>
      <c r="FA3" s="135"/>
      <c r="FB3" s="135"/>
      <c r="FC3" s="135"/>
      <c r="FD3" s="135"/>
      <c r="FE3" s="135"/>
      <c r="FF3" s="135"/>
      <c r="FG3" s="135"/>
      <c r="FH3" s="135"/>
      <c r="FI3" s="135"/>
      <c r="FJ3" s="135"/>
      <c r="FK3" s="135"/>
      <c r="FL3" s="135"/>
      <c r="FM3" s="135"/>
      <c r="FN3" s="135"/>
      <c r="FO3" s="135"/>
      <c r="FP3" s="135"/>
      <c r="FQ3" s="135"/>
      <c r="FR3" s="135"/>
      <c r="FS3" s="135"/>
      <c r="FT3" s="135"/>
      <c r="FU3" s="135"/>
      <c r="FV3" s="135"/>
      <c r="FW3" s="135"/>
      <c r="FX3" s="135"/>
      <c r="FY3" s="135"/>
      <c r="FZ3" s="135"/>
      <c r="GA3" s="135"/>
      <c r="GB3" s="135"/>
      <c r="GC3" s="135"/>
      <c r="GD3" s="135"/>
      <c r="GE3" s="135"/>
      <c r="GF3" s="135"/>
      <c r="GG3" s="135"/>
      <c r="GH3" s="135"/>
      <c r="GI3" s="135"/>
      <c r="GJ3" s="135"/>
      <c r="GK3" s="135"/>
      <c r="GL3" s="135"/>
      <c r="GM3" s="135"/>
      <c r="GN3" s="135"/>
      <c r="GO3" s="135"/>
      <c r="GP3" s="135"/>
      <c r="GQ3" s="135"/>
      <c r="GR3" s="135"/>
      <c r="GS3" s="135"/>
      <c r="GT3" s="135"/>
      <c r="GU3" s="135"/>
      <c r="GV3" s="135"/>
      <c r="GW3" s="135"/>
      <c r="GX3" s="135"/>
      <c r="GY3" s="135"/>
      <c r="GZ3" s="135"/>
      <c r="HA3" s="135"/>
      <c r="HB3" s="135"/>
      <c r="HC3" s="135"/>
      <c r="HD3" s="135"/>
      <c r="HE3" s="135"/>
      <c r="HF3" s="135"/>
      <c r="HG3" s="135"/>
      <c r="HH3" s="135"/>
      <c r="HI3" s="135"/>
      <c r="HJ3" s="135"/>
      <c r="HK3" s="135"/>
      <c r="HL3" s="135"/>
      <c r="HM3" s="135"/>
      <c r="HN3" s="135"/>
      <c r="HO3" s="135"/>
      <c r="HP3" s="135"/>
      <c r="HQ3" s="135"/>
      <c r="HR3" s="135"/>
      <c r="HS3" s="135"/>
      <c r="HT3" s="135"/>
      <c r="HU3" s="135"/>
      <c r="HV3" s="135"/>
      <c r="HW3" s="135"/>
      <c r="HX3" s="135"/>
      <c r="HY3" s="135"/>
      <c r="HZ3" s="135"/>
      <c r="IA3" s="135"/>
      <c r="IB3" s="135"/>
      <c r="IC3" s="135"/>
      <c r="ID3" s="135"/>
      <c r="IE3" s="135"/>
      <c r="IF3" s="135"/>
      <c r="IG3" s="135"/>
      <c r="IH3" s="135"/>
      <c r="II3" s="135"/>
      <c r="IJ3" s="135"/>
      <c r="IK3" s="135"/>
      <c r="IL3" s="135"/>
      <c r="IM3" s="135"/>
      <c r="IN3" s="135"/>
      <c r="IO3" s="135"/>
      <c r="IP3" s="135"/>
      <c r="IQ3" s="135"/>
      <c r="IR3" s="135"/>
      <c r="IS3" s="135"/>
      <c r="IT3" s="135"/>
      <c r="IU3" s="135"/>
      <c r="IV3" s="135"/>
      <c r="IW3" s="135"/>
      <c r="IX3" s="135"/>
      <c r="IY3" s="135"/>
      <c r="IZ3" s="135"/>
      <c r="JA3" s="135"/>
      <c r="JB3" s="135"/>
      <c r="JC3" s="135"/>
      <c r="JD3" s="135"/>
      <c r="JE3" s="135"/>
      <c r="JF3" s="135"/>
      <c r="JG3" s="135"/>
      <c r="JH3" s="135"/>
      <c r="JI3" s="135"/>
      <c r="JJ3" s="135"/>
      <c r="JK3" s="135"/>
      <c r="JL3" s="135"/>
      <c r="JM3" s="135"/>
      <c r="JN3" s="135"/>
      <c r="JO3" s="135"/>
      <c r="JP3" s="135"/>
      <c r="JQ3" s="135"/>
      <c r="JR3" s="135"/>
      <c r="JS3" s="135"/>
      <c r="JT3" s="135"/>
      <c r="JU3" s="135"/>
      <c r="JV3" s="135"/>
      <c r="JW3" s="135"/>
      <c r="JX3" s="135"/>
      <c r="JY3" s="135"/>
      <c r="JZ3" s="135"/>
      <c r="KA3" s="135"/>
      <c r="KB3" s="135"/>
      <c r="KC3" s="135"/>
      <c r="KD3" s="135"/>
      <c r="KE3" s="135"/>
      <c r="KF3" s="135"/>
      <c r="KG3" s="135"/>
      <c r="KH3" s="135"/>
      <c r="KI3" s="135"/>
      <c r="KJ3" s="135"/>
      <c r="KK3" s="135"/>
      <c r="KL3" s="135"/>
      <c r="KM3" s="135"/>
      <c r="KN3" s="135"/>
      <c r="KO3" s="135"/>
      <c r="KP3" s="135"/>
      <c r="KQ3" s="135"/>
      <c r="KR3" s="135"/>
      <c r="KS3" s="135"/>
      <c r="KT3" s="135"/>
    </row>
    <row r="4" spans="1:306" s="124" customFormat="1" ht="24">
      <c r="A4" s="527"/>
      <c r="B4" s="131" t="s">
        <v>480</v>
      </c>
      <c r="C4" s="131" t="s">
        <v>481</v>
      </c>
      <c r="D4" s="132" t="s">
        <v>482</v>
      </c>
      <c r="E4" s="132" t="s">
        <v>299</v>
      </c>
      <c r="F4" s="132" t="s">
        <v>302</v>
      </c>
      <c r="G4" s="132" t="s">
        <v>302</v>
      </c>
      <c r="H4" s="132" t="s">
        <v>57</v>
      </c>
      <c r="I4" s="131" t="s">
        <v>28</v>
      </c>
      <c r="J4" s="131" t="s">
        <v>302</v>
      </c>
      <c r="K4" s="528"/>
      <c r="L4" s="87"/>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5"/>
      <c r="AW4" s="135"/>
      <c r="AX4" s="135"/>
      <c r="AY4" s="135"/>
      <c r="AZ4" s="135"/>
      <c r="BA4" s="135"/>
      <c r="BB4" s="135"/>
      <c r="BC4" s="135"/>
      <c r="BD4" s="135"/>
      <c r="BE4" s="135"/>
      <c r="BF4" s="135"/>
      <c r="BG4" s="135"/>
      <c r="BH4" s="135"/>
      <c r="BI4" s="135"/>
      <c r="BJ4" s="135"/>
      <c r="BK4" s="135"/>
      <c r="BL4" s="135"/>
      <c r="BM4" s="135"/>
      <c r="BN4" s="135"/>
      <c r="BO4" s="135"/>
      <c r="BP4" s="135"/>
      <c r="BQ4" s="135"/>
      <c r="BR4" s="135"/>
      <c r="BS4" s="135"/>
      <c r="BT4" s="135"/>
      <c r="BU4" s="135"/>
      <c r="BV4" s="135"/>
      <c r="BW4" s="135"/>
      <c r="BX4" s="135"/>
      <c r="BY4" s="135"/>
      <c r="BZ4" s="135"/>
      <c r="CA4" s="135"/>
      <c r="CB4" s="135"/>
      <c r="CC4" s="135"/>
      <c r="CD4" s="135"/>
      <c r="CE4" s="135"/>
      <c r="CF4" s="135"/>
      <c r="CG4" s="135"/>
      <c r="CH4" s="135"/>
      <c r="CI4" s="135"/>
      <c r="CJ4" s="135"/>
      <c r="CK4" s="135"/>
      <c r="CL4" s="135"/>
      <c r="CM4" s="135"/>
      <c r="CN4" s="135"/>
      <c r="CO4" s="135"/>
      <c r="CP4" s="135"/>
      <c r="CQ4" s="135"/>
      <c r="CR4" s="135"/>
      <c r="CS4" s="135"/>
      <c r="CT4" s="135"/>
      <c r="CU4" s="135"/>
      <c r="CV4" s="135"/>
      <c r="CW4" s="135"/>
      <c r="CX4" s="135"/>
      <c r="CY4" s="135"/>
      <c r="CZ4" s="135"/>
      <c r="DA4" s="135"/>
      <c r="DB4" s="135"/>
      <c r="DC4" s="135"/>
      <c r="DD4" s="135"/>
      <c r="DE4" s="135"/>
      <c r="DF4" s="135"/>
      <c r="DG4" s="135"/>
      <c r="DH4" s="135"/>
      <c r="DI4" s="135"/>
      <c r="DJ4" s="135"/>
      <c r="DK4" s="135"/>
      <c r="DL4" s="135"/>
      <c r="DM4" s="135"/>
      <c r="DN4" s="135"/>
      <c r="DO4" s="135"/>
      <c r="DP4" s="135"/>
      <c r="DQ4" s="135"/>
      <c r="DR4" s="135"/>
      <c r="DS4" s="135"/>
      <c r="DT4" s="135"/>
      <c r="DU4" s="135"/>
      <c r="DV4" s="135"/>
      <c r="DW4" s="135"/>
      <c r="DX4" s="135"/>
      <c r="DY4" s="135"/>
      <c r="DZ4" s="135"/>
      <c r="EA4" s="135"/>
      <c r="EB4" s="135"/>
      <c r="EC4" s="135"/>
      <c r="ED4" s="135"/>
      <c r="EE4" s="135"/>
      <c r="EF4" s="135"/>
      <c r="EG4" s="135"/>
      <c r="EH4" s="135"/>
      <c r="EI4" s="135"/>
      <c r="EJ4" s="135"/>
      <c r="EK4" s="135"/>
      <c r="EL4" s="135"/>
      <c r="EM4" s="135"/>
      <c r="EN4" s="135"/>
      <c r="EO4" s="135"/>
      <c r="EP4" s="135"/>
      <c r="EQ4" s="135"/>
      <c r="ER4" s="135"/>
      <c r="ES4" s="135"/>
      <c r="ET4" s="135"/>
      <c r="EU4" s="135"/>
      <c r="EV4" s="135"/>
      <c r="EW4" s="135"/>
      <c r="EX4" s="135"/>
      <c r="EY4" s="135"/>
      <c r="EZ4" s="135"/>
      <c r="FA4" s="135"/>
      <c r="FB4" s="135"/>
      <c r="FC4" s="135"/>
      <c r="FD4" s="135"/>
      <c r="FE4" s="135"/>
      <c r="FF4" s="135"/>
      <c r="FG4" s="135"/>
      <c r="FH4" s="135"/>
      <c r="FI4" s="135"/>
      <c r="FJ4" s="135"/>
      <c r="FK4" s="135"/>
      <c r="FL4" s="135"/>
      <c r="FM4" s="135"/>
      <c r="FN4" s="135"/>
      <c r="FO4" s="135"/>
      <c r="FP4" s="135"/>
      <c r="FQ4" s="135"/>
      <c r="FR4" s="135"/>
      <c r="FS4" s="135"/>
      <c r="FT4" s="135"/>
      <c r="FU4" s="135"/>
      <c r="FV4" s="135"/>
      <c r="FW4" s="135"/>
      <c r="FX4" s="135"/>
      <c r="FY4" s="135"/>
      <c r="FZ4" s="135"/>
      <c r="GA4" s="135"/>
      <c r="GB4" s="135"/>
      <c r="GC4" s="135"/>
      <c r="GD4" s="135"/>
      <c r="GE4" s="135"/>
      <c r="GF4" s="135"/>
      <c r="GG4" s="135"/>
      <c r="GH4" s="135"/>
      <c r="GI4" s="135"/>
      <c r="GJ4" s="135"/>
      <c r="GK4" s="135"/>
      <c r="GL4" s="135"/>
      <c r="GM4" s="135"/>
      <c r="GN4" s="135"/>
      <c r="GO4" s="135"/>
      <c r="GP4" s="135"/>
      <c r="GQ4" s="135"/>
      <c r="GR4" s="135"/>
      <c r="GS4" s="135"/>
      <c r="GT4" s="135"/>
      <c r="GU4" s="135"/>
      <c r="GV4" s="135"/>
      <c r="GW4" s="135"/>
      <c r="GX4" s="135"/>
      <c r="GY4" s="135"/>
      <c r="GZ4" s="135"/>
      <c r="HA4" s="135"/>
      <c r="HB4" s="135"/>
      <c r="HC4" s="135"/>
      <c r="HD4" s="135"/>
      <c r="HE4" s="135"/>
      <c r="HF4" s="135"/>
      <c r="HG4" s="135"/>
      <c r="HH4" s="135"/>
      <c r="HI4" s="135"/>
      <c r="HJ4" s="135"/>
      <c r="HK4" s="135"/>
      <c r="HL4" s="135"/>
      <c r="HM4" s="135"/>
      <c r="HN4" s="135"/>
      <c r="HO4" s="135"/>
      <c r="HP4" s="135"/>
      <c r="HQ4" s="135"/>
      <c r="HR4" s="135"/>
      <c r="HS4" s="135"/>
      <c r="HT4" s="135"/>
      <c r="HU4" s="135"/>
      <c r="HV4" s="135"/>
      <c r="HW4" s="135"/>
      <c r="HX4" s="135"/>
      <c r="HY4" s="135"/>
      <c r="HZ4" s="135"/>
      <c r="IA4" s="135"/>
      <c r="IB4" s="135"/>
      <c r="IC4" s="135"/>
      <c r="ID4" s="135"/>
      <c r="IE4" s="135"/>
      <c r="IF4" s="135"/>
      <c r="IG4" s="135"/>
      <c r="IH4" s="135"/>
      <c r="II4" s="135"/>
      <c r="IJ4" s="135"/>
      <c r="IK4" s="135"/>
      <c r="IL4" s="135"/>
      <c r="IM4" s="135"/>
      <c r="IN4" s="135"/>
      <c r="IO4" s="135"/>
      <c r="IP4" s="135"/>
      <c r="IQ4" s="135"/>
      <c r="IR4" s="135"/>
      <c r="IS4" s="135"/>
      <c r="IT4" s="135"/>
      <c r="IU4" s="135"/>
      <c r="IV4" s="135"/>
      <c r="IW4" s="135"/>
      <c r="IX4" s="135"/>
      <c r="IY4" s="135"/>
      <c r="IZ4" s="135"/>
      <c r="JA4" s="135"/>
      <c r="JB4" s="135"/>
      <c r="JC4" s="135"/>
      <c r="JD4" s="135"/>
      <c r="JE4" s="135"/>
      <c r="JF4" s="135"/>
      <c r="JG4" s="135"/>
      <c r="JH4" s="135"/>
      <c r="JI4" s="135"/>
      <c r="JJ4" s="135"/>
      <c r="JK4" s="135"/>
      <c r="JL4" s="135"/>
      <c r="JM4" s="135"/>
      <c r="JN4" s="135"/>
      <c r="JO4" s="135"/>
      <c r="JP4" s="135"/>
      <c r="JQ4" s="135"/>
      <c r="JR4" s="135"/>
      <c r="JS4" s="135"/>
      <c r="JT4" s="135"/>
      <c r="JU4" s="135"/>
      <c r="JV4" s="135"/>
      <c r="JW4" s="135"/>
      <c r="JX4" s="135"/>
      <c r="JY4" s="135"/>
      <c r="JZ4" s="135"/>
      <c r="KA4" s="135"/>
      <c r="KB4" s="135"/>
      <c r="KC4" s="135"/>
      <c r="KD4" s="135"/>
      <c r="KE4" s="135"/>
      <c r="KF4" s="135"/>
      <c r="KG4" s="135"/>
      <c r="KH4" s="135"/>
      <c r="KI4" s="135"/>
      <c r="KJ4" s="135"/>
      <c r="KK4" s="135"/>
      <c r="KL4" s="135"/>
      <c r="KM4" s="135"/>
      <c r="KN4" s="135"/>
      <c r="KO4" s="135"/>
      <c r="KP4" s="135"/>
      <c r="KQ4" s="135"/>
      <c r="KR4" s="135"/>
      <c r="KS4" s="135"/>
      <c r="KT4" s="135"/>
    </row>
    <row r="5" spans="1:306" s="124" customFormat="1" ht="24">
      <c r="A5" s="527"/>
      <c r="B5" s="131" t="s">
        <v>483</v>
      </c>
      <c r="C5" s="131" t="s">
        <v>484</v>
      </c>
      <c r="D5" s="132" t="s">
        <v>485</v>
      </c>
      <c r="E5" s="132" t="s">
        <v>299</v>
      </c>
      <c r="F5" s="132" t="s">
        <v>302</v>
      </c>
      <c r="G5" s="132" t="s">
        <v>302</v>
      </c>
      <c r="H5" s="132" t="s">
        <v>57</v>
      </c>
      <c r="I5" s="131" t="s">
        <v>28</v>
      </c>
      <c r="J5" s="131" t="s">
        <v>302</v>
      </c>
      <c r="K5" s="528"/>
      <c r="L5" s="87"/>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5"/>
      <c r="AO5" s="135"/>
      <c r="AP5" s="135"/>
      <c r="AQ5" s="135"/>
      <c r="AR5" s="135"/>
      <c r="AS5" s="135"/>
      <c r="AT5" s="135"/>
      <c r="AU5" s="135"/>
      <c r="AV5" s="135"/>
      <c r="AW5" s="135"/>
      <c r="AX5" s="135"/>
      <c r="AY5" s="135"/>
      <c r="AZ5" s="135"/>
      <c r="BA5" s="135"/>
      <c r="BB5" s="135"/>
      <c r="BC5" s="135"/>
      <c r="BD5" s="135"/>
      <c r="BE5" s="135"/>
      <c r="BF5" s="135"/>
      <c r="BG5" s="135"/>
      <c r="BH5" s="135"/>
      <c r="BI5" s="135"/>
      <c r="BJ5" s="135"/>
      <c r="BK5" s="135"/>
      <c r="BL5" s="135"/>
      <c r="BM5" s="135"/>
      <c r="BN5" s="135"/>
      <c r="BO5" s="135"/>
      <c r="BP5" s="135"/>
      <c r="BQ5" s="135"/>
      <c r="BR5" s="135"/>
      <c r="BS5" s="135"/>
      <c r="BT5" s="135"/>
      <c r="BU5" s="135"/>
      <c r="BV5" s="135"/>
      <c r="BW5" s="135"/>
      <c r="BX5" s="135"/>
      <c r="BY5" s="135"/>
      <c r="BZ5" s="135"/>
      <c r="CA5" s="135"/>
      <c r="CB5" s="135"/>
      <c r="CC5" s="135"/>
      <c r="CD5" s="135"/>
      <c r="CE5" s="135"/>
      <c r="CF5" s="135"/>
      <c r="CG5" s="135"/>
      <c r="CH5" s="135"/>
      <c r="CI5" s="135"/>
      <c r="CJ5" s="135"/>
      <c r="CK5" s="135"/>
      <c r="CL5" s="135"/>
      <c r="CM5" s="135"/>
      <c r="CN5" s="135"/>
      <c r="CO5" s="135"/>
      <c r="CP5" s="135"/>
      <c r="CQ5" s="135"/>
      <c r="CR5" s="135"/>
      <c r="CS5" s="135"/>
      <c r="CT5" s="135"/>
      <c r="CU5" s="135"/>
      <c r="CV5" s="135"/>
      <c r="CW5" s="135"/>
      <c r="CX5" s="135"/>
      <c r="CY5" s="135"/>
      <c r="CZ5" s="135"/>
      <c r="DA5" s="135"/>
      <c r="DB5" s="135"/>
      <c r="DC5" s="135"/>
      <c r="DD5" s="135"/>
      <c r="DE5" s="135"/>
      <c r="DF5" s="135"/>
      <c r="DG5" s="135"/>
      <c r="DH5" s="135"/>
      <c r="DI5" s="135"/>
      <c r="DJ5" s="135"/>
      <c r="DK5" s="135"/>
      <c r="DL5" s="135"/>
      <c r="DM5" s="135"/>
      <c r="DN5" s="135"/>
      <c r="DO5" s="135"/>
      <c r="DP5" s="135"/>
      <c r="DQ5" s="135"/>
      <c r="DR5" s="135"/>
      <c r="DS5" s="135"/>
      <c r="DT5" s="135"/>
      <c r="DU5" s="135"/>
      <c r="DV5" s="135"/>
      <c r="DW5" s="135"/>
      <c r="DX5" s="135"/>
      <c r="DY5" s="135"/>
      <c r="DZ5" s="135"/>
      <c r="EA5" s="135"/>
      <c r="EB5" s="135"/>
      <c r="EC5" s="135"/>
      <c r="ED5" s="135"/>
      <c r="EE5" s="135"/>
      <c r="EF5" s="135"/>
      <c r="EG5" s="135"/>
      <c r="EH5" s="135"/>
      <c r="EI5" s="135"/>
      <c r="EJ5" s="135"/>
      <c r="EK5" s="135"/>
      <c r="EL5" s="135"/>
      <c r="EM5" s="135"/>
      <c r="EN5" s="135"/>
      <c r="EO5" s="135"/>
      <c r="EP5" s="135"/>
      <c r="EQ5" s="135"/>
      <c r="ER5" s="135"/>
      <c r="ES5" s="135"/>
      <c r="ET5" s="135"/>
      <c r="EU5" s="135"/>
      <c r="EV5" s="135"/>
      <c r="EW5" s="135"/>
      <c r="EX5" s="135"/>
      <c r="EY5" s="135"/>
      <c r="EZ5" s="135"/>
      <c r="FA5" s="135"/>
      <c r="FB5" s="135"/>
      <c r="FC5" s="135"/>
      <c r="FD5" s="135"/>
      <c r="FE5" s="135"/>
      <c r="FF5" s="135"/>
      <c r="FG5" s="135"/>
      <c r="FH5" s="135"/>
      <c r="FI5" s="135"/>
      <c r="FJ5" s="135"/>
      <c r="FK5" s="135"/>
      <c r="FL5" s="135"/>
      <c r="FM5" s="135"/>
      <c r="FN5" s="135"/>
      <c r="FO5" s="135"/>
      <c r="FP5" s="135"/>
      <c r="FQ5" s="135"/>
      <c r="FR5" s="135"/>
      <c r="FS5" s="135"/>
      <c r="FT5" s="135"/>
      <c r="FU5" s="135"/>
      <c r="FV5" s="135"/>
      <c r="FW5" s="135"/>
      <c r="FX5" s="135"/>
      <c r="FY5" s="135"/>
      <c r="FZ5" s="135"/>
      <c r="GA5" s="135"/>
      <c r="GB5" s="135"/>
      <c r="GC5" s="135"/>
      <c r="GD5" s="135"/>
      <c r="GE5" s="135"/>
      <c r="GF5" s="135"/>
      <c r="GG5" s="135"/>
      <c r="GH5" s="135"/>
      <c r="GI5" s="135"/>
      <c r="GJ5" s="135"/>
      <c r="GK5" s="135"/>
      <c r="GL5" s="135"/>
      <c r="GM5" s="135"/>
      <c r="GN5" s="135"/>
      <c r="GO5" s="135"/>
      <c r="GP5" s="135"/>
      <c r="GQ5" s="135"/>
      <c r="GR5" s="135"/>
      <c r="GS5" s="135"/>
      <c r="GT5" s="135"/>
      <c r="GU5" s="135"/>
      <c r="GV5" s="135"/>
      <c r="GW5" s="135"/>
      <c r="GX5" s="135"/>
      <c r="GY5" s="135"/>
      <c r="GZ5" s="135"/>
      <c r="HA5" s="135"/>
      <c r="HB5" s="135"/>
      <c r="HC5" s="135"/>
      <c r="HD5" s="135"/>
      <c r="HE5" s="135"/>
      <c r="HF5" s="135"/>
      <c r="HG5" s="135"/>
      <c r="HH5" s="135"/>
      <c r="HI5" s="135"/>
      <c r="HJ5" s="135"/>
      <c r="HK5" s="135"/>
      <c r="HL5" s="135"/>
      <c r="HM5" s="135"/>
      <c r="HN5" s="135"/>
      <c r="HO5" s="135"/>
      <c r="HP5" s="135"/>
      <c r="HQ5" s="135"/>
      <c r="HR5" s="135"/>
      <c r="HS5" s="135"/>
      <c r="HT5" s="135"/>
      <c r="HU5" s="135"/>
      <c r="HV5" s="135"/>
      <c r="HW5" s="135"/>
      <c r="HX5" s="135"/>
      <c r="HY5" s="135"/>
      <c r="HZ5" s="135"/>
      <c r="IA5" s="135"/>
      <c r="IB5" s="135"/>
      <c r="IC5" s="135"/>
      <c r="ID5" s="135"/>
      <c r="IE5" s="135"/>
      <c r="IF5" s="135"/>
      <c r="IG5" s="135"/>
      <c r="IH5" s="135"/>
      <c r="II5" s="135"/>
      <c r="IJ5" s="135"/>
      <c r="IK5" s="135"/>
      <c r="IL5" s="135"/>
      <c r="IM5" s="135"/>
      <c r="IN5" s="135"/>
      <c r="IO5" s="135"/>
      <c r="IP5" s="135"/>
      <c r="IQ5" s="135"/>
      <c r="IR5" s="135"/>
      <c r="IS5" s="135"/>
      <c r="IT5" s="135"/>
      <c r="IU5" s="135"/>
      <c r="IV5" s="135"/>
      <c r="IW5" s="135"/>
      <c r="IX5" s="135"/>
      <c r="IY5" s="135"/>
      <c r="IZ5" s="135"/>
      <c r="JA5" s="135"/>
      <c r="JB5" s="135"/>
      <c r="JC5" s="135"/>
      <c r="JD5" s="135"/>
      <c r="JE5" s="135"/>
      <c r="JF5" s="135"/>
      <c r="JG5" s="135"/>
      <c r="JH5" s="135"/>
      <c r="JI5" s="135"/>
      <c r="JJ5" s="135"/>
      <c r="JK5" s="135"/>
      <c r="JL5" s="135"/>
      <c r="JM5" s="135"/>
      <c r="JN5" s="135"/>
      <c r="JO5" s="135"/>
      <c r="JP5" s="135"/>
      <c r="JQ5" s="135"/>
      <c r="JR5" s="135"/>
      <c r="JS5" s="135"/>
      <c r="JT5" s="135"/>
      <c r="JU5" s="135"/>
      <c r="JV5" s="135"/>
      <c r="JW5" s="135"/>
      <c r="JX5" s="135"/>
      <c r="JY5" s="135"/>
      <c r="JZ5" s="135"/>
      <c r="KA5" s="135"/>
      <c r="KB5" s="135"/>
      <c r="KC5" s="135"/>
      <c r="KD5" s="135"/>
      <c r="KE5" s="135"/>
      <c r="KF5" s="135"/>
      <c r="KG5" s="135"/>
      <c r="KH5" s="135"/>
      <c r="KI5" s="135"/>
      <c r="KJ5" s="135"/>
      <c r="KK5" s="135"/>
      <c r="KL5" s="135"/>
      <c r="KM5" s="135"/>
      <c r="KN5" s="135"/>
      <c r="KO5" s="135"/>
      <c r="KP5" s="135"/>
      <c r="KQ5" s="135"/>
      <c r="KR5" s="135"/>
      <c r="KS5" s="135"/>
      <c r="KT5" s="135"/>
    </row>
    <row r="6" spans="1:306" s="124" customFormat="1" ht="24">
      <c r="A6" s="527"/>
      <c r="B6" s="131" t="s">
        <v>486</v>
      </c>
      <c r="C6" s="131" t="s">
        <v>487</v>
      </c>
      <c r="D6" s="132" t="s">
        <v>488</v>
      </c>
      <c r="E6" s="132" t="s">
        <v>299</v>
      </c>
      <c r="F6" s="132" t="s">
        <v>302</v>
      </c>
      <c r="G6" s="132" t="s">
        <v>302</v>
      </c>
      <c r="H6" s="132" t="s">
        <v>57</v>
      </c>
      <c r="I6" s="131" t="s">
        <v>28</v>
      </c>
      <c r="J6" s="131" t="s">
        <v>302</v>
      </c>
      <c r="K6" s="528"/>
      <c r="L6" s="87"/>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5"/>
      <c r="BK6" s="135"/>
      <c r="BL6" s="135"/>
      <c r="BM6" s="135"/>
      <c r="BN6" s="135"/>
      <c r="BO6" s="135"/>
      <c r="BP6" s="135"/>
      <c r="BQ6" s="135"/>
      <c r="BR6" s="135"/>
      <c r="BS6" s="135"/>
      <c r="BT6" s="135"/>
      <c r="BU6" s="135"/>
      <c r="BV6" s="135"/>
      <c r="BW6" s="135"/>
      <c r="BX6" s="135"/>
      <c r="BY6" s="135"/>
      <c r="BZ6" s="135"/>
      <c r="CA6" s="135"/>
      <c r="CB6" s="135"/>
      <c r="CC6" s="135"/>
      <c r="CD6" s="135"/>
      <c r="CE6" s="135"/>
      <c r="CF6" s="135"/>
      <c r="CG6" s="135"/>
      <c r="CH6" s="135"/>
      <c r="CI6" s="135"/>
      <c r="CJ6" s="135"/>
      <c r="CK6" s="135"/>
      <c r="CL6" s="135"/>
      <c r="CM6" s="135"/>
      <c r="CN6" s="135"/>
      <c r="CO6" s="135"/>
      <c r="CP6" s="135"/>
      <c r="CQ6" s="135"/>
      <c r="CR6" s="135"/>
      <c r="CS6" s="135"/>
      <c r="CT6" s="135"/>
      <c r="CU6" s="135"/>
      <c r="CV6" s="135"/>
      <c r="CW6" s="135"/>
      <c r="CX6" s="135"/>
      <c r="CY6" s="135"/>
      <c r="CZ6" s="135"/>
      <c r="DA6" s="135"/>
      <c r="DB6" s="135"/>
      <c r="DC6" s="135"/>
      <c r="DD6" s="135"/>
      <c r="DE6" s="135"/>
      <c r="DF6" s="135"/>
      <c r="DG6" s="135"/>
      <c r="DH6" s="135"/>
      <c r="DI6" s="135"/>
      <c r="DJ6" s="135"/>
      <c r="DK6" s="135"/>
      <c r="DL6" s="135"/>
      <c r="DM6" s="135"/>
      <c r="DN6" s="135"/>
      <c r="DO6" s="135"/>
      <c r="DP6" s="135"/>
      <c r="DQ6" s="135"/>
      <c r="DR6" s="135"/>
      <c r="DS6" s="135"/>
      <c r="DT6" s="135"/>
      <c r="DU6" s="135"/>
      <c r="DV6" s="135"/>
      <c r="DW6" s="135"/>
      <c r="DX6" s="135"/>
      <c r="DY6" s="135"/>
      <c r="DZ6" s="135"/>
      <c r="EA6" s="135"/>
      <c r="EB6" s="135"/>
      <c r="EC6" s="135"/>
      <c r="ED6" s="135"/>
      <c r="EE6" s="135"/>
      <c r="EF6" s="135"/>
      <c r="EG6" s="135"/>
      <c r="EH6" s="135"/>
      <c r="EI6" s="135"/>
      <c r="EJ6" s="135"/>
      <c r="EK6" s="135"/>
      <c r="EL6" s="135"/>
      <c r="EM6" s="135"/>
      <c r="EN6" s="135"/>
      <c r="EO6" s="135"/>
      <c r="EP6" s="135"/>
      <c r="EQ6" s="135"/>
      <c r="ER6" s="135"/>
      <c r="ES6" s="135"/>
      <c r="ET6" s="135"/>
      <c r="EU6" s="135"/>
      <c r="EV6" s="135"/>
      <c r="EW6" s="135"/>
      <c r="EX6" s="135"/>
      <c r="EY6" s="135"/>
      <c r="EZ6" s="135"/>
      <c r="FA6" s="135"/>
      <c r="FB6" s="135"/>
      <c r="FC6" s="135"/>
      <c r="FD6" s="135"/>
      <c r="FE6" s="135"/>
      <c r="FF6" s="135"/>
      <c r="FG6" s="135"/>
      <c r="FH6" s="135"/>
      <c r="FI6" s="135"/>
      <c r="FJ6" s="135"/>
      <c r="FK6" s="135"/>
      <c r="FL6" s="135"/>
      <c r="FM6" s="135"/>
      <c r="FN6" s="135"/>
      <c r="FO6" s="135"/>
      <c r="FP6" s="135"/>
      <c r="FQ6" s="135"/>
      <c r="FR6" s="135"/>
      <c r="FS6" s="135"/>
      <c r="FT6" s="135"/>
      <c r="FU6" s="135"/>
      <c r="FV6" s="135"/>
      <c r="FW6" s="135"/>
      <c r="FX6" s="135"/>
      <c r="FY6" s="135"/>
      <c r="FZ6" s="135"/>
      <c r="GA6" s="135"/>
      <c r="GB6" s="135"/>
      <c r="GC6" s="135"/>
      <c r="GD6" s="135"/>
      <c r="GE6" s="135"/>
      <c r="GF6" s="135"/>
      <c r="GG6" s="135"/>
      <c r="GH6" s="135"/>
      <c r="GI6" s="135"/>
      <c r="GJ6" s="135"/>
      <c r="GK6" s="135"/>
      <c r="GL6" s="135"/>
      <c r="GM6" s="135"/>
      <c r="GN6" s="135"/>
      <c r="GO6" s="135"/>
      <c r="GP6" s="135"/>
      <c r="GQ6" s="135"/>
      <c r="GR6" s="135"/>
      <c r="GS6" s="135"/>
      <c r="GT6" s="135"/>
      <c r="GU6" s="135"/>
      <c r="GV6" s="135"/>
      <c r="GW6" s="135"/>
      <c r="GX6" s="135"/>
      <c r="GY6" s="135"/>
      <c r="GZ6" s="135"/>
      <c r="HA6" s="135"/>
      <c r="HB6" s="135"/>
      <c r="HC6" s="135"/>
      <c r="HD6" s="135"/>
      <c r="HE6" s="135"/>
      <c r="HF6" s="135"/>
      <c r="HG6" s="135"/>
      <c r="HH6" s="135"/>
      <c r="HI6" s="135"/>
      <c r="HJ6" s="135"/>
      <c r="HK6" s="135"/>
      <c r="HL6" s="135"/>
      <c r="HM6" s="135"/>
      <c r="HN6" s="135"/>
      <c r="HO6" s="135"/>
      <c r="HP6" s="135"/>
      <c r="HQ6" s="135"/>
      <c r="HR6" s="135"/>
      <c r="HS6" s="135"/>
      <c r="HT6" s="135"/>
      <c r="HU6" s="135"/>
      <c r="HV6" s="135"/>
      <c r="HW6" s="135"/>
      <c r="HX6" s="135"/>
      <c r="HY6" s="135"/>
      <c r="HZ6" s="135"/>
      <c r="IA6" s="135"/>
      <c r="IB6" s="135"/>
      <c r="IC6" s="135"/>
      <c r="ID6" s="135"/>
      <c r="IE6" s="135"/>
      <c r="IF6" s="135"/>
      <c r="IG6" s="135"/>
      <c r="IH6" s="135"/>
      <c r="II6" s="135"/>
      <c r="IJ6" s="135"/>
      <c r="IK6" s="135"/>
      <c r="IL6" s="135"/>
      <c r="IM6" s="135"/>
      <c r="IN6" s="135"/>
      <c r="IO6" s="135"/>
      <c r="IP6" s="135"/>
      <c r="IQ6" s="135"/>
      <c r="IR6" s="135"/>
      <c r="IS6" s="135"/>
      <c r="IT6" s="135"/>
      <c r="IU6" s="135"/>
      <c r="IV6" s="135"/>
      <c r="IW6" s="135"/>
      <c r="IX6" s="135"/>
      <c r="IY6" s="135"/>
      <c r="IZ6" s="135"/>
      <c r="JA6" s="135"/>
      <c r="JB6" s="135"/>
      <c r="JC6" s="135"/>
      <c r="JD6" s="135"/>
      <c r="JE6" s="135"/>
      <c r="JF6" s="135"/>
      <c r="JG6" s="135"/>
      <c r="JH6" s="135"/>
      <c r="JI6" s="135"/>
      <c r="JJ6" s="135"/>
      <c r="JK6" s="135"/>
      <c r="JL6" s="135"/>
      <c r="JM6" s="135"/>
      <c r="JN6" s="135"/>
      <c r="JO6" s="135"/>
      <c r="JP6" s="135"/>
      <c r="JQ6" s="135"/>
      <c r="JR6" s="135"/>
      <c r="JS6" s="135"/>
      <c r="JT6" s="135"/>
      <c r="JU6" s="135"/>
      <c r="JV6" s="135"/>
      <c r="JW6" s="135"/>
      <c r="JX6" s="135"/>
      <c r="JY6" s="135"/>
      <c r="JZ6" s="135"/>
      <c r="KA6" s="135"/>
      <c r="KB6" s="135"/>
      <c r="KC6" s="135"/>
      <c r="KD6" s="135"/>
      <c r="KE6" s="135"/>
      <c r="KF6" s="135"/>
      <c r="KG6" s="135"/>
      <c r="KH6" s="135"/>
      <c r="KI6" s="135"/>
      <c r="KJ6" s="135"/>
      <c r="KK6" s="135"/>
      <c r="KL6" s="135"/>
      <c r="KM6" s="135"/>
      <c r="KN6" s="135"/>
      <c r="KO6" s="135"/>
      <c r="KP6" s="135"/>
      <c r="KQ6" s="135"/>
      <c r="KR6" s="135"/>
      <c r="KS6" s="135"/>
      <c r="KT6" s="135"/>
    </row>
    <row r="7" spans="1:306" s="124" customFormat="1" ht="24">
      <c r="A7" s="527"/>
      <c r="B7" s="131" t="s">
        <v>489</v>
      </c>
      <c r="C7" s="131" t="s">
        <v>490</v>
      </c>
      <c r="D7" s="132" t="s">
        <v>491</v>
      </c>
      <c r="E7" s="132" t="s">
        <v>299</v>
      </c>
      <c r="F7" s="132" t="s">
        <v>302</v>
      </c>
      <c r="G7" s="132" t="s">
        <v>302</v>
      </c>
      <c r="H7" s="132" t="s">
        <v>57</v>
      </c>
      <c r="I7" s="131" t="s">
        <v>28</v>
      </c>
      <c r="J7" s="131" t="s">
        <v>302</v>
      </c>
      <c r="K7" s="528"/>
      <c r="L7" s="87"/>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c r="AO7" s="135"/>
      <c r="AP7" s="135"/>
      <c r="AQ7" s="135"/>
      <c r="AR7" s="135"/>
      <c r="AS7" s="135"/>
      <c r="AT7" s="135"/>
      <c r="AU7" s="135"/>
      <c r="AV7" s="135"/>
      <c r="AW7" s="135"/>
      <c r="AX7" s="135"/>
      <c r="AY7" s="135"/>
      <c r="AZ7" s="135"/>
      <c r="BA7" s="135"/>
      <c r="BB7" s="135"/>
      <c r="BC7" s="135"/>
      <c r="BD7" s="135"/>
      <c r="BE7" s="135"/>
      <c r="BF7" s="135"/>
      <c r="BG7" s="135"/>
      <c r="BH7" s="135"/>
      <c r="BI7" s="135"/>
      <c r="BJ7" s="135"/>
      <c r="BK7" s="135"/>
      <c r="BL7" s="135"/>
      <c r="BM7" s="135"/>
      <c r="BN7" s="135"/>
      <c r="BO7" s="135"/>
      <c r="BP7" s="135"/>
      <c r="BQ7" s="135"/>
      <c r="BR7" s="135"/>
      <c r="BS7" s="135"/>
      <c r="BT7" s="135"/>
      <c r="BU7" s="135"/>
      <c r="BV7" s="135"/>
      <c r="BW7" s="135"/>
      <c r="BX7" s="135"/>
      <c r="BY7" s="135"/>
      <c r="BZ7" s="135"/>
      <c r="CA7" s="135"/>
      <c r="CB7" s="135"/>
      <c r="CC7" s="135"/>
      <c r="CD7" s="135"/>
      <c r="CE7" s="135"/>
      <c r="CF7" s="135"/>
      <c r="CG7" s="135"/>
      <c r="CH7" s="135"/>
      <c r="CI7" s="135"/>
      <c r="CJ7" s="135"/>
      <c r="CK7" s="135"/>
      <c r="CL7" s="135"/>
      <c r="CM7" s="135"/>
      <c r="CN7" s="135"/>
      <c r="CO7" s="135"/>
      <c r="CP7" s="135"/>
      <c r="CQ7" s="135"/>
      <c r="CR7" s="135"/>
      <c r="CS7" s="135"/>
      <c r="CT7" s="135"/>
      <c r="CU7" s="135"/>
      <c r="CV7" s="135"/>
      <c r="CW7" s="135"/>
      <c r="CX7" s="135"/>
      <c r="CY7" s="135"/>
      <c r="CZ7" s="135"/>
      <c r="DA7" s="135"/>
      <c r="DB7" s="135"/>
      <c r="DC7" s="135"/>
      <c r="DD7" s="135"/>
      <c r="DE7" s="135"/>
      <c r="DF7" s="135"/>
      <c r="DG7" s="135"/>
      <c r="DH7" s="135"/>
      <c r="DI7" s="135"/>
      <c r="DJ7" s="135"/>
      <c r="DK7" s="135"/>
      <c r="DL7" s="135"/>
      <c r="DM7" s="135"/>
      <c r="DN7" s="135"/>
      <c r="DO7" s="135"/>
      <c r="DP7" s="135"/>
      <c r="DQ7" s="135"/>
      <c r="DR7" s="135"/>
      <c r="DS7" s="135"/>
      <c r="DT7" s="135"/>
      <c r="DU7" s="135"/>
      <c r="DV7" s="135"/>
      <c r="DW7" s="135"/>
      <c r="DX7" s="135"/>
      <c r="DY7" s="135"/>
      <c r="DZ7" s="135"/>
      <c r="EA7" s="135"/>
      <c r="EB7" s="135"/>
      <c r="EC7" s="135"/>
      <c r="ED7" s="135"/>
      <c r="EE7" s="135"/>
      <c r="EF7" s="135"/>
      <c r="EG7" s="135"/>
      <c r="EH7" s="135"/>
      <c r="EI7" s="135"/>
      <c r="EJ7" s="135"/>
      <c r="EK7" s="135"/>
      <c r="EL7" s="135"/>
      <c r="EM7" s="135"/>
      <c r="EN7" s="135"/>
      <c r="EO7" s="135"/>
      <c r="EP7" s="135"/>
      <c r="EQ7" s="135"/>
      <c r="ER7" s="135"/>
      <c r="ES7" s="135"/>
      <c r="ET7" s="135"/>
      <c r="EU7" s="135"/>
      <c r="EV7" s="135"/>
      <c r="EW7" s="135"/>
      <c r="EX7" s="135"/>
      <c r="EY7" s="135"/>
      <c r="EZ7" s="135"/>
      <c r="FA7" s="135"/>
      <c r="FB7" s="135"/>
      <c r="FC7" s="135"/>
      <c r="FD7" s="135"/>
      <c r="FE7" s="135"/>
      <c r="FF7" s="135"/>
      <c r="FG7" s="135"/>
      <c r="FH7" s="135"/>
      <c r="FI7" s="135"/>
      <c r="FJ7" s="135"/>
      <c r="FK7" s="135"/>
      <c r="FL7" s="135"/>
      <c r="FM7" s="135"/>
      <c r="FN7" s="135"/>
      <c r="FO7" s="135"/>
      <c r="FP7" s="135"/>
      <c r="FQ7" s="135"/>
      <c r="FR7" s="135"/>
      <c r="FS7" s="135"/>
      <c r="FT7" s="135"/>
      <c r="FU7" s="135"/>
      <c r="FV7" s="135"/>
      <c r="FW7" s="135"/>
      <c r="FX7" s="135"/>
      <c r="FY7" s="135"/>
      <c r="FZ7" s="135"/>
      <c r="GA7" s="135"/>
      <c r="GB7" s="135"/>
      <c r="GC7" s="135"/>
      <c r="GD7" s="135"/>
      <c r="GE7" s="135"/>
      <c r="GF7" s="135"/>
      <c r="GG7" s="135"/>
      <c r="GH7" s="135"/>
      <c r="GI7" s="135"/>
      <c r="GJ7" s="135"/>
      <c r="GK7" s="135"/>
      <c r="GL7" s="135"/>
      <c r="GM7" s="135"/>
      <c r="GN7" s="135"/>
      <c r="GO7" s="135"/>
      <c r="GP7" s="135"/>
      <c r="GQ7" s="135"/>
      <c r="GR7" s="135"/>
      <c r="GS7" s="135"/>
      <c r="GT7" s="135"/>
      <c r="GU7" s="135"/>
      <c r="GV7" s="135"/>
      <c r="GW7" s="135"/>
      <c r="GX7" s="135"/>
      <c r="GY7" s="135"/>
      <c r="GZ7" s="135"/>
      <c r="HA7" s="135"/>
      <c r="HB7" s="135"/>
      <c r="HC7" s="135"/>
      <c r="HD7" s="135"/>
      <c r="HE7" s="135"/>
      <c r="HF7" s="135"/>
      <c r="HG7" s="135"/>
      <c r="HH7" s="135"/>
      <c r="HI7" s="135"/>
      <c r="HJ7" s="135"/>
      <c r="HK7" s="135"/>
      <c r="HL7" s="135"/>
      <c r="HM7" s="135"/>
      <c r="HN7" s="135"/>
      <c r="HO7" s="135"/>
      <c r="HP7" s="135"/>
      <c r="HQ7" s="135"/>
      <c r="HR7" s="135"/>
      <c r="HS7" s="135"/>
      <c r="HT7" s="135"/>
      <c r="HU7" s="135"/>
      <c r="HV7" s="135"/>
      <c r="HW7" s="135"/>
      <c r="HX7" s="135"/>
      <c r="HY7" s="135"/>
      <c r="HZ7" s="135"/>
      <c r="IA7" s="135"/>
      <c r="IB7" s="135"/>
      <c r="IC7" s="135"/>
      <c r="ID7" s="135"/>
      <c r="IE7" s="135"/>
      <c r="IF7" s="135"/>
      <c r="IG7" s="135"/>
      <c r="IH7" s="135"/>
      <c r="II7" s="135"/>
      <c r="IJ7" s="135"/>
      <c r="IK7" s="135"/>
      <c r="IL7" s="135"/>
      <c r="IM7" s="135"/>
      <c r="IN7" s="135"/>
      <c r="IO7" s="135"/>
      <c r="IP7" s="135"/>
      <c r="IQ7" s="135"/>
      <c r="IR7" s="135"/>
      <c r="IS7" s="135"/>
      <c r="IT7" s="135"/>
      <c r="IU7" s="135"/>
      <c r="IV7" s="135"/>
      <c r="IW7" s="135"/>
      <c r="IX7" s="135"/>
      <c r="IY7" s="135"/>
      <c r="IZ7" s="135"/>
      <c r="JA7" s="135"/>
      <c r="JB7" s="135"/>
      <c r="JC7" s="135"/>
      <c r="JD7" s="135"/>
      <c r="JE7" s="135"/>
      <c r="JF7" s="135"/>
      <c r="JG7" s="135"/>
      <c r="JH7" s="135"/>
      <c r="JI7" s="135"/>
      <c r="JJ7" s="135"/>
      <c r="JK7" s="135"/>
      <c r="JL7" s="135"/>
      <c r="JM7" s="135"/>
      <c r="JN7" s="135"/>
      <c r="JO7" s="135"/>
      <c r="JP7" s="135"/>
      <c r="JQ7" s="135"/>
      <c r="JR7" s="135"/>
      <c r="JS7" s="135"/>
      <c r="JT7" s="135"/>
      <c r="JU7" s="135"/>
      <c r="JV7" s="135"/>
      <c r="JW7" s="135"/>
      <c r="JX7" s="135"/>
      <c r="JY7" s="135"/>
      <c r="JZ7" s="135"/>
      <c r="KA7" s="135"/>
      <c r="KB7" s="135"/>
      <c r="KC7" s="135"/>
      <c r="KD7" s="135"/>
      <c r="KE7" s="135"/>
      <c r="KF7" s="135"/>
      <c r="KG7" s="135"/>
      <c r="KH7" s="135"/>
      <c r="KI7" s="135"/>
      <c r="KJ7" s="135"/>
      <c r="KK7" s="135"/>
      <c r="KL7" s="135"/>
      <c r="KM7" s="135"/>
      <c r="KN7" s="135"/>
      <c r="KO7" s="135"/>
      <c r="KP7" s="135"/>
      <c r="KQ7" s="135"/>
      <c r="KR7" s="135"/>
      <c r="KS7" s="135"/>
      <c r="KT7" s="135"/>
    </row>
    <row r="8" spans="1:306" s="125" customFormat="1" ht="48">
      <c r="A8" s="527"/>
      <c r="B8" s="133" t="s">
        <v>492</v>
      </c>
      <c r="C8" s="133" t="s">
        <v>493</v>
      </c>
      <c r="D8" s="134" t="s">
        <v>494</v>
      </c>
      <c r="E8" s="134" t="s">
        <v>299</v>
      </c>
      <c r="F8" s="132" t="s">
        <v>302</v>
      </c>
      <c r="G8" s="132" t="s">
        <v>302</v>
      </c>
      <c r="H8" s="134" t="s">
        <v>57</v>
      </c>
      <c r="I8" s="133" t="s">
        <v>310</v>
      </c>
      <c r="J8" s="133" t="s">
        <v>495</v>
      </c>
      <c r="K8" s="528"/>
      <c r="L8" s="136"/>
      <c r="M8" s="137"/>
      <c r="N8" s="137"/>
      <c r="O8" s="137"/>
      <c r="P8" s="137"/>
      <c r="Q8" s="137"/>
      <c r="R8" s="137"/>
      <c r="S8" s="137"/>
      <c r="T8" s="137"/>
      <c r="U8" s="137"/>
      <c r="V8" s="137"/>
      <c r="W8" s="137"/>
      <c r="X8" s="137"/>
      <c r="Y8" s="137"/>
      <c r="Z8" s="137"/>
      <c r="AA8" s="137"/>
      <c r="AB8" s="137"/>
      <c r="AC8" s="137"/>
      <c r="AD8" s="137"/>
      <c r="AE8" s="137"/>
      <c r="AF8" s="137"/>
      <c r="AG8" s="137"/>
      <c r="AH8" s="137"/>
      <c r="AI8" s="137"/>
      <c r="AJ8" s="137"/>
      <c r="AK8" s="137"/>
      <c r="AL8" s="137"/>
      <c r="AM8" s="137"/>
      <c r="AN8" s="137"/>
      <c r="AO8" s="137"/>
      <c r="AP8" s="137"/>
      <c r="AQ8" s="137"/>
      <c r="AR8" s="137"/>
      <c r="AS8" s="137"/>
      <c r="AT8" s="137"/>
      <c r="AU8" s="137"/>
      <c r="AV8" s="137"/>
      <c r="AW8" s="137"/>
      <c r="AX8" s="137"/>
      <c r="AY8" s="137"/>
      <c r="AZ8" s="137"/>
      <c r="BA8" s="137"/>
      <c r="BB8" s="137"/>
      <c r="BC8" s="137"/>
      <c r="BD8" s="137"/>
      <c r="BE8" s="137"/>
      <c r="BF8" s="137"/>
      <c r="BG8" s="137"/>
      <c r="BH8" s="137"/>
      <c r="BI8" s="137"/>
      <c r="BJ8" s="137"/>
      <c r="BK8" s="137"/>
      <c r="BL8" s="137"/>
      <c r="BM8" s="137"/>
      <c r="BN8" s="137"/>
      <c r="BO8" s="137"/>
      <c r="BP8" s="137"/>
      <c r="BQ8" s="137"/>
      <c r="BR8" s="137"/>
      <c r="BS8" s="137"/>
      <c r="BT8" s="137"/>
      <c r="BU8" s="137"/>
      <c r="BV8" s="137"/>
      <c r="BW8" s="137"/>
      <c r="BX8" s="137"/>
      <c r="BY8" s="137"/>
      <c r="BZ8" s="137"/>
      <c r="CA8" s="137"/>
      <c r="CB8" s="137"/>
      <c r="CC8" s="137"/>
      <c r="CD8" s="137"/>
      <c r="CE8" s="137"/>
      <c r="CF8" s="137"/>
      <c r="CG8" s="137"/>
      <c r="CH8" s="137"/>
      <c r="CI8" s="137"/>
      <c r="CJ8" s="137"/>
      <c r="CK8" s="137"/>
      <c r="CL8" s="137"/>
      <c r="CM8" s="137"/>
      <c r="CN8" s="137"/>
      <c r="CO8" s="137"/>
      <c r="CP8" s="137"/>
      <c r="CQ8" s="137"/>
      <c r="CR8" s="137"/>
      <c r="CS8" s="137"/>
      <c r="CT8" s="137"/>
      <c r="CU8" s="137"/>
      <c r="CV8" s="137"/>
      <c r="CW8" s="137"/>
      <c r="CX8" s="137"/>
      <c r="CY8" s="137"/>
      <c r="CZ8" s="137"/>
      <c r="DA8" s="137"/>
      <c r="DB8" s="137"/>
      <c r="DC8" s="137"/>
      <c r="DD8" s="137"/>
      <c r="DE8" s="137"/>
      <c r="DF8" s="137"/>
      <c r="DG8" s="137"/>
      <c r="DH8" s="137"/>
      <c r="DI8" s="137"/>
      <c r="DJ8" s="137"/>
      <c r="DK8" s="137"/>
      <c r="DL8" s="137"/>
      <c r="DM8" s="137"/>
      <c r="DN8" s="137"/>
      <c r="DO8" s="137"/>
      <c r="DP8" s="137"/>
      <c r="DQ8" s="137"/>
      <c r="DR8" s="137"/>
      <c r="DS8" s="137"/>
      <c r="DT8" s="137"/>
      <c r="DU8" s="137"/>
      <c r="DV8" s="137"/>
      <c r="DW8" s="137"/>
      <c r="DX8" s="137"/>
      <c r="DY8" s="137"/>
      <c r="DZ8" s="137"/>
      <c r="EA8" s="137"/>
      <c r="EB8" s="137"/>
      <c r="EC8" s="137"/>
      <c r="ED8" s="137"/>
      <c r="EE8" s="137"/>
      <c r="EF8" s="137"/>
      <c r="EG8" s="137"/>
      <c r="EH8" s="137"/>
      <c r="EI8" s="137"/>
      <c r="EJ8" s="137"/>
      <c r="EK8" s="137"/>
      <c r="EL8" s="137"/>
      <c r="EM8" s="137"/>
      <c r="EN8" s="137"/>
      <c r="EO8" s="137"/>
      <c r="EP8" s="137"/>
      <c r="EQ8" s="137"/>
      <c r="ER8" s="137"/>
      <c r="ES8" s="137"/>
      <c r="ET8" s="137"/>
      <c r="EU8" s="137"/>
      <c r="EV8" s="137"/>
      <c r="EW8" s="137"/>
      <c r="EX8" s="137"/>
      <c r="EY8" s="137"/>
      <c r="EZ8" s="137"/>
      <c r="FA8" s="137"/>
      <c r="FB8" s="137"/>
      <c r="FC8" s="137"/>
      <c r="FD8" s="137"/>
      <c r="FE8" s="137"/>
      <c r="FF8" s="137"/>
      <c r="FG8" s="137"/>
      <c r="FH8" s="137"/>
      <c r="FI8" s="137"/>
      <c r="FJ8" s="137"/>
      <c r="FK8" s="137"/>
      <c r="FL8" s="137"/>
      <c r="FM8" s="137"/>
      <c r="FN8" s="137"/>
      <c r="FO8" s="137"/>
      <c r="FP8" s="137"/>
      <c r="FQ8" s="137"/>
      <c r="FR8" s="137"/>
      <c r="FS8" s="137"/>
      <c r="FT8" s="137"/>
      <c r="FU8" s="137"/>
      <c r="FV8" s="137"/>
      <c r="FW8" s="137"/>
      <c r="FX8" s="137"/>
      <c r="FY8" s="137"/>
      <c r="FZ8" s="137"/>
      <c r="GA8" s="137"/>
      <c r="GB8" s="137"/>
      <c r="GC8" s="137"/>
      <c r="GD8" s="137"/>
      <c r="GE8" s="137"/>
      <c r="GF8" s="137"/>
      <c r="GG8" s="137"/>
      <c r="GH8" s="137"/>
      <c r="GI8" s="137"/>
      <c r="GJ8" s="137"/>
      <c r="GK8" s="137"/>
      <c r="GL8" s="137"/>
      <c r="GM8" s="137"/>
      <c r="GN8" s="137"/>
      <c r="GO8" s="137"/>
      <c r="GP8" s="137"/>
      <c r="GQ8" s="137"/>
      <c r="GR8" s="137"/>
      <c r="GS8" s="137"/>
      <c r="GT8" s="137"/>
      <c r="GU8" s="137"/>
      <c r="GV8" s="137"/>
      <c r="GW8" s="137"/>
      <c r="GX8" s="137"/>
      <c r="GY8" s="137"/>
      <c r="GZ8" s="137"/>
      <c r="HA8" s="137"/>
      <c r="HB8" s="137"/>
      <c r="HC8" s="137"/>
      <c r="HD8" s="137"/>
      <c r="HE8" s="137"/>
      <c r="HF8" s="137"/>
      <c r="HG8" s="137"/>
      <c r="HH8" s="137"/>
      <c r="HI8" s="137"/>
      <c r="HJ8" s="137"/>
      <c r="HK8" s="137"/>
      <c r="HL8" s="137"/>
      <c r="HM8" s="137"/>
      <c r="HN8" s="137"/>
      <c r="HO8" s="137"/>
      <c r="HP8" s="137"/>
      <c r="HQ8" s="137"/>
      <c r="HR8" s="137"/>
      <c r="HS8" s="137"/>
      <c r="HT8" s="137"/>
      <c r="HU8" s="137"/>
      <c r="HV8" s="137"/>
      <c r="HW8" s="137"/>
      <c r="HX8" s="137"/>
      <c r="HY8" s="137"/>
      <c r="HZ8" s="137"/>
      <c r="IA8" s="137"/>
      <c r="IB8" s="137"/>
      <c r="IC8" s="137"/>
      <c r="ID8" s="137"/>
      <c r="IE8" s="137"/>
      <c r="IF8" s="137"/>
      <c r="IG8" s="137"/>
      <c r="IH8" s="137"/>
      <c r="II8" s="137"/>
      <c r="IJ8" s="137"/>
      <c r="IK8" s="137"/>
      <c r="IL8" s="137"/>
      <c r="IM8" s="137"/>
      <c r="IN8" s="137"/>
      <c r="IO8" s="137"/>
      <c r="IP8" s="137"/>
      <c r="IQ8" s="137"/>
      <c r="IR8" s="137"/>
      <c r="IS8" s="137"/>
      <c r="IT8" s="137"/>
      <c r="IU8" s="137"/>
      <c r="IV8" s="137"/>
      <c r="IW8" s="137"/>
      <c r="IX8" s="137"/>
      <c r="IY8" s="137"/>
      <c r="IZ8" s="137"/>
      <c r="JA8" s="137"/>
      <c r="JB8" s="137"/>
      <c r="JC8" s="137"/>
      <c r="JD8" s="137"/>
      <c r="JE8" s="137"/>
      <c r="JF8" s="137"/>
      <c r="JG8" s="137"/>
      <c r="JH8" s="137"/>
      <c r="JI8" s="137"/>
      <c r="JJ8" s="137"/>
      <c r="JK8" s="137"/>
      <c r="JL8" s="137"/>
      <c r="JM8" s="137"/>
      <c r="JN8" s="137"/>
      <c r="JO8" s="137"/>
      <c r="JP8" s="137"/>
      <c r="JQ8" s="137"/>
      <c r="JR8" s="137"/>
      <c r="JS8" s="137"/>
      <c r="JT8" s="137"/>
      <c r="JU8" s="137"/>
      <c r="JV8" s="137"/>
      <c r="JW8" s="137"/>
      <c r="JX8" s="137"/>
      <c r="JY8" s="137"/>
      <c r="JZ8" s="137"/>
      <c r="KA8" s="137"/>
      <c r="KB8" s="137"/>
      <c r="KC8" s="137"/>
      <c r="KD8" s="137"/>
      <c r="KE8" s="137"/>
      <c r="KF8" s="137"/>
      <c r="KG8" s="137"/>
      <c r="KH8" s="137"/>
      <c r="KI8" s="137"/>
      <c r="KJ8" s="137"/>
      <c r="KK8" s="137"/>
      <c r="KL8" s="137"/>
      <c r="KM8" s="137"/>
      <c r="KN8" s="137"/>
      <c r="KO8" s="137"/>
      <c r="KP8" s="137"/>
      <c r="KQ8" s="137"/>
      <c r="KR8" s="137"/>
      <c r="KS8" s="137"/>
      <c r="KT8" s="137"/>
    </row>
    <row r="9" spans="1:306" s="125" customFormat="1">
      <c r="A9" s="527"/>
      <c r="B9" s="133" t="s">
        <v>496</v>
      </c>
      <c r="C9" s="133" t="s">
        <v>497</v>
      </c>
      <c r="D9" s="134" t="s">
        <v>498</v>
      </c>
      <c r="E9" s="134" t="s">
        <v>299</v>
      </c>
      <c r="F9" s="132" t="s">
        <v>302</v>
      </c>
      <c r="G9" s="132" t="s">
        <v>302</v>
      </c>
      <c r="H9" s="134" t="s">
        <v>57</v>
      </c>
      <c r="I9" s="133" t="s">
        <v>310</v>
      </c>
      <c r="J9" s="133" t="s">
        <v>302</v>
      </c>
      <c r="K9" s="528"/>
      <c r="L9" s="136"/>
      <c r="M9" s="137"/>
      <c r="N9" s="137"/>
      <c r="O9" s="137"/>
      <c r="P9" s="137"/>
      <c r="Q9" s="137"/>
      <c r="R9" s="137"/>
      <c r="S9" s="137"/>
      <c r="T9" s="137"/>
      <c r="U9" s="137"/>
      <c r="V9" s="137"/>
      <c r="W9" s="137"/>
      <c r="X9" s="137"/>
      <c r="Y9" s="137"/>
      <c r="Z9" s="137"/>
      <c r="AA9" s="137"/>
      <c r="AB9" s="137"/>
      <c r="AC9" s="137"/>
      <c r="AD9" s="137"/>
      <c r="AE9" s="137"/>
      <c r="AF9" s="137"/>
      <c r="AG9" s="137"/>
      <c r="AH9" s="137"/>
      <c r="AI9" s="137"/>
      <c r="AJ9" s="137"/>
      <c r="AK9" s="137"/>
      <c r="AL9" s="137"/>
      <c r="AM9" s="137"/>
      <c r="AN9" s="137"/>
      <c r="AO9" s="137"/>
      <c r="AP9" s="137"/>
      <c r="AQ9" s="137"/>
      <c r="AR9" s="137"/>
      <c r="AS9" s="137"/>
      <c r="AT9" s="137"/>
      <c r="AU9" s="137"/>
      <c r="AV9" s="137"/>
      <c r="AW9" s="137"/>
      <c r="AX9" s="137"/>
      <c r="AY9" s="137"/>
      <c r="AZ9" s="137"/>
      <c r="BA9" s="137"/>
      <c r="BB9" s="137"/>
      <c r="BC9" s="137"/>
      <c r="BD9" s="137"/>
      <c r="BE9" s="137"/>
      <c r="BF9" s="137"/>
      <c r="BG9" s="137"/>
      <c r="BH9" s="137"/>
      <c r="BI9" s="137"/>
      <c r="BJ9" s="137"/>
      <c r="BK9" s="137"/>
      <c r="BL9" s="137"/>
      <c r="BM9" s="137"/>
      <c r="BN9" s="137"/>
      <c r="BO9" s="137"/>
      <c r="BP9" s="137"/>
      <c r="BQ9" s="137"/>
      <c r="BR9" s="137"/>
      <c r="BS9" s="137"/>
      <c r="BT9" s="137"/>
      <c r="BU9" s="137"/>
      <c r="BV9" s="137"/>
      <c r="BW9" s="137"/>
      <c r="BX9" s="137"/>
      <c r="BY9" s="137"/>
      <c r="BZ9" s="137"/>
      <c r="CA9" s="137"/>
      <c r="CB9" s="137"/>
      <c r="CC9" s="137"/>
      <c r="CD9" s="137"/>
      <c r="CE9" s="137"/>
      <c r="CF9" s="137"/>
      <c r="CG9" s="137"/>
      <c r="CH9" s="137"/>
      <c r="CI9" s="137"/>
      <c r="CJ9" s="137"/>
      <c r="CK9" s="137"/>
      <c r="CL9" s="137"/>
      <c r="CM9" s="137"/>
      <c r="CN9" s="137"/>
      <c r="CO9" s="137"/>
      <c r="CP9" s="137"/>
      <c r="CQ9" s="137"/>
      <c r="CR9" s="137"/>
      <c r="CS9" s="137"/>
      <c r="CT9" s="137"/>
      <c r="CU9" s="137"/>
      <c r="CV9" s="137"/>
      <c r="CW9" s="137"/>
      <c r="CX9" s="137"/>
      <c r="CY9" s="137"/>
      <c r="CZ9" s="137"/>
      <c r="DA9" s="137"/>
      <c r="DB9" s="137"/>
      <c r="DC9" s="137"/>
      <c r="DD9" s="137"/>
      <c r="DE9" s="137"/>
      <c r="DF9" s="137"/>
      <c r="DG9" s="137"/>
      <c r="DH9" s="137"/>
      <c r="DI9" s="137"/>
      <c r="DJ9" s="137"/>
      <c r="DK9" s="137"/>
      <c r="DL9" s="137"/>
      <c r="DM9" s="137"/>
      <c r="DN9" s="137"/>
      <c r="DO9" s="137"/>
      <c r="DP9" s="137"/>
      <c r="DQ9" s="137"/>
      <c r="DR9" s="137"/>
      <c r="DS9" s="137"/>
      <c r="DT9" s="137"/>
      <c r="DU9" s="137"/>
      <c r="DV9" s="137"/>
      <c r="DW9" s="137"/>
      <c r="DX9" s="137"/>
      <c r="DY9" s="137"/>
      <c r="DZ9" s="137"/>
      <c r="EA9" s="137"/>
      <c r="EB9" s="137"/>
      <c r="EC9" s="137"/>
      <c r="ED9" s="137"/>
      <c r="EE9" s="137"/>
      <c r="EF9" s="137"/>
      <c r="EG9" s="137"/>
      <c r="EH9" s="137"/>
      <c r="EI9" s="137"/>
      <c r="EJ9" s="137"/>
      <c r="EK9" s="137"/>
      <c r="EL9" s="137"/>
      <c r="EM9" s="137"/>
      <c r="EN9" s="137"/>
      <c r="EO9" s="137"/>
      <c r="EP9" s="137"/>
      <c r="EQ9" s="137"/>
      <c r="ER9" s="137"/>
      <c r="ES9" s="137"/>
      <c r="ET9" s="137"/>
      <c r="EU9" s="137"/>
      <c r="EV9" s="137"/>
      <c r="EW9" s="137"/>
      <c r="EX9" s="137"/>
      <c r="EY9" s="137"/>
      <c r="EZ9" s="137"/>
      <c r="FA9" s="137"/>
      <c r="FB9" s="137"/>
      <c r="FC9" s="137"/>
      <c r="FD9" s="137"/>
      <c r="FE9" s="137"/>
      <c r="FF9" s="137"/>
      <c r="FG9" s="137"/>
      <c r="FH9" s="137"/>
      <c r="FI9" s="137"/>
      <c r="FJ9" s="137"/>
      <c r="FK9" s="137"/>
      <c r="FL9" s="137"/>
      <c r="FM9" s="137"/>
      <c r="FN9" s="137"/>
      <c r="FO9" s="137"/>
      <c r="FP9" s="137"/>
      <c r="FQ9" s="137"/>
      <c r="FR9" s="137"/>
      <c r="FS9" s="137"/>
      <c r="FT9" s="137"/>
      <c r="FU9" s="137"/>
      <c r="FV9" s="137"/>
      <c r="FW9" s="137"/>
      <c r="FX9" s="137"/>
      <c r="FY9" s="137"/>
      <c r="FZ9" s="137"/>
      <c r="GA9" s="137"/>
      <c r="GB9" s="137"/>
      <c r="GC9" s="137"/>
      <c r="GD9" s="137"/>
      <c r="GE9" s="137"/>
      <c r="GF9" s="137"/>
      <c r="GG9" s="137"/>
      <c r="GH9" s="137"/>
      <c r="GI9" s="137"/>
      <c r="GJ9" s="137"/>
      <c r="GK9" s="137"/>
      <c r="GL9" s="137"/>
      <c r="GM9" s="137"/>
      <c r="GN9" s="137"/>
      <c r="GO9" s="137"/>
      <c r="GP9" s="137"/>
      <c r="GQ9" s="137"/>
      <c r="GR9" s="137"/>
      <c r="GS9" s="137"/>
      <c r="GT9" s="137"/>
      <c r="GU9" s="137"/>
      <c r="GV9" s="137"/>
      <c r="GW9" s="137"/>
      <c r="GX9" s="137"/>
      <c r="GY9" s="137"/>
      <c r="GZ9" s="137"/>
      <c r="HA9" s="137"/>
      <c r="HB9" s="137"/>
      <c r="HC9" s="137"/>
      <c r="HD9" s="137"/>
      <c r="HE9" s="137"/>
      <c r="HF9" s="137"/>
      <c r="HG9" s="137"/>
      <c r="HH9" s="137"/>
      <c r="HI9" s="137"/>
      <c r="HJ9" s="137"/>
      <c r="HK9" s="137"/>
      <c r="HL9" s="137"/>
      <c r="HM9" s="137"/>
      <c r="HN9" s="137"/>
      <c r="HO9" s="137"/>
      <c r="HP9" s="137"/>
      <c r="HQ9" s="137"/>
      <c r="HR9" s="137"/>
      <c r="HS9" s="137"/>
      <c r="HT9" s="137"/>
      <c r="HU9" s="137"/>
      <c r="HV9" s="137"/>
      <c r="HW9" s="137"/>
      <c r="HX9" s="137"/>
      <c r="HY9" s="137"/>
      <c r="HZ9" s="137"/>
      <c r="IA9" s="137"/>
      <c r="IB9" s="137"/>
      <c r="IC9" s="137"/>
      <c r="ID9" s="137"/>
      <c r="IE9" s="137"/>
      <c r="IF9" s="137"/>
      <c r="IG9" s="137"/>
      <c r="IH9" s="137"/>
      <c r="II9" s="137"/>
      <c r="IJ9" s="137"/>
      <c r="IK9" s="137"/>
      <c r="IL9" s="137"/>
      <c r="IM9" s="137"/>
      <c r="IN9" s="137"/>
      <c r="IO9" s="137"/>
      <c r="IP9" s="137"/>
      <c r="IQ9" s="137"/>
      <c r="IR9" s="137"/>
      <c r="IS9" s="137"/>
      <c r="IT9" s="137"/>
      <c r="IU9" s="137"/>
      <c r="IV9" s="137"/>
      <c r="IW9" s="137"/>
      <c r="IX9" s="137"/>
      <c r="IY9" s="137"/>
      <c r="IZ9" s="137"/>
      <c r="JA9" s="137"/>
      <c r="JB9" s="137"/>
      <c r="JC9" s="137"/>
      <c r="JD9" s="137"/>
      <c r="JE9" s="137"/>
      <c r="JF9" s="137"/>
      <c r="JG9" s="137"/>
      <c r="JH9" s="137"/>
      <c r="JI9" s="137"/>
      <c r="JJ9" s="137"/>
      <c r="JK9" s="137"/>
      <c r="JL9" s="137"/>
      <c r="JM9" s="137"/>
      <c r="JN9" s="137"/>
      <c r="JO9" s="137"/>
      <c r="JP9" s="137"/>
      <c r="JQ9" s="137"/>
      <c r="JR9" s="137"/>
      <c r="JS9" s="137"/>
      <c r="JT9" s="137"/>
      <c r="JU9" s="137"/>
      <c r="JV9" s="137"/>
      <c r="JW9" s="137"/>
      <c r="JX9" s="137"/>
      <c r="JY9" s="137"/>
      <c r="JZ9" s="137"/>
      <c r="KA9" s="137"/>
      <c r="KB9" s="137"/>
      <c r="KC9" s="137"/>
      <c r="KD9" s="137"/>
      <c r="KE9" s="137"/>
      <c r="KF9" s="137"/>
      <c r="KG9" s="137"/>
      <c r="KH9" s="137"/>
      <c r="KI9" s="137"/>
      <c r="KJ9" s="137"/>
      <c r="KK9" s="137"/>
      <c r="KL9" s="137"/>
      <c r="KM9" s="137"/>
      <c r="KN9" s="137"/>
      <c r="KO9" s="137"/>
      <c r="KP9" s="137"/>
      <c r="KQ9" s="137"/>
      <c r="KR9" s="137"/>
      <c r="KS9" s="137"/>
      <c r="KT9" s="137"/>
    </row>
    <row r="10" spans="1:306" s="125" customFormat="1">
      <c r="A10" s="527"/>
      <c r="B10" s="133" t="s">
        <v>499</v>
      </c>
      <c r="C10" s="133" t="s">
        <v>500</v>
      </c>
      <c r="D10" s="134" t="s">
        <v>501</v>
      </c>
      <c r="E10" s="134" t="s">
        <v>299</v>
      </c>
      <c r="F10" s="132" t="s">
        <v>302</v>
      </c>
      <c r="G10" s="132" t="s">
        <v>302</v>
      </c>
      <c r="H10" s="134" t="s">
        <v>57</v>
      </c>
      <c r="I10" s="133" t="s">
        <v>502</v>
      </c>
      <c r="J10" s="133" t="s">
        <v>302</v>
      </c>
      <c r="K10" s="528"/>
      <c r="L10" s="136"/>
      <c r="M10" s="137"/>
      <c r="N10" s="137"/>
      <c r="O10" s="137"/>
      <c r="P10" s="137"/>
      <c r="Q10" s="137"/>
      <c r="R10" s="137"/>
      <c r="S10" s="137"/>
      <c r="T10" s="137"/>
      <c r="U10" s="137"/>
      <c r="V10" s="137"/>
      <c r="W10" s="137"/>
      <c r="X10" s="137"/>
      <c r="Y10" s="137"/>
      <c r="Z10" s="137"/>
      <c r="AA10" s="137"/>
      <c r="AB10" s="137"/>
      <c r="AC10" s="137"/>
      <c r="AD10" s="137"/>
      <c r="AE10" s="137"/>
      <c r="AF10" s="137"/>
      <c r="AG10" s="137"/>
      <c r="AH10" s="137"/>
      <c r="AI10" s="137"/>
      <c r="AJ10" s="137"/>
      <c r="AK10" s="137"/>
      <c r="AL10" s="137"/>
      <c r="AM10" s="137"/>
      <c r="AN10" s="137"/>
      <c r="AO10" s="137"/>
      <c r="AP10" s="137"/>
      <c r="AQ10" s="137"/>
      <c r="AR10" s="137"/>
      <c r="AS10" s="137"/>
      <c r="AT10" s="137"/>
      <c r="AU10" s="137"/>
      <c r="AV10" s="137"/>
      <c r="AW10" s="137"/>
      <c r="AX10" s="137"/>
      <c r="AY10" s="137"/>
      <c r="AZ10" s="137"/>
      <c r="BA10" s="137"/>
      <c r="BB10" s="137"/>
      <c r="BC10" s="137"/>
      <c r="BD10" s="137"/>
      <c r="BE10" s="137"/>
      <c r="BF10" s="137"/>
      <c r="BG10" s="137"/>
      <c r="BH10" s="137"/>
      <c r="BI10" s="137"/>
      <c r="BJ10" s="137"/>
      <c r="BK10" s="137"/>
      <c r="BL10" s="137"/>
      <c r="BM10" s="137"/>
      <c r="BN10" s="137"/>
      <c r="BO10" s="137"/>
      <c r="BP10" s="137"/>
      <c r="BQ10" s="137"/>
      <c r="BR10" s="137"/>
      <c r="BS10" s="137"/>
      <c r="BT10" s="137"/>
      <c r="BU10" s="137"/>
      <c r="BV10" s="137"/>
      <c r="BW10" s="137"/>
      <c r="BX10" s="137"/>
      <c r="BY10" s="137"/>
      <c r="BZ10" s="137"/>
      <c r="CA10" s="137"/>
      <c r="CB10" s="137"/>
      <c r="CC10" s="137"/>
      <c r="CD10" s="137"/>
      <c r="CE10" s="137"/>
      <c r="CF10" s="137"/>
      <c r="CG10" s="137"/>
      <c r="CH10" s="137"/>
      <c r="CI10" s="137"/>
      <c r="CJ10" s="137"/>
      <c r="CK10" s="137"/>
      <c r="CL10" s="137"/>
      <c r="CM10" s="137"/>
      <c r="CN10" s="137"/>
      <c r="CO10" s="137"/>
      <c r="CP10" s="137"/>
      <c r="CQ10" s="137"/>
      <c r="CR10" s="137"/>
      <c r="CS10" s="137"/>
      <c r="CT10" s="137"/>
      <c r="CU10" s="137"/>
      <c r="CV10" s="137"/>
      <c r="CW10" s="137"/>
      <c r="CX10" s="137"/>
      <c r="CY10" s="137"/>
      <c r="CZ10" s="137"/>
      <c r="DA10" s="137"/>
      <c r="DB10" s="137"/>
      <c r="DC10" s="137"/>
      <c r="DD10" s="137"/>
      <c r="DE10" s="137"/>
      <c r="DF10" s="137"/>
      <c r="DG10" s="137"/>
      <c r="DH10" s="137"/>
      <c r="DI10" s="137"/>
      <c r="DJ10" s="137"/>
      <c r="DK10" s="137"/>
      <c r="DL10" s="137"/>
      <c r="DM10" s="137"/>
      <c r="DN10" s="137"/>
      <c r="DO10" s="137"/>
      <c r="DP10" s="137"/>
      <c r="DQ10" s="137"/>
      <c r="DR10" s="137"/>
      <c r="DS10" s="137"/>
      <c r="DT10" s="137"/>
      <c r="DU10" s="137"/>
      <c r="DV10" s="137"/>
      <c r="DW10" s="137"/>
      <c r="DX10" s="137"/>
      <c r="DY10" s="137"/>
      <c r="DZ10" s="137"/>
      <c r="EA10" s="137"/>
      <c r="EB10" s="137"/>
      <c r="EC10" s="137"/>
      <c r="ED10" s="137"/>
      <c r="EE10" s="137"/>
      <c r="EF10" s="137"/>
      <c r="EG10" s="137"/>
      <c r="EH10" s="137"/>
      <c r="EI10" s="137"/>
      <c r="EJ10" s="137"/>
      <c r="EK10" s="137"/>
      <c r="EL10" s="137"/>
      <c r="EM10" s="137"/>
      <c r="EN10" s="137"/>
      <c r="EO10" s="137"/>
      <c r="EP10" s="137"/>
      <c r="EQ10" s="137"/>
      <c r="ER10" s="137"/>
      <c r="ES10" s="137"/>
      <c r="ET10" s="137"/>
      <c r="EU10" s="137"/>
      <c r="EV10" s="137"/>
      <c r="EW10" s="137"/>
      <c r="EX10" s="137"/>
      <c r="EY10" s="137"/>
      <c r="EZ10" s="137"/>
      <c r="FA10" s="137"/>
      <c r="FB10" s="137"/>
      <c r="FC10" s="137"/>
      <c r="FD10" s="137"/>
      <c r="FE10" s="137"/>
      <c r="FF10" s="137"/>
      <c r="FG10" s="137"/>
      <c r="FH10" s="137"/>
      <c r="FI10" s="137"/>
      <c r="FJ10" s="137"/>
      <c r="FK10" s="137"/>
      <c r="FL10" s="137"/>
      <c r="FM10" s="137"/>
      <c r="FN10" s="137"/>
      <c r="FO10" s="137"/>
      <c r="FP10" s="137"/>
      <c r="FQ10" s="137"/>
      <c r="FR10" s="137"/>
      <c r="FS10" s="137"/>
      <c r="FT10" s="137"/>
      <c r="FU10" s="137"/>
      <c r="FV10" s="137"/>
      <c r="FW10" s="137"/>
      <c r="FX10" s="137"/>
      <c r="FY10" s="137"/>
      <c r="FZ10" s="137"/>
      <c r="GA10" s="137"/>
      <c r="GB10" s="137"/>
      <c r="GC10" s="137"/>
      <c r="GD10" s="137"/>
      <c r="GE10" s="137"/>
      <c r="GF10" s="137"/>
      <c r="GG10" s="137"/>
      <c r="GH10" s="137"/>
      <c r="GI10" s="137"/>
      <c r="GJ10" s="137"/>
      <c r="GK10" s="137"/>
      <c r="GL10" s="137"/>
      <c r="GM10" s="137"/>
      <c r="GN10" s="137"/>
      <c r="GO10" s="137"/>
      <c r="GP10" s="137"/>
      <c r="GQ10" s="137"/>
      <c r="GR10" s="137"/>
      <c r="GS10" s="137"/>
      <c r="GT10" s="137"/>
      <c r="GU10" s="137"/>
      <c r="GV10" s="137"/>
      <c r="GW10" s="137"/>
      <c r="GX10" s="137"/>
      <c r="GY10" s="137"/>
      <c r="GZ10" s="137"/>
      <c r="HA10" s="137"/>
      <c r="HB10" s="137"/>
      <c r="HC10" s="137"/>
      <c r="HD10" s="137"/>
      <c r="HE10" s="137"/>
      <c r="HF10" s="137"/>
      <c r="HG10" s="137"/>
      <c r="HH10" s="137"/>
      <c r="HI10" s="137"/>
      <c r="HJ10" s="137"/>
      <c r="HK10" s="137"/>
      <c r="HL10" s="137"/>
      <c r="HM10" s="137"/>
      <c r="HN10" s="137"/>
      <c r="HO10" s="137"/>
      <c r="HP10" s="137"/>
      <c r="HQ10" s="137"/>
      <c r="HR10" s="137"/>
      <c r="HS10" s="137"/>
      <c r="HT10" s="137"/>
      <c r="HU10" s="137"/>
      <c r="HV10" s="137"/>
      <c r="HW10" s="137"/>
      <c r="HX10" s="137"/>
      <c r="HY10" s="137"/>
      <c r="HZ10" s="137"/>
      <c r="IA10" s="137"/>
      <c r="IB10" s="137"/>
      <c r="IC10" s="137"/>
      <c r="ID10" s="137"/>
      <c r="IE10" s="137"/>
      <c r="IF10" s="137"/>
      <c r="IG10" s="137"/>
      <c r="IH10" s="137"/>
      <c r="II10" s="137"/>
      <c r="IJ10" s="137"/>
      <c r="IK10" s="137"/>
      <c r="IL10" s="137"/>
      <c r="IM10" s="137"/>
      <c r="IN10" s="137"/>
      <c r="IO10" s="137"/>
      <c r="IP10" s="137"/>
      <c r="IQ10" s="137"/>
      <c r="IR10" s="137"/>
      <c r="IS10" s="137"/>
      <c r="IT10" s="137"/>
      <c r="IU10" s="137"/>
      <c r="IV10" s="137"/>
      <c r="IW10" s="137"/>
      <c r="IX10" s="137"/>
      <c r="IY10" s="137"/>
      <c r="IZ10" s="137"/>
      <c r="JA10" s="137"/>
      <c r="JB10" s="137"/>
      <c r="JC10" s="137"/>
      <c r="JD10" s="137"/>
      <c r="JE10" s="137"/>
      <c r="JF10" s="137"/>
      <c r="JG10" s="137"/>
      <c r="JH10" s="137"/>
      <c r="JI10" s="137"/>
      <c r="JJ10" s="137"/>
      <c r="JK10" s="137"/>
      <c r="JL10" s="137"/>
      <c r="JM10" s="137"/>
      <c r="JN10" s="137"/>
      <c r="JO10" s="137"/>
      <c r="JP10" s="137"/>
      <c r="JQ10" s="137"/>
      <c r="JR10" s="137"/>
      <c r="JS10" s="137"/>
      <c r="JT10" s="137"/>
      <c r="JU10" s="137"/>
      <c r="JV10" s="137"/>
      <c r="JW10" s="137"/>
      <c r="JX10" s="137"/>
      <c r="JY10" s="137"/>
      <c r="JZ10" s="137"/>
      <c r="KA10" s="137"/>
      <c r="KB10" s="137"/>
      <c r="KC10" s="137"/>
      <c r="KD10" s="137"/>
      <c r="KE10" s="137"/>
      <c r="KF10" s="137"/>
      <c r="KG10" s="137"/>
      <c r="KH10" s="137"/>
      <c r="KI10" s="137"/>
      <c r="KJ10" s="137"/>
      <c r="KK10" s="137"/>
      <c r="KL10" s="137"/>
      <c r="KM10" s="137"/>
      <c r="KN10" s="137"/>
      <c r="KO10" s="137"/>
      <c r="KP10" s="137"/>
      <c r="KQ10" s="137"/>
      <c r="KR10" s="137"/>
      <c r="KS10" s="137"/>
      <c r="KT10" s="137"/>
    </row>
    <row r="11" spans="1:306" s="125" customFormat="1" ht="36">
      <c r="A11" s="527"/>
      <c r="B11" s="133" t="s">
        <v>503</v>
      </c>
      <c r="C11" s="133" t="s">
        <v>504</v>
      </c>
      <c r="D11" s="134" t="s">
        <v>505</v>
      </c>
      <c r="E11" s="134" t="s">
        <v>299</v>
      </c>
      <c r="F11" s="132" t="s">
        <v>302</v>
      </c>
      <c r="G11" s="132" t="s">
        <v>302</v>
      </c>
      <c r="H11" s="134" t="s">
        <v>57</v>
      </c>
      <c r="I11" s="133" t="s">
        <v>350</v>
      </c>
      <c r="J11" s="133" t="s">
        <v>506</v>
      </c>
      <c r="K11" s="528"/>
      <c r="L11" s="136"/>
      <c r="M11" s="137"/>
      <c r="N11" s="137"/>
      <c r="O11" s="137"/>
      <c r="P11" s="137"/>
      <c r="Q11" s="137"/>
      <c r="R11" s="137"/>
      <c r="S11" s="137"/>
      <c r="T11" s="137"/>
      <c r="U11" s="137"/>
      <c r="V11" s="137"/>
      <c r="W11" s="137"/>
      <c r="X11" s="137"/>
      <c r="Y11" s="137"/>
      <c r="Z11" s="137"/>
      <c r="AA11" s="137"/>
      <c r="AB11" s="137"/>
      <c r="AC11" s="137"/>
      <c r="AD11" s="137"/>
      <c r="AE11" s="137"/>
      <c r="AF11" s="137"/>
      <c r="AG11" s="137"/>
      <c r="AH11" s="137"/>
      <c r="AI11" s="137"/>
      <c r="AJ11" s="137"/>
      <c r="AK11" s="137"/>
      <c r="AL11" s="137"/>
      <c r="AM11" s="137"/>
      <c r="AN11" s="137"/>
      <c r="AO11" s="137"/>
      <c r="AP11" s="137"/>
      <c r="AQ11" s="137"/>
      <c r="AR11" s="137"/>
      <c r="AS11" s="137"/>
      <c r="AT11" s="137"/>
      <c r="AU11" s="137"/>
      <c r="AV11" s="137"/>
      <c r="AW11" s="137"/>
      <c r="AX11" s="137"/>
      <c r="AY11" s="137"/>
      <c r="AZ11" s="137"/>
      <c r="BA11" s="137"/>
      <c r="BB11" s="137"/>
      <c r="BC11" s="137"/>
      <c r="BD11" s="137"/>
      <c r="BE11" s="137"/>
      <c r="BF11" s="137"/>
      <c r="BG11" s="137"/>
      <c r="BH11" s="137"/>
      <c r="BI11" s="137"/>
      <c r="BJ11" s="137"/>
      <c r="BK11" s="137"/>
      <c r="BL11" s="137"/>
      <c r="BM11" s="137"/>
      <c r="BN11" s="137"/>
      <c r="BO11" s="137"/>
      <c r="BP11" s="137"/>
      <c r="BQ11" s="137"/>
      <c r="BR11" s="137"/>
      <c r="BS11" s="137"/>
      <c r="BT11" s="137"/>
      <c r="BU11" s="137"/>
      <c r="BV11" s="137"/>
      <c r="BW11" s="137"/>
      <c r="BX11" s="137"/>
      <c r="BY11" s="137"/>
      <c r="BZ11" s="137"/>
      <c r="CA11" s="137"/>
      <c r="CB11" s="137"/>
      <c r="CC11" s="137"/>
      <c r="CD11" s="137"/>
      <c r="CE11" s="137"/>
      <c r="CF11" s="137"/>
      <c r="CG11" s="137"/>
      <c r="CH11" s="137"/>
      <c r="CI11" s="137"/>
      <c r="CJ11" s="137"/>
      <c r="CK11" s="137"/>
      <c r="CL11" s="137"/>
      <c r="CM11" s="137"/>
      <c r="CN11" s="137"/>
      <c r="CO11" s="137"/>
      <c r="CP11" s="137"/>
      <c r="CQ11" s="137"/>
      <c r="CR11" s="137"/>
      <c r="CS11" s="137"/>
      <c r="CT11" s="137"/>
      <c r="CU11" s="137"/>
      <c r="CV11" s="137"/>
      <c r="CW11" s="137"/>
      <c r="CX11" s="137"/>
      <c r="CY11" s="137"/>
      <c r="CZ11" s="137"/>
      <c r="DA11" s="137"/>
      <c r="DB11" s="137"/>
      <c r="DC11" s="137"/>
      <c r="DD11" s="137"/>
      <c r="DE11" s="137"/>
      <c r="DF11" s="137"/>
      <c r="DG11" s="137"/>
      <c r="DH11" s="137"/>
      <c r="DI11" s="137"/>
      <c r="DJ11" s="137"/>
      <c r="DK11" s="137"/>
      <c r="DL11" s="137"/>
      <c r="DM11" s="137"/>
      <c r="DN11" s="137"/>
      <c r="DO11" s="137"/>
      <c r="DP11" s="137"/>
      <c r="DQ11" s="137"/>
      <c r="DR11" s="137"/>
      <c r="DS11" s="137"/>
      <c r="DT11" s="137"/>
      <c r="DU11" s="137"/>
      <c r="DV11" s="137"/>
      <c r="DW11" s="137"/>
      <c r="DX11" s="137"/>
      <c r="DY11" s="137"/>
      <c r="DZ11" s="137"/>
      <c r="EA11" s="137"/>
      <c r="EB11" s="137"/>
      <c r="EC11" s="137"/>
      <c r="ED11" s="137"/>
      <c r="EE11" s="137"/>
      <c r="EF11" s="137"/>
      <c r="EG11" s="137"/>
      <c r="EH11" s="137"/>
      <c r="EI11" s="137"/>
      <c r="EJ11" s="137"/>
      <c r="EK11" s="137"/>
      <c r="EL11" s="137"/>
      <c r="EM11" s="137"/>
      <c r="EN11" s="137"/>
      <c r="EO11" s="137"/>
      <c r="EP11" s="137"/>
      <c r="EQ11" s="137"/>
      <c r="ER11" s="137"/>
      <c r="ES11" s="137"/>
      <c r="ET11" s="137"/>
      <c r="EU11" s="137"/>
      <c r="EV11" s="137"/>
      <c r="EW11" s="137"/>
      <c r="EX11" s="137"/>
      <c r="EY11" s="137"/>
      <c r="EZ11" s="137"/>
      <c r="FA11" s="137"/>
      <c r="FB11" s="137"/>
      <c r="FC11" s="137"/>
      <c r="FD11" s="137"/>
      <c r="FE11" s="137"/>
      <c r="FF11" s="137"/>
      <c r="FG11" s="137"/>
      <c r="FH11" s="137"/>
      <c r="FI11" s="137"/>
      <c r="FJ11" s="137"/>
      <c r="FK11" s="137"/>
      <c r="FL11" s="137"/>
      <c r="FM11" s="137"/>
      <c r="FN11" s="137"/>
      <c r="FO11" s="137"/>
      <c r="FP11" s="137"/>
      <c r="FQ11" s="137"/>
      <c r="FR11" s="137"/>
      <c r="FS11" s="137"/>
      <c r="FT11" s="137"/>
      <c r="FU11" s="137"/>
      <c r="FV11" s="137"/>
      <c r="FW11" s="137"/>
      <c r="FX11" s="137"/>
      <c r="FY11" s="137"/>
      <c r="FZ11" s="137"/>
      <c r="GA11" s="137"/>
      <c r="GB11" s="137"/>
      <c r="GC11" s="137"/>
      <c r="GD11" s="137"/>
      <c r="GE11" s="137"/>
      <c r="GF11" s="137"/>
      <c r="GG11" s="137"/>
      <c r="GH11" s="137"/>
      <c r="GI11" s="137"/>
      <c r="GJ11" s="137"/>
      <c r="GK11" s="137"/>
      <c r="GL11" s="137"/>
      <c r="GM11" s="137"/>
      <c r="GN11" s="137"/>
      <c r="GO11" s="137"/>
      <c r="GP11" s="137"/>
      <c r="GQ11" s="137"/>
      <c r="GR11" s="137"/>
      <c r="GS11" s="137"/>
      <c r="GT11" s="137"/>
      <c r="GU11" s="137"/>
      <c r="GV11" s="137"/>
      <c r="GW11" s="137"/>
      <c r="GX11" s="137"/>
      <c r="GY11" s="137"/>
      <c r="GZ11" s="137"/>
      <c r="HA11" s="137"/>
      <c r="HB11" s="137"/>
      <c r="HC11" s="137"/>
      <c r="HD11" s="137"/>
      <c r="HE11" s="137"/>
      <c r="HF11" s="137"/>
      <c r="HG11" s="137"/>
      <c r="HH11" s="137"/>
      <c r="HI11" s="137"/>
      <c r="HJ11" s="137"/>
      <c r="HK11" s="137"/>
      <c r="HL11" s="137"/>
      <c r="HM11" s="137"/>
      <c r="HN11" s="137"/>
      <c r="HO11" s="137"/>
      <c r="HP11" s="137"/>
      <c r="HQ11" s="137"/>
      <c r="HR11" s="137"/>
      <c r="HS11" s="137"/>
      <c r="HT11" s="137"/>
      <c r="HU11" s="137"/>
      <c r="HV11" s="137"/>
      <c r="HW11" s="137"/>
      <c r="HX11" s="137"/>
      <c r="HY11" s="137"/>
      <c r="HZ11" s="137"/>
      <c r="IA11" s="137"/>
      <c r="IB11" s="137"/>
      <c r="IC11" s="137"/>
      <c r="ID11" s="137"/>
      <c r="IE11" s="137"/>
      <c r="IF11" s="137"/>
      <c r="IG11" s="137"/>
      <c r="IH11" s="137"/>
      <c r="II11" s="137"/>
      <c r="IJ11" s="137"/>
      <c r="IK11" s="137"/>
      <c r="IL11" s="137"/>
      <c r="IM11" s="137"/>
      <c r="IN11" s="137"/>
      <c r="IO11" s="137"/>
      <c r="IP11" s="137"/>
      <c r="IQ11" s="137"/>
      <c r="IR11" s="137"/>
      <c r="IS11" s="137"/>
      <c r="IT11" s="137"/>
      <c r="IU11" s="137"/>
      <c r="IV11" s="137"/>
      <c r="IW11" s="137"/>
      <c r="IX11" s="137"/>
      <c r="IY11" s="137"/>
      <c r="IZ11" s="137"/>
      <c r="JA11" s="137"/>
      <c r="JB11" s="137"/>
      <c r="JC11" s="137"/>
      <c r="JD11" s="137"/>
      <c r="JE11" s="137"/>
      <c r="JF11" s="137"/>
      <c r="JG11" s="137"/>
      <c r="JH11" s="137"/>
      <c r="JI11" s="137"/>
      <c r="JJ11" s="137"/>
      <c r="JK11" s="137"/>
      <c r="JL11" s="137"/>
      <c r="JM11" s="137"/>
      <c r="JN11" s="137"/>
      <c r="JO11" s="137"/>
      <c r="JP11" s="137"/>
      <c r="JQ11" s="137"/>
      <c r="JR11" s="137"/>
      <c r="JS11" s="137"/>
      <c r="JT11" s="137"/>
      <c r="JU11" s="137"/>
      <c r="JV11" s="137"/>
      <c r="JW11" s="137"/>
      <c r="JX11" s="137"/>
      <c r="JY11" s="137"/>
      <c r="JZ11" s="137"/>
      <c r="KA11" s="137"/>
      <c r="KB11" s="137"/>
      <c r="KC11" s="137"/>
      <c r="KD11" s="137"/>
      <c r="KE11" s="137"/>
      <c r="KF11" s="137"/>
      <c r="KG11" s="137"/>
      <c r="KH11" s="137"/>
      <c r="KI11" s="137"/>
      <c r="KJ11" s="137"/>
      <c r="KK11" s="137"/>
      <c r="KL11" s="137"/>
      <c r="KM11" s="137"/>
      <c r="KN11" s="137"/>
      <c r="KO11" s="137"/>
      <c r="KP11" s="137"/>
      <c r="KQ11" s="137"/>
      <c r="KR11" s="137"/>
      <c r="KS11" s="137"/>
      <c r="KT11" s="137"/>
    </row>
    <row r="12" spans="1:306" s="125" customFormat="1">
      <c r="A12" s="527"/>
      <c r="B12" s="133" t="s">
        <v>2634</v>
      </c>
      <c r="C12" s="133" t="s">
        <v>507</v>
      </c>
      <c r="D12" s="134" t="s">
        <v>2635</v>
      </c>
      <c r="E12" s="134" t="s">
        <v>299</v>
      </c>
      <c r="F12" s="132" t="s">
        <v>302</v>
      </c>
      <c r="G12" s="132" t="s">
        <v>302</v>
      </c>
      <c r="H12" s="134" t="s">
        <v>24</v>
      </c>
      <c r="I12" s="133" t="s">
        <v>350</v>
      </c>
      <c r="J12" s="133" t="s">
        <v>302</v>
      </c>
      <c r="K12" s="528"/>
      <c r="L12" s="136" t="s">
        <v>508</v>
      </c>
      <c r="M12" s="137"/>
      <c r="N12" s="137"/>
      <c r="O12" s="137"/>
      <c r="P12" s="137"/>
      <c r="Q12" s="137"/>
      <c r="R12" s="137"/>
      <c r="S12" s="137"/>
      <c r="T12" s="137"/>
      <c r="U12" s="137"/>
      <c r="V12" s="137"/>
      <c r="W12" s="137"/>
      <c r="X12" s="137"/>
      <c r="Y12" s="137"/>
      <c r="Z12" s="137"/>
      <c r="AA12" s="137"/>
      <c r="AB12" s="137"/>
      <c r="AC12" s="137"/>
      <c r="AD12" s="137"/>
      <c r="AE12" s="137"/>
      <c r="AF12" s="137"/>
      <c r="AG12" s="137"/>
      <c r="AH12" s="137"/>
      <c r="AI12" s="137"/>
      <c r="AJ12" s="137"/>
      <c r="AK12" s="137"/>
      <c r="AL12" s="137"/>
      <c r="AM12" s="137"/>
      <c r="AN12" s="137"/>
      <c r="AO12" s="137"/>
      <c r="AP12" s="137"/>
      <c r="AQ12" s="137"/>
      <c r="AR12" s="137"/>
      <c r="AS12" s="137"/>
      <c r="AT12" s="137"/>
      <c r="AU12" s="137"/>
      <c r="AV12" s="137"/>
      <c r="AW12" s="137"/>
      <c r="AX12" s="137"/>
      <c r="AY12" s="137"/>
      <c r="AZ12" s="137"/>
      <c r="BA12" s="137"/>
      <c r="BB12" s="137"/>
      <c r="BC12" s="137"/>
      <c r="BD12" s="137"/>
      <c r="BE12" s="137"/>
      <c r="BF12" s="137"/>
      <c r="BG12" s="137"/>
      <c r="BH12" s="137"/>
      <c r="BI12" s="137"/>
      <c r="BJ12" s="137"/>
      <c r="BK12" s="137"/>
      <c r="BL12" s="137"/>
      <c r="BM12" s="137"/>
      <c r="BN12" s="137"/>
      <c r="BO12" s="137"/>
      <c r="BP12" s="137"/>
      <c r="BQ12" s="137"/>
      <c r="BR12" s="137"/>
      <c r="BS12" s="137"/>
      <c r="BT12" s="137"/>
      <c r="BU12" s="137"/>
      <c r="BV12" s="137"/>
      <c r="BW12" s="137"/>
      <c r="BX12" s="137"/>
      <c r="BY12" s="137"/>
      <c r="BZ12" s="137"/>
      <c r="CA12" s="137"/>
      <c r="CB12" s="137"/>
      <c r="CC12" s="137"/>
      <c r="CD12" s="137"/>
      <c r="CE12" s="137"/>
      <c r="CF12" s="137"/>
      <c r="CG12" s="137"/>
      <c r="CH12" s="137"/>
      <c r="CI12" s="137"/>
      <c r="CJ12" s="137"/>
      <c r="CK12" s="137"/>
      <c r="CL12" s="137"/>
      <c r="CM12" s="137"/>
      <c r="CN12" s="137"/>
      <c r="CO12" s="137"/>
      <c r="CP12" s="137"/>
      <c r="CQ12" s="137"/>
      <c r="CR12" s="137"/>
      <c r="CS12" s="137"/>
      <c r="CT12" s="137"/>
      <c r="CU12" s="137"/>
      <c r="CV12" s="137"/>
      <c r="CW12" s="137"/>
      <c r="CX12" s="137"/>
      <c r="CY12" s="137"/>
      <c r="CZ12" s="137"/>
      <c r="DA12" s="137"/>
      <c r="DB12" s="137"/>
      <c r="DC12" s="137"/>
      <c r="DD12" s="137"/>
      <c r="DE12" s="137"/>
      <c r="DF12" s="137"/>
      <c r="DG12" s="137"/>
      <c r="DH12" s="137"/>
      <c r="DI12" s="137"/>
      <c r="DJ12" s="137"/>
      <c r="DK12" s="137"/>
      <c r="DL12" s="137"/>
      <c r="DM12" s="137"/>
      <c r="DN12" s="137"/>
      <c r="DO12" s="137"/>
      <c r="DP12" s="137"/>
      <c r="DQ12" s="137"/>
      <c r="DR12" s="137"/>
      <c r="DS12" s="137"/>
      <c r="DT12" s="137"/>
      <c r="DU12" s="137"/>
      <c r="DV12" s="137"/>
      <c r="DW12" s="137"/>
      <c r="DX12" s="137"/>
      <c r="DY12" s="137"/>
      <c r="DZ12" s="137"/>
      <c r="EA12" s="137"/>
      <c r="EB12" s="137"/>
      <c r="EC12" s="137"/>
      <c r="ED12" s="137"/>
      <c r="EE12" s="137"/>
      <c r="EF12" s="137"/>
      <c r="EG12" s="137"/>
      <c r="EH12" s="137"/>
      <c r="EI12" s="137"/>
      <c r="EJ12" s="137"/>
      <c r="EK12" s="137"/>
      <c r="EL12" s="137"/>
      <c r="EM12" s="137"/>
      <c r="EN12" s="137"/>
      <c r="EO12" s="137"/>
      <c r="EP12" s="137"/>
      <c r="EQ12" s="137"/>
      <c r="ER12" s="137"/>
      <c r="ES12" s="137"/>
      <c r="ET12" s="137"/>
      <c r="EU12" s="137"/>
      <c r="EV12" s="137"/>
      <c r="EW12" s="137"/>
      <c r="EX12" s="137"/>
      <c r="EY12" s="137"/>
      <c r="EZ12" s="137"/>
      <c r="FA12" s="137"/>
      <c r="FB12" s="137"/>
      <c r="FC12" s="137"/>
      <c r="FD12" s="137"/>
      <c r="FE12" s="137"/>
      <c r="FF12" s="137"/>
      <c r="FG12" s="137"/>
      <c r="FH12" s="137"/>
      <c r="FI12" s="137"/>
      <c r="FJ12" s="137"/>
      <c r="FK12" s="137"/>
      <c r="FL12" s="137"/>
      <c r="FM12" s="137"/>
      <c r="FN12" s="137"/>
      <c r="FO12" s="137"/>
      <c r="FP12" s="137"/>
      <c r="FQ12" s="137"/>
      <c r="FR12" s="137"/>
      <c r="FS12" s="137"/>
      <c r="FT12" s="137"/>
      <c r="FU12" s="137"/>
      <c r="FV12" s="137"/>
      <c r="FW12" s="137"/>
      <c r="FX12" s="137"/>
      <c r="FY12" s="137"/>
      <c r="FZ12" s="137"/>
      <c r="GA12" s="137"/>
      <c r="GB12" s="137"/>
      <c r="GC12" s="137"/>
      <c r="GD12" s="137"/>
      <c r="GE12" s="137"/>
      <c r="GF12" s="137"/>
      <c r="GG12" s="137"/>
      <c r="GH12" s="137"/>
      <c r="GI12" s="137"/>
      <c r="GJ12" s="137"/>
      <c r="GK12" s="137"/>
      <c r="GL12" s="137"/>
      <c r="GM12" s="137"/>
      <c r="GN12" s="137"/>
      <c r="GO12" s="137"/>
      <c r="GP12" s="137"/>
      <c r="GQ12" s="137"/>
      <c r="GR12" s="137"/>
      <c r="GS12" s="137"/>
      <c r="GT12" s="137"/>
      <c r="GU12" s="137"/>
      <c r="GV12" s="137"/>
      <c r="GW12" s="137"/>
      <c r="GX12" s="137"/>
      <c r="GY12" s="137"/>
      <c r="GZ12" s="137"/>
      <c r="HA12" s="137"/>
      <c r="HB12" s="137"/>
      <c r="HC12" s="137"/>
      <c r="HD12" s="137"/>
      <c r="HE12" s="137"/>
      <c r="HF12" s="137"/>
      <c r="HG12" s="137"/>
      <c r="HH12" s="137"/>
      <c r="HI12" s="137"/>
      <c r="HJ12" s="137"/>
      <c r="HK12" s="137"/>
      <c r="HL12" s="137"/>
      <c r="HM12" s="137"/>
      <c r="HN12" s="137"/>
      <c r="HO12" s="137"/>
      <c r="HP12" s="137"/>
      <c r="HQ12" s="137"/>
      <c r="HR12" s="137"/>
      <c r="HS12" s="137"/>
      <c r="HT12" s="137"/>
      <c r="HU12" s="137"/>
      <c r="HV12" s="137"/>
      <c r="HW12" s="137"/>
      <c r="HX12" s="137"/>
      <c r="HY12" s="137"/>
      <c r="HZ12" s="137"/>
      <c r="IA12" s="137"/>
      <c r="IB12" s="137"/>
      <c r="IC12" s="137"/>
      <c r="ID12" s="137"/>
      <c r="IE12" s="137"/>
      <c r="IF12" s="137"/>
      <c r="IG12" s="137"/>
      <c r="IH12" s="137"/>
      <c r="II12" s="137"/>
      <c r="IJ12" s="137"/>
      <c r="IK12" s="137"/>
      <c r="IL12" s="137"/>
      <c r="IM12" s="137"/>
      <c r="IN12" s="137"/>
      <c r="IO12" s="137"/>
      <c r="IP12" s="137"/>
      <c r="IQ12" s="137"/>
      <c r="IR12" s="137"/>
      <c r="IS12" s="137"/>
      <c r="IT12" s="137"/>
      <c r="IU12" s="137"/>
      <c r="IV12" s="137"/>
      <c r="IW12" s="137"/>
      <c r="IX12" s="137"/>
      <c r="IY12" s="137"/>
      <c r="IZ12" s="137"/>
      <c r="JA12" s="137"/>
      <c r="JB12" s="137"/>
      <c r="JC12" s="137"/>
      <c r="JD12" s="137"/>
      <c r="JE12" s="137"/>
      <c r="JF12" s="137"/>
      <c r="JG12" s="137"/>
      <c r="JH12" s="137"/>
      <c r="JI12" s="137"/>
      <c r="JJ12" s="137"/>
      <c r="JK12" s="137"/>
      <c r="JL12" s="137"/>
      <c r="JM12" s="137"/>
      <c r="JN12" s="137"/>
      <c r="JO12" s="137"/>
      <c r="JP12" s="137"/>
      <c r="JQ12" s="137"/>
      <c r="JR12" s="137"/>
      <c r="JS12" s="137"/>
      <c r="JT12" s="137"/>
      <c r="JU12" s="137"/>
      <c r="JV12" s="137"/>
      <c r="JW12" s="137"/>
      <c r="JX12" s="137"/>
      <c r="JY12" s="137"/>
      <c r="JZ12" s="137"/>
      <c r="KA12" s="137"/>
      <c r="KB12" s="137"/>
      <c r="KC12" s="137"/>
      <c r="KD12" s="137"/>
      <c r="KE12" s="137"/>
      <c r="KF12" s="137"/>
      <c r="KG12" s="137"/>
      <c r="KH12" s="137"/>
      <c r="KI12" s="137"/>
      <c r="KJ12" s="137"/>
      <c r="KK12" s="137"/>
      <c r="KL12" s="137"/>
      <c r="KM12" s="137"/>
      <c r="KN12" s="137"/>
      <c r="KO12" s="137"/>
      <c r="KP12" s="137"/>
      <c r="KQ12" s="137"/>
      <c r="KR12" s="137"/>
      <c r="KS12" s="137"/>
      <c r="KT12" s="137"/>
    </row>
    <row r="13" spans="1:306" s="125" customFormat="1">
      <c r="A13" s="527"/>
      <c r="B13" s="133" t="s">
        <v>1833</v>
      </c>
      <c r="C13" s="133" t="s">
        <v>509</v>
      </c>
      <c r="D13" s="134" t="s">
        <v>4222</v>
      </c>
      <c r="E13" s="134" t="s">
        <v>299</v>
      </c>
      <c r="F13" s="132" t="s">
        <v>302</v>
      </c>
      <c r="G13" s="132" t="s">
        <v>302</v>
      </c>
      <c r="H13" s="134" t="s">
        <v>57</v>
      </c>
      <c r="I13" s="133" t="s">
        <v>4149</v>
      </c>
      <c r="J13" s="133" t="s">
        <v>302</v>
      </c>
      <c r="K13" s="528"/>
      <c r="L13" s="136"/>
      <c r="M13" s="137"/>
      <c r="N13" s="137"/>
      <c r="O13" s="137"/>
      <c r="P13" s="137"/>
      <c r="Q13" s="137"/>
      <c r="R13" s="137"/>
      <c r="S13" s="137"/>
      <c r="T13" s="137"/>
      <c r="U13" s="137"/>
      <c r="V13" s="137"/>
      <c r="W13" s="137"/>
      <c r="X13" s="137"/>
      <c r="Y13" s="137"/>
      <c r="Z13" s="137"/>
      <c r="AA13" s="137"/>
      <c r="AB13" s="137"/>
      <c r="AC13" s="137"/>
      <c r="AD13" s="137"/>
      <c r="AE13" s="137"/>
      <c r="AF13" s="137"/>
      <c r="AG13" s="137"/>
      <c r="AH13" s="137"/>
      <c r="AI13" s="137"/>
      <c r="AJ13" s="137"/>
      <c r="AK13" s="137"/>
      <c r="AL13" s="137"/>
      <c r="AM13" s="137"/>
      <c r="AN13" s="137"/>
      <c r="AO13" s="137"/>
      <c r="AP13" s="137"/>
      <c r="AQ13" s="137"/>
      <c r="AR13" s="137"/>
      <c r="AS13" s="137"/>
      <c r="AT13" s="137"/>
      <c r="AU13" s="137"/>
      <c r="AV13" s="137"/>
      <c r="AW13" s="137"/>
      <c r="AX13" s="137"/>
      <c r="AY13" s="137"/>
      <c r="AZ13" s="137"/>
      <c r="BA13" s="137"/>
      <c r="BB13" s="137"/>
      <c r="BC13" s="137"/>
      <c r="BD13" s="137"/>
      <c r="BE13" s="137"/>
      <c r="BF13" s="137"/>
      <c r="BG13" s="137"/>
      <c r="BH13" s="137"/>
      <c r="BI13" s="137"/>
      <c r="BJ13" s="137"/>
      <c r="BK13" s="137"/>
      <c r="BL13" s="137"/>
      <c r="BM13" s="137"/>
      <c r="BN13" s="137"/>
      <c r="BO13" s="137"/>
      <c r="BP13" s="137"/>
      <c r="BQ13" s="137"/>
      <c r="BR13" s="137"/>
      <c r="BS13" s="137"/>
      <c r="BT13" s="137"/>
      <c r="BU13" s="137"/>
      <c r="BV13" s="137"/>
      <c r="BW13" s="137"/>
      <c r="BX13" s="137"/>
      <c r="BY13" s="137"/>
      <c r="BZ13" s="137"/>
      <c r="CA13" s="137"/>
      <c r="CB13" s="137"/>
      <c r="CC13" s="137"/>
      <c r="CD13" s="137"/>
      <c r="CE13" s="137"/>
      <c r="CF13" s="137"/>
      <c r="CG13" s="137"/>
      <c r="CH13" s="137"/>
      <c r="CI13" s="137"/>
      <c r="CJ13" s="137"/>
      <c r="CK13" s="137"/>
      <c r="CL13" s="137"/>
      <c r="CM13" s="137"/>
      <c r="CN13" s="137"/>
      <c r="CO13" s="137"/>
      <c r="CP13" s="137"/>
      <c r="CQ13" s="137"/>
      <c r="CR13" s="137"/>
      <c r="CS13" s="137"/>
      <c r="CT13" s="137"/>
      <c r="CU13" s="137"/>
      <c r="CV13" s="137"/>
      <c r="CW13" s="137"/>
      <c r="CX13" s="137"/>
      <c r="CY13" s="137"/>
      <c r="CZ13" s="137"/>
      <c r="DA13" s="137"/>
      <c r="DB13" s="137"/>
      <c r="DC13" s="137"/>
      <c r="DD13" s="137"/>
      <c r="DE13" s="137"/>
      <c r="DF13" s="137"/>
      <c r="DG13" s="137"/>
      <c r="DH13" s="137"/>
      <c r="DI13" s="137"/>
      <c r="DJ13" s="137"/>
      <c r="DK13" s="137"/>
      <c r="DL13" s="137"/>
      <c r="DM13" s="137"/>
      <c r="DN13" s="137"/>
      <c r="DO13" s="137"/>
      <c r="DP13" s="137"/>
      <c r="DQ13" s="137"/>
      <c r="DR13" s="137"/>
      <c r="DS13" s="137"/>
      <c r="DT13" s="137"/>
      <c r="DU13" s="137"/>
      <c r="DV13" s="137"/>
      <c r="DW13" s="137"/>
      <c r="DX13" s="137"/>
      <c r="DY13" s="137"/>
      <c r="DZ13" s="137"/>
      <c r="EA13" s="137"/>
      <c r="EB13" s="137"/>
      <c r="EC13" s="137"/>
      <c r="ED13" s="137"/>
      <c r="EE13" s="137"/>
      <c r="EF13" s="137"/>
      <c r="EG13" s="137"/>
      <c r="EH13" s="137"/>
      <c r="EI13" s="137"/>
      <c r="EJ13" s="137"/>
      <c r="EK13" s="137"/>
      <c r="EL13" s="137"/>
      <c r="EM13" s="137"/>
      <c r="EN13" s="137"/>
      <c r="EO13" s="137"/>
      <c r="EP13" s="137"/>
      <c r="EQ13" s="137"/>
      <c r="ER13" s="137"/>
      <c r="ES13" s="137"/>
      <c r="ET13" s="137"/>
      <c r="EU13" s="137"/>
      <c r="EV13" s="137"/>
      <c r="EW13" s="137"/>
      <c r="EX13" s="137"/>
      <c r="EY13" s="137"/>
      <c r="EZ13" s="137"/>
      <c r="FA13" s="137"/>
      <c r="FB13" s="137"/>
      <c r="FC13" s="137"/>
      <c r="FD13" s="137"/>
      <c r="FE13" s="137"/>
      <c r="FF13" s="137"/>
      <c r="FG13" s="137"/>
      <c r="FH13" s="137"/>
      <c r="FI13" s="137"/>
      <c r="FJ13" s="137"/>
      <c r="FK13" s="137"/>
      <c r="FL13" s="137"/>
      <c r="FM13" s="137"/>
      <c r="FN13" s="137"/>
      <c r="FO13" s="137"/>
      <c r="FP13" s="137"/>
      <c r="FQ13" s="137"/>
      <c r="FR13" s="137"/>
      <c r="FS13" s="137"/>
      <c r="FT13" s="137"/>
      <c r="FU13" s="137"/>
      <c r="FV13" s="137"/>
      <c r="FW13" s="137"/>
      <c r="FX13" s="137"/>
      <c r="FY13" s="137"/>
      <c r="FZ13" s="137"/>
      <c r="GA13" s="137"/>
      <c r="GB13" s="137"/>
      <c r="GC13" s="137"/>
      <c r="GD13" s="137"/>
      <c r="GE13" s="137"/>
      <c r="GF13" s="137"/>
      <c r="GG13" s="137"/>
      <c r="GH13" s="137"/>
      <c r="GI13" s="137"/>
      <c r="GJ13" s="137"/>
      <c r="GK13" s="137"/>
      <c r="GL13" s="137"/>
      <c r="GM13" s="137"/>
      <c r="GN13" s="137"/>
      <c r="GO13" s="137"/>
      <c r="GP13" s="137"/>
      <c r="GQ13" s="137"/>
      <c r="GR13" s="137"/>
      <c r="GS13" s="137"/>
      <c r="GT13" s="137"/>
      <c r="GU13" s="137"/>
      <c r="GV13" s="137"/>
      <c r="GW13" s="137"/>
      <c r="GX13" s="137"/>
      <c r="GY13" s="137"/>
      <c r="GZ13" s="137"/>
      <c r="HA13" s="137"/>
      <c r="HB13" s="137"/>
      <c r="HC13" s="137"/>
      <c r="HD13" s="137"/>
      <c r="HE13" s="137"/>
      <c r="HF13" s="137"/>
      <c r="HG13" s="137"/>
      <c r="HH13" s="137"/>
      <c r="HI13" s="137"/>
      <c r="HJ13" s="137"/>
      <c r="HK13" s="137"/>
      <c r="HL13" s="137"/>
      <c r="HM13" s="137"/>
      <c r="HN13" s="137"/>
      <c r="HO13" s="137"/>
      <c r="HP13" s="137"/>
      <c r="HQ13" s="137"/>
      <c r="HR13" s="137"/>
      <c r="HS13" s="137"/>
      <c r="HT13" s="137"/>
      <c r="HU13" s="137"/>
      <c r="HV13" s="137"/>
      <c r="HW13" s="137"/>
      <c r="HX13" s="137"/>
      <c r="HY13" s="137"/>
      <c r="HZ13" s="137"/>
      <c r="IA13" s="137"/>
      <c r="IB13" s="137"/>
      <c r="IC13" s="137"/>
      <c r="ID13" s="137"/>
      <c r="IE13" s="137"/>
      <c r="IF13" s="137"/>
      <c r="IG13" s="137"/>
      <c r="IH13" s="137"/>
      <c r="II13" s="137"/>
      <c r="IJ13" s="137"/>
      <c r="IK13" s="137"/>
      <c r="IL13" s="137"/>
      <c r="IM13" s="137"/>
      <c r="IN13" s="137"/>
      <c r="IO13" s="137"/>
      <c r="IP13" s="137"/>
      <c r="IQ13" s="137"/>
      <c r="IR13" s="137"/>
      <c r="IS13" s="137"/>
      <c r="IT13" s="137"/>
      <c r="IU13" s="137"/>
      <c r="IV13" s="137"/>
      <c r="IW13" s="137"/>
      <c r="IX13" s="137"/>
      <c r="IY13" s="137"/>
      <c r="IZ13" s="137"/>
      <c r="JA13" s="137"/>
      <c r="JB13" s="137"/>
      <c r="JC13" s="137"/>
      <c r="JD13" s="137"/>
      <c r="JE13" s="137"/>
      <c r="JF13" s="137"/>
      <c r="JG13" s="137"/>
      <c r="JH13" s="137"/>
      <c r="JI13" s="137"/>
      <c r="JJ13" s="137"/>
      <c r="JK13" s="137"/>
      <c r="JL13" s="137"/>
      <c r="JM13" s="137"/>
      <c r="JN13" s="137"/>
      <c r="JO13" s="137"/>
      <c r="JP13" s="137"/>
      <c r="JQ13" s="137"/>
      <c r="JR13" s="137"/>
      <c r="JS13" s="137"/>
      <c r="JT13" s="137"/>
      <c r="JU13" s="137"/>
      <c r="JV13" s="137"/>
      <c r="JW13" s="137"/>
      <c r="JX13" s="137"/>
      <c r="JY13" s="137"/>
      <c r="JZ13" s="137"/>
      <c r="KA13" s="137"/>
      <c r="KB13" s="137"/>
      <c r="KC13" s="137"/>
      <c r="KD13" s="137"/>
      <c r="KE13" s="137"/>
      <c r="KF13" s="137"/>
      <c r="KG13" s="137"/>
      <c r="KH13" s="137"/>
      <c r="KI13" s="137"/>
      <c r="KJ13" s="137"/>
      <c r="KK13" s="137"/>
      <c r="KL13" s="137"/>
      <c r="KM13" s="137"/>
      <c r="KN13" s="137"/>
      <c r="KO13" s="137"/>
      <c r="KP13" s="137"/>
      <c r="KQ13" s="137"/>
      <c r="KR13" s="137"/>
      <c r="KS13" s="137"/>
      <c r="KT13" s="137"/>
    </row>
    <row r="14" spans="1:306" s="125" customFormat="1">
      <c r="A14" s="527"/>
      <c r="B14" s="133" t="s">
        <v>511</v>
      </c>
      <c r="C14" s="133" t="s">
        <v>512</v>
      </c>
      <c r="D14" s="134" t="s">
        <v>513</v>
      </c>
      <c r="E14" s="134" t="s">
        <v>299</v>
      </c>
      <c r="F14" s="132" t="s">
        <v>302</v>
      </c>
      <c r="G14" s="132" t="s">
        <v>302</v>
      </c>
      <c r="H14" s="134" t="s">
        <v>57</v>
      </c>
      <c r="I14" s="133" t="s">
        <v>338</v>
      </c>
      <c r="J14" s="133" t="s">
        <v>302</v>
      </c>
      <c r="K14" s="528"/>
      <c r="L14" s="136"/>
      <c r="M14" s="137"/>
      <c r="N14" s="137"/>
      <c r="O14" s="137"/>
      <c r="P14" s="137"/>
      <c r="Q14" s="137"/>
      <c r="R14" s="137"/>
      <c r="S14" s="137"/>
      <c r="T14" s="137"/>
      <c r="U14" s="137"/>
      <c r="V14" s="137"/>
      <c r="W14" s="137"/>
      <c r="X14" s="137"/>
      <c r="Y14" s="137"/>
      <c r="Z14" s="137"/>
      <c r="AA14" s="137"/>
      <c r="AB14" s="137"/>
      <c r="AC14" s="137"/>
      <c r="AD14" s="137"/>
      <c r="AE14" s="137"/>
      <c r="AF14" s="137"/>
      <c r="AG14" s="137"/>
      <c r="AH14" s="137"/>
      <c r="AI14" s="137"/>
      <c r="AJ14" s="137"/>
      <c r="AK14" s="137"/>
      <c r="AL14" s="137"/>
      <c r="AM14" s="137"/>
      <c r="AN14" s="137"/>
      <c r="AO14" s="137"/>
      <c r="AP14" s="137"/>
      <c r="AQ14" s="137"/>
      <c r="AR14" s="137"/>
      <c r="AS14" s="137"/>
      <c r="AT14" s="137"/>
      <c r="AU14" s="137"/>
      <c r="AV14" s="137"/>
      <c r="AW14" s="137"/>
      <c r="AX14" s="137"/>
      <c r="AY14" s="137"/>
      <c r="AZ14" s="137"/>
      <c r="BA14" s="137"/>
      <c r="BB14" s="137"/>
      <c r="BC14" s="137"/>
      <c r="BD14" s="137"/>
      <c r="BE14" s="137"/>
      <c r="BF14" s="137"/>
      <c r="BG14" s="137"/>
      <c r="BH14" s="137"/>
      <c r="BI14" s="137"/>
      <c r="BJ14" s="137"/>
      <c r="BK14" s="137"/>
      <c r="BL14" s="137"/>
      <c r="BM14" s="137"/>
      <c r="BN14" s="137"/>
      <c r="BO14" s="137"/>
      <c r="BP14" s="137"/>
      <c r="BQ14" s="137"/>
      <c r="BR14" s="137"/>
      <c r="BS14" s="137"/>
      <c r="BT14" s="137"/>
      <c r="BU14" s="137"/>
      <c r="BV14" s="137"/>
      <c r="BW14" s="137"/>
      <c r="BX14" s="137"/>
      <c r="BY14" s="137"/>
      <c r="BZ14" s="137"/>
      <c r="CA14" s="137"/>
      <c r="CB14" s="137"/>
      <c r="CC14" s="137"/>
      <c r="CD14" s="137"/>
      <c r="CE14" s="137"/>
      <c r="CF14" s="137"/>
      <c r="CG14" s="137"/>
      <c r="CH14" s="137"/>
      <c r="CI14" s="137"/>
      <c r="CJ14" s="137"/>
      <c r="CK14" s="137"/>
      <c r="CL14" s="137"/>
      <c r="CM14" s="137"/>
      <c r="CN14" s="137"/>
      <c r="CO14" s="137"/>
      <c r="CP14" s="137"/>
      <c r="CQ14" s="137"/>
      <c r="CR14" s="137"/>
      <c r="CS14" s="137"/>
      <c r="CT14" s="137"/>
      <c r="CU14" s="137"/>
      <c r="CV14" s="137"/>
      <c r="CW14" s="137"/>
      <c r="CX14" s="137"/>
      <c r="CY14" s="137"/>
      <c r="CZ14" s="137"/>
      <c r="DA14" s="137"/>
      <c r="DB14" s="137"/>
      <c r="DC14" s="137"/>
      <c r="DD14" s="137"/>
      <c r="DE14" s="137"/>
      <c r="DF14" s="137"/>
      <c r="DG14" s="137"/>
      <c r="DH14" s="137"/>
      <c r="DI14" s="137"/>
      <c r="DJ14" s="137"/>
      <c r="DK14" s="137"/>
      <c r="DL14" s="137"/>
      <c r="DM14" s="137"/>
      <c r="DN14" s="137"/>
      <c r="DO14" s="137"/>
      <c r="DP14" s="137"/>
      <c r="DQ14" s="137"/>
      <c r="DR14" s="137"/>
      <c r="DS14" s="137"/>
      <c r="DT14" s="137"/>
      <c r="DU14" s="137"/>
      <c r="DV14" s="137"/>
      <c r="DW14" s="137"/>
      <c r="DX14" s="137"/>
      <c r="DY14" s="137"/>
      <c r="DZ14" s="137"/>
      <c r="EA14" s="137"/>
      <c r="EB14" s="137"/>
      <c r="EC14" s="137"/>
      <c r="ED14" s="137"/>
      <c r="EE14" s="137"/>
      <c r="EF14" s="137"/>
      <c r="EG14" s="137"/>
      <c r="EH14" s="137"/>
      <c r="EI14" s="137"/>
      <c r="EJ14" s="137"/>
      <c r="EK14" s="137"/>
      <c r="EL14" s="137"/>
      <c r="EM14" s="137"/>
      <c r="EN14" s="137"/>
      <c r="EO14" s="137"/>
      <c r="EP14" s="137"/>
      <c r="EQ14" s="137"/>
      <c r="ER14" s="137"/>
      <c r="ES14" s="137"/>
      <c r="ET14" s="137"/>
      <c r="EU14" s="137"/>
      <c r="EV14" s="137"/>
      <c r="EW14" s="137"/>
      <c r="EX14" s="137"/>
      <c r="EY14" s="137"/>
      <c r="EZ14" s="137"/>
      <c r="FA14" s="137"/>
      <c r="FB14" s="137"/>
      <c r="FC14" s="137"/>
      <c r="FD14" s="137"/>
      <c r="FE14" s="137"/>
      <c r="FF14" s="137"/>
      <c r="FG14" s="137"/>
      <c r="FH14" s="137"/>
      <c r="FI14" s="137"/>
      <c r="FJ14" s="137"/>
      <c r="FK14" s="137"/>
      <c r="FL14" s="137"/>
      <c r="FM14" s="137"/>
      <c r="FN14" s="137"/>
      <c r="FO14" s="137"/>
      <c r="FP14" s="137"/>
      <c r="FQ14" s="137"/>
      <c r="FR14" s="137"/>
      <c r="FS14" s="137"/>
      <c r="FT14" s="137"/>
      <c r="FU14" s="137"/>
      <c r="FV14" s="137"/>
      <c r="FW14" s="137"/>
      <c r="FX14" s="137"/>
      <c r="FY14" s="137"/>
      <c r="FZ14" s="137"/>
      <c r="GA14" s="137"/>
      <c r="GB14" s="137"/>
      <c r="GC14" s="137"/>
      <c r="GD14" s="137"/>
      <c r="GE14" s="137"/>
      <c r="GF14" s="137"/>
      <c r="GG14" s="137"/>
      <c r="GH14" s="137"/>
      <c r="GI14" s="137"/>
      <c r="GJ14" s="137"/>
      <c r="GK14" s="137"/>
      <c r="GL14" s="137"/>
      <c r="GM14" s="137"/>
      <c r="GN14" s="137"/>
      <c r="GO14" s="137"/>
      <c r="GP14" s="137"/>
      <c r="GQ14" s="137"/>
      <c r="GR14" s="137"/>
      <c r="GS14" s="137"/>
      <c r="GT14" s="137"/>
      <c r="GU14" s="137"/>
      <c r="GV14" s="137"/>
      <c r="GW14" s="137"/>
      <c r="GX14" s="137"/>
      <c r="GY14" s="137"/>
      <c r="GZ14" s="137"/>
      <c r="HA14" s="137"/>
      <c r="HB14" s="137"/>
      <c r="HC14" s="137"/>
      <c r="HD14" s="137"/>
      <c r="HE14" s="137"/>
      <c r="HF14" s="137"/>
      <c r="HG14" s="137"/>
      <c r="HH14" s="137"/>
      <c r="HI14" s="137"/>
      <c r="HJ14" s="137"/>
      <c r="HK14" s="137"/>
      <c r="HL14" s="137"/>
      <c r="HM14" s="137"/>
      <c r="HN14" s="137"/>
      <c r="HO14" s="137"/>
      <c r="HP14" s="137"/>
      <c r="HQ14" s="137"/>
      <c r="HR14" s="137"/>
      <c r="HS14" s="137"/>
      <c r="HT14" s="137"/>
      <c r="HU14" s="137"/>
      <c r="HV14" s="137"/>
      <c r="HW14" s="137"/>
      <c r="HX14" s="137"/>
      <c r="HY14" s="137"/>
      <c r="HZ14" s="137"/>
      <c r="IA14" s="137"/>
      <c r="IB14" s="137"/>
      <c r="IC14" s="137"/>
      <c r="ID14" s="137"/>
      <c r="IE14" s="137"/>
      <c r="IF14" s="137"/>
      <c r="IG14" s="137"/>
      <c r="IH14" s="137"/>
      <c r="II14" s="137"/>
      <c r="IJ14" s="137"/>
      <c r="IK14" s="137"/>
      <c r="IL14" s="137"/>
      <c r="IM14" s="137"/>
      <c r="IN14" s="137"/>
      <c r="IO14" s="137"/>
      <c r="IP14" s="137"/>
      <c r="IQ14" s="137"/>
      <c r="IR14" s="137"/>
      <c r="IS14" s="137"/>
      <c r="IT14" s="137"/>
      <c r="IU14" s="137"/>
      <c r="IV14" s="137"/>
      <c r="IW14" s="137"/>
      <c r="IX14" s="137"/>
      <c r="IY14" s="137"/>
      <c r="IZ14" s="137"/>
      <c r="JA14" s="137"/>
      <c r="JB14" s="137"/>
      <c r="JC14" s="137"/>
      <c r="JD14" s="137"/>
      <c r="JE14" s="137"/>
      <c r="JF14" s="137"/>
      <c r="JG14" s="137"/>
      <c r="JH14" s="137"/>
      <c r="JI14" s="137"/>
      <c r="JJ14" s="137"/>
      <c r="JK14" s="137"/>
      <c r="JL14" s="137"/>
      <c r="JM14" s="137"/>
      <c r="JN14" s="137"/>
      <c r="JO14" s="137"/>
      <c r="JP14" s="137"/>
      <c r="JQ14" s="137"/>
      <c r="JR14" s="137"/>
      <c r="JS14" s="137"/>
      <c r="JT14" s="137"/>
      <c r="JU14" s="137"/>
      <c r="JV14" s="137"/>
      <c r="JW14" s="137"/>
      <c r="JX14" s="137"/>
      <c r="JY14" s="137"/>
      <c r="JZ14" s="137"/>
      <c r="KA14" s="137"/>
      <c r="KB14" s="137"/>
      <c r="KC14" s="137"/>
      <c r="KD14" s="137"/>
      <c r="KE14" s="137"/>
      <c r="KF14" s="137"/>
      <c r="KG14" s="137"/>
      <c r="KH14" s="137"/>
      <c r="KI14" s="137"/>
      <c r="KJ14" s="137"/>
      <c r="KK14" s="137"/>
      <c r="KL14" s="137"/>
      <c r="KM14" s="137"/>
      <c r="KN14" s="137"/>
      <c r="KO14" s="137"/>
      <c r="KP14" s="137"/>
      <c r="KQ14" s="137"/>
      <c r="KR14" s="137"/>
      <c r="KS14" s="137"/>
      <c r="KT14" s="137"/>
    </row>
    <row r="15" spans="1:306" s="125" customFormat="1">
      <c r="A15" s="527"/>
      <c r="B15" s="133" t="s">
        <v>514</v>
      </c>
      <c r="C15" s="133" t="s">
        <v>515</v>
      </c>
      <c r="D15" s="134" t="s">
        <v>516</v>
      </c>
      <c r="E15" s="134" t="s">
        <v>299</v>
      </c>
      <c r="F15" s="132" t="s">
        <v>302</v>
      </c>
      <c r="G15" s="132" t="s">
        <v>302</v>
      </c>
      <c r="H15" s="134" t="s">
        <v>57</v>
      </c>
      <c r="I15" s="133" t="s">
        <v>338</v>
      </c>
      <c r="J15" s="133" t="s">
        <v>302</v>
      </c>
      <c r="K15" s="528"/>
      <c r="L15" s="136"/>
      <c r="M15" s="137"/>
      <c r="N15" s="137"/>
      <c r="O15" s="137"/>
      <c r="P15" s="137"/>
      <c r="Q15" s="137"/>
      <c r="R15" s="137"/>
      <c r="S15" s="137"/>
      <c r="T15" s="137"/>
      <c r="U15" s="137"/>
      <c r="V15" s="137"/>
      <c r="W15" s="137"/>
      <c r="X15" s="137"/>
      <c r="Y15" s="137"/>
      <c r="Z15" s="137"/>
      <c r="AA15" s="137"/>
      <c r="AB15" s="137"/>
      <c r="AC15" s="137"/>
      <c r="AD15" s="137"/>
      <c r="AE15" s="137"/>
      <c r="AF15" s="137"/>
      <c r="AG15" s="137"/>
      <c r="AH15" s="137"/>
      <c r="AI15" s="137"/>
      <c r="AJ15" s="137"/>
      <c r="AK15" s="137"/>
      <c r="AL15" s="137"/>
      <c r="AM15" s="137"/>
      <c r="AN15" s="137"/>
      <c r="AO15" s="137"/>
      <c r="AP15" s="137"/>
      <c r="AQ15" s="137"/>
      <c r="AR15" s="137"/>
      <c r="AS15" s="137"/>
      <c r="AT15" s="137"/>
      <c r="AU15" s="137"/>
      <c r="AV15" s="137"/>
      <c r="AW15" s="137"/>
      <c r="AX15" s="137"/>
      <c r="AY15" s="137"/>
      <c r="AZ15" s="137"/>
      <c r="BA15" s="137"/>
      <c r="BB15" s="137"/>
      <c r="BC15" s="137"/>
      <c r="BD15" s="137"/>
      <c r="BE15" s="137"/>
      <c r="BF15" s="137"/>
      <c r="BG15" s="137"/>
      <c r="BH15" s="137"/>
      <c r="BI15" s="137"/>
      <c r="BJ15" s="137"/>
      <c r="BK15" s="137"/>
      <c r="BL15" s="137"/>
      <c r="BM15" s="137"/>
      <c r="BN15" s="137"/>
      <c r="BO15" s="137"/>
      <c r="BP15" s="137"/>
      <c r="BQ15" s="137"/>
      <c r="BR15" s="137"/>
      <c r="BS15" s="137"/>
      <c r="BT15" s="137"/>
      <c r="BU15" s="137"/>
      <c r="BV15" s="137"/>
      <c r="BW15" s="137"/>
      <c r="BX15" s="137"/>
      <c r="BY15" s="137"/>
      <c r="BZ15" s="137"/>
      <c r="CA15" s="137"/>
      <c r="CB15" s="137"/>
      <c r="CC15" s="137"/>
      <c r="CD15" s="137"/>
      <c r="CE15" s="137"/>
      <c r="CF15" s="137"/>
      <c r="CG15" s="137"/>
      <c r="CH15" s="137"/>
      <c r="CI15" s="137"/>
      <c r="CJ15" s="137"/>
      <c r="CK15" s="137"/>
      <c r="CL15" s="137"/>
      <c r="CM15" s="137"/>
      <c r="CN15" s="137"/>
      <c r="CO15" s="137"/>
      <c r="CP15" s="137"/>
      <c r="CQ15" s="137"/>
      <c r="CR15" s="137"/>
      <c r="CS15" s="137"/>
      <c r="CT15" s="137"/>
      <c r="CU15" s="137"/>
      <c r="CV15" s="137"/>
      <c r="CW15" s="137"/>
      <c r="CX15" s="137"/>
      <c r="CY15" s="137"/>
      <c r="CZ15" s="137"/>
      <c r="DA15" s="137"/>
      <c r="DB15" s="137"/>
      <c r="DC15" s="137"/>
      <c r="DD15" s="137"/>
      <c r="DE15" s="137"/>
      <c r="DF15" s="137"/>
      <c r="DG15" s="137"/>
      <c r="DH15" s="137"/>
      <c r="DI15" s="137"/>
      <c r="DJ15" s="137"/>
      <c r="DK15" s="137"/>
      <c r="DL15" s="137"/>
      <c r="DM15" s="137"/>
      <c r="DN15" s="137"/>
      <c r="DO15" s="137"/>
      <c r="DP15" s="137"/>
      <c r="DQ15" s="137"/>
      <c r="DR15" s="137"/>
      <c r="DS15" s="137"/>
      <c r="DT15" s="137"/>
      <c r="DU15" s="137"/>
      <c r="DV15" s="137"/>
      <c r="DW15" s="137"/>
      <c r="DX15" s="137"/>
      <c r="DY15" s="137"/>
      <c r="DZ15" s="137"/>
      <c r="EA15" s="137"/>
      <c r="EB15" s="137"/>
      <c r="EC15" s="137"/>
      <c r="ED15" s="137"/>
      <c r="EE15" s="137"/>
      <c r="EF15" s="137"/>
      <c r="EG15" s="137"/>
      <c r="EH15" s="137"/>
      <c r="EI15" s="137"/>
      <c r="EJ15" s="137"/>
      <c r="EK15" s="137"/>
      <c r="EL15" s="137"/>
      <c r="EM15" s="137"/>
      <c r="EN15" s="137"/>
      <c r="EO15" s="137"/>
      <c r="EP15" s="137"/>
      <c r="EQ15" s="137"/>
      <c r="ER15" s="137"/>
      <c r="ES15" s="137"/>
      <c r="ET15" s="137"/>
      <c r="EU15" s="137"/>
      <c r="EV15" s="137"/>
      <c r="EW15" s="137"/>
      <c r="EX15" s="137"/>
      <c r="EY15" s="137"/>
      <c r="EZ15" s="137"/>
      <c r="FA15" s="137"/>
      <c r="FB15" s="137"/>
      <c r="FC15" s="137"/>
      <c r="FD15" s="137"/>
      <c r="FE15" s="137"/>
      <c r="FF15" s="137"/>
      <c r="FG15" s="137"/>
      <c r="FH15" s="137"/>
      <c r="FI15" s="137"/>
      <c r="FJ15" s="137"/>
      <c r="FK15" s="137"/>
      <c r="FL15" s="137"/>
      <c r="FM15" s="137"/>
      <c r="FN15" s="137"/>
      <c r="FO15" s="137"/>
      <c r="FP15" s="137"/>
      <c r="FQ15" s="137"/>
      <c r="FR15" s="137"/>
      <c r="FS15" s="137"/>
      <c r="FT15" s="137"/>
      <c r="FU15" s="137"/>
      <c r="FV15" s="137"/>
      <c r="FW15" s="137"/>
      <c r="FX15" s="137"/>
      <c r="FY15" s="137"/>
      <c r="FZ15" s="137"/>
      <c r="GA15" s="137"/>
      <c r="GB15" s="137"/>
      <c r="GC15" s="137"/>
      <c r="GD15" s="137"/>
      <c r="GE15" s="137"/>
      <c r="GF15" s="137"/>
      <c r="GG15" s="137"/>
      <c r="GH15" s="137"/>
      <c r="GI15" s="137"/>
      <c r="GJ15" s="137"/>
      <c r="GK15" s="137"/>
      <c r="GL15" s="137"/>
      <c r="GM15" s="137"/>
      <c r="GN15" s="137"/>
      <c r="GO15" s="137"/>
      <c r="GP15" s="137"/>
      <c r="GQ15" s="137"/>
      <c r="GR15" s="137"/>
      <c r="GS15" s="137"/>
      <c r="GT15" s="137"/>
      <c r="GU15" s="137"/>
      <c r="GV15" s="137"/>
      <c r="GW15" s="137"/>
      <c r="GX15" s="137"/>
      <c r="GY15" s="137"/>
      <c r="GZ15" s="137"/>
      <c r="HA15" s="137"/>
      <c r="HB15" s="137"/>
      <c r="HC15" s="137"/>
      <c r="HD15" s="137"/>
      <c r="HE15" s="137"/>
      <c r="HF15" s="137"/>
      <c r="HG15" s="137"/>
      <c r="HH15" s="137"/>
      <c r="HI15" s="137"/>
      <c r="HJ15" s="137"/>
      <c r="HK15" s="137"/>
      <c r="HL15" s="137"/>
      <c r="HM15" s="137"/>
      <c r="HN15" s="137"/>
      <c r="HO15" s="137"/>
      <c r="HP15" s="137"/>
      <c r="HQ15" s="137"/>
      <c r="HR15" s="137"/>
      <c r="HS15" s="137"/>
      <c r="HT15" s="137"/>
      <c r="HU15" s="137"/>
      <c r="HV15" s="137"/>
      <c r="HW15" s="137"/>
      <c r="HX15" s="137"/>
      <c r="HY15" s="137"/>
      <c r="HZ15" s="137"/>
      <c r="IA15" s="137"/>
      <c r="IB15" s="137"/>
      <c r="IC15" s="137"/>
      <c r="ID15" s="137"/>
      <c r="IE15" s="137"/>
      <c r="IF15" s="137"/>
      <c r="IG15" s="137"/>
      <c r="IH15" s="137"/>
      <c r="II15" s="137"/>
      <c r="IJ15" s="137"/>
      <c r="IK15" s="137"/>
      <c r="IL15" s="137"/>
      <c r="IM15" s="137"/>
      <c r="IN15" s="137"/>
      <c r="IO15" s="137"/>
      <c r="IP15" s="137"/>
      <c r="IQ15" s="137"/>
      <c r="IR15" s="137"/>
      <c r="IS15" s="137"/>
      <c r="IT15" s="137"/>
      <c r="IU15" s="137"/>
      <c r="IV15" s="137"/>
      <c r="IW15" s="137"/>
      <c r="IX15" s="137"/>
      <c r="IY15" s="137"/>
      <c r="IZ15" s="137"/>
      <c r="JA15" s="137"/>
      <c r="JB15" s="137"/>
      <c r="JC15" s="137"/>
      <c r="JD15" s="137"/>
      <c r="JE15" s="137"/>
      <c r="JF15" s="137"/>
      <c r="JG15" s="137"/>
      <c r="JH15" s="137"/>
      <c r="JI15" s="137"/>
      <c r="JJ15" s="137"/>
      <c r="JK15" s="137"/>
      <c r="JL15" s="137"/>
      <c r="JM15" s="137"/>
      <c r="JN15" s="137"/>
      <c r="JO15" s="137"/>
      <c r="JP15" s="137"/>
      <c r="JQ15" s="137"/>
      <c r="JR15" s="137"/>
      <c r="JS15" s="137"/>
      <c r="JT15" s="137"/>
      <c r="JU15" s="137"/>
      <c r="JV15" s="137"/>
      <c r="JW15" s="137"/>
      <c r="JX15" s="137"/>
      <c r="JY15" s="137"/>
      <c r="JZ15" s="137"/>
      <c r="KA15" s="137"/>
      <c r="KB15" s="137"/>
      <c r="KC15" s="137"/>
      <c r="KD15" s="137"/>
      <c r="KE15" s="137"/>
      <c r="KF15" s="137"/>
      <c r="KG15" s="137"/>
      <c r="KH15" s="137"/>
      <c r="KI15" s="137"/>
      <c r="KJ15" s="137"/>
      <c r="KK15" s="137"/>
      <c r="KL15" s="137"/>
      <c r="KM15" s="137"/>
      <c r="KN15" s="137"/>
      <c r="KO15" s="137"/>
      <c r="KP15" s="137"/>
      <c r="KQ15" s="137"/>
      <c r="KR15" s="137"/>
      <c r="KS15" s="137"/>
      <c r="KT15" s="137"/>
    </row>
    <row r="16" spans="1:306" s="125" customFormat="1" ht="108">
      <c r="A16" s="527"/>
      <c r="B16" s="133" t="s">
        <v>4226</v>
      </c>
      <c r="C16" s="133" t="s">
        <v>4227</v>
      </c>
      <c r="D16" s="134" t="s">
        <v>4229</v>
      </c>
      <c r="E16" s="134" t="s">
        <v>299</v>
      </c>
      <c r="F16" s="132" t="s">
        <v>302</v>
      </c>
      <c r="G16" s="132" t="s">
        <v>302</v>
      </c>
      <c r="H16" s="134" t="s">
        <v>57</v>
      </c>
      <c r="I16" s="133" t="s">
        <v>519</v>
      </c>
      <c r="J16" s="133" t="s">
        <v>4228</v>
      </c>
      <c r="K16" s="528"/>
      <c r="L16" s="495" t="s">
        <v>4233</v>
      </c>
      <c r="M16" s="137"/>
      <c r="N16" s="137"/>
      <c r="O16" s="137"/>
      <c r="P16" s="137"/>
      <c r="Q16" s="137"/>
      <c r="R16" s="137"/>
      <c r="S16" s="137"/>
      <c r="T16" s="137"/>
      <c r="U16" s="137"/>
      <c r="V16" s="137"/>
      <c r="W16" s="137"/>
      <c r="X16" s="137"/>
      <c r="Y16" s="137"/>
      <c r="Z16" s="137"/>
      <c r="AA16" s="137"/>
      <c r="AB16" s="137"/>
      <c r="AC16" s="137"/>
      <c r="AD16" s="137"/>
      <c r="AE16" s="137"/>
      <c r="AF16" s="137"/>
      <c r="AG16" s="137"/>
      <c r="AH16" s="137"/>
      <c r="AI16" s="137"/>
      <c r="AJ16" s="137"/>
      <c r="AK16" s="137"/>
      <c r="AL16" s="137"/>
      <c r="AM16" s="137"/>
      <c r="AN16" s="137"/>
      <c r="AO16" s="137"/>
      <c r="AP16" s="137"/>
      <c r="AQ16" s="137"/>
      <c r="AR16" s="137"/>
      <c r="AS16" s="137"/>
      <c r="AT16" s="137"/>
      <c r="AU16" s="137"/>
      <c r="AV16" s="137"/>
      <c r="AW16" s="137"/>
      <c r="AX16" s="137"/>
      <c r="AY16" s="137"/>
      <c r="AZ16" s="137"/>
      <c r="BA16" s="137"/>
      <c r="BB16" s="137"/>
      <c r="BC16" s="137"/>
      <c r="BD16" s="137"/>
      <c r="BE16" s="137"/>
      <c r="BF16" s="137"/>
      <c r="BG16" s="137"/>
      <c r="BH16" s="137"/>
      <c r="BI16" s="137"/>
    </row>
    <row r="17" spans="1:61" s="125" customFormat="1" ht="24">
      <c r="A17" s="527"/>
      <c r="B17" s="133" t="s">
        <v>1834</v>
      </c>
      <c r="C17" s="133" t="s">
        <v>3610</v>
      </c>
      <c r="D17" s="134" t="s">
        <v>518</v>
      </c>
      <c r="E17" s="134" t="s">
        <v>299</v>
      </c>
      <c r="F17" s="132" t="s">
        <v>302</v>
      </c>
      <c r="G17" s="132" t="s">
        <v>302</v>
      </c>
      <c r="H17" s="134" t="s">
        <v>57</v>
      </c>
      <c r="I17" s="133" t="s">
        <v>519</v>
      </c>
      <c r="J17" s="133" t="s">
        <v>2495</v>
      </c>
      <c r="K17" s="528"/>
      <c r="L17" s="136" t="s">
        <v>521</v>
      </c>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row>
    <row r="18" spans="1:61" s="125" customFormat="1" ht="48">
      <c r="A18" s="527"/>
      <c r="B18" s="133" t="s">
        <v>522</v>
      </c>
      <c r="C18" s="133" t="s">
        <v>493</v>
      </c>
      <c r="D18" s="134" t="s">
        <v>494</v>
      </c>
      <c r="E18" s="134" t="s">
        <v>299</v>
      </c>
      <c r="F18" s="132" t="s">
        <v>302</v>
      </c>
      <c r="G18" s="132" t="s">
        <v>302</v>
      </c>
      <c r="H18" s="134" t="s">
        <v>57</v>
      </c>
      <c r="I18" s="133" t="s">
        <v>310</v>
      </c>
      <c r="J18" s="133" t="s">
        <v>495</v>
      </c>
      <c r="K18" s="528"/>
      <c r="L18" s="136"/>
      <c r="M18" s="137"/>
      <c r="N18" s="137"/>
      <c r="O18" s="137"/>
      <c r="P18" s="137"/>
      <c r="Q18" s="137"/>
      <c r="R18" s="137"/>
      <c r="S18" s="137"/>
      <c r="T18" s="137"/>
      <c r="U18" s="137"/>
      <c r="V18" s="137"/>
      <c r="W18" s="137"/>
      <c r="X18" s="137"/>
      <c r="Y18" s="137"/>
      <c r="Z18" s="137"/>
      <c r="AA18" s="137"/>
      <c r="AB18" s="137"/>
      <c r="AC18" s="137"/>
      <c r="AD18" s="137"/>
      <c r="AE18" s="137"/>
      <c r="AF18" s="137"/>
      <c r="AG18" s="137"/>
      <c r="AH18" s="137"/>
      <c r="AI18" s="137"/>
      <c r="AJ18" s="137"/>
      <c r="AK18" s="137"/>
      <c r="AL18" s="137"/>
      <c r="AM18" s="137"/>
      <c r="AN18" s="137"/>
      <c r="AO18" s="137"/>
      <c r="AP18" s="137"/>
      <c r="AQ18" s="137"/>
      <c r="AR18" s="137"/>
      <c r="AS18" s="137"/>
      <c r="AT18" s="137"/>
      <c r="AU18" s="137"/>
      <c r="AV18" s="137"/>
      <c r="AW18" s="137"/>
      <c r="AX18" s="137"/>
      <c r="AY18" s="137"/>
      <c r="AZ18" s="137"/>
      <c r="BA18" s="137"/>
      <c r="BB18" s="137"/>
      <c r="BC18" s="137"/>
      <c r="BD18" s="137"/>
      <c r="BE18" s="137"/>
      <c r="BF18" s="137"/>
      <c r="BG18" s="137"/>
      <c r="BH18" s="137"/>
      <c r="BI18" s="137"/>
    </row>
    <row r="19" spans="1:61" s="125" customFormat="1">
      <c r="A19" s="527"/>
      <c r="B19" s="133" t="s">
        <v>523</v>
      </c>
      <c r="C19" s="133" t="s">
        <v>497</v>
      </c>
      <c r="D19" s="134" t="s">
        <v>498</v>
      </c>
      <c r="E19" s="134" t="s">
        <v>299</v>
      </c>
      <c r="F19" s="132" t="s">
        <v>302</v>
      </c>
      <c r="G19" s="132" t="s">
        <v>302</v>
      </c>
      <c r="H19" s="134" t="s">
        <v>57</v>
      </c>
      <c r="I19" s="133" t="s">
        <v>310</v>
      </c>
      <c r="J19" s="133" t="s">
        <v>302</v>
      </c>
      <c r="K19" s="528"/>
      <c r="L19" s="136"/>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c r="AR19" s="137"/>
      <c r="AS19" s="137"/>
      <c r="AT19" s="137"/>
      <c r="AU19" s="137"/>
      <c r="AV19" s="137"/>
      <c r="AW19" s="137"/>
      <c r="AX19" s="137"/>
      <c r="AY19" s="137"/>
      <c r="AZ19" s="137"/>
      <c r="BA19" s="137"/>
      <c r="BB19" s="137"/>
      <c r="BC19" s="137"/>
      <c r="BD19" s="137"/>
      <c r="BE19" s="137"/>
      <c r="BF19" s="137"/>
      <c r="BG19" s="137"/>
      <c r="BH19" s="137"/>
      <c r="BI19" s="137"/>
    </row>
    <row r="20" spans="1:61" s="125" customFormat="1">
      <c r="A20" s="527"/>
      <c r="B20" s="133" t="s">
        <v>524</v>
      </c>
      <c r="C20" s="133" t="s">
        <v>500</v>
      </c>
      <c r="D20" s="134" t="s">
        <v>501</v>
      </c>
      <c r="E20" s="134" t="s">
        <v>299</v>
      </c>
      <c r="F20" s="132" t="s">
        <v>302</v>
      </c>
      <c r="G20" s="132" t="s">
        <v>302</v>
      </c>
      <c r="H20" s="134" t="s">
        <v>57</v>
      </c>
      <c r="I20" s="133" t="s">
        <v>502</v>
      </c>
      <c r="J20" s="133" t="s">
        <v>302</v>
      </c>
      <c r="K20" s="528"/>
      <c r="L20" s="136"/>
      <c r="M20" s="137"/>
      <c r="N20" s="137"/>
      <c r="O20" s="137"/>
      <c r="P20" s="137"/>
      <c r="Q20" s="137"/>
      <c r="R20" s="137"/>
      <c r="S20" s="137"/>
      <c r="T20" s="137"/>
      <c r="U20" s="137"/>
      <c r="V20" s="137"/>
      <c r="W20" s="137"/>
      <c r="X20" s="137"/>
      <c r="Y20" s="137"/>
      <c r="Z20" s="137"/>
      <c r="AA20" s="137"/>
      <c r="AB20" s="137"/>
      <c r="AC20" s="137"/>
      <c r="AD20" s="137"/>
      <c r="AE20" s="137"/>
      <c r="AF20" s="137"/>
      <c r="AG20" s="137"/>
      <c r="AH20" s="137"/>
      <c r="AI20" s="137"/>
      <c r="AJ20" s="137"/>
      <c r="AK20" s="137"/>
      <c r="AL20" s="137"/>
      <c r="AM20" s="137"/>
      <c r="AN20" s="137"/>
      <c r="AO20" s="137"/>
      <c r="AP20" s="137"/>
      <c r="AQ20" s="137"/>
      <c r="AR20" s="137"/>
      <c r="AS20" s="137"/>
      <c r="AT20" s="137"/>
      <c r="AU20" s="137"/>
      <c r="AV20" s="137"/>
      <c r="AW20" s="137"/>
      <c r="AX20" s="137"/>
      <c r="AY20" s="137"/>
      <c r="AZ20" s="137"/>
      <c r="BA20" s="137"/>
      <c r="BB20" s="137"/>
      <c r="BC20" s="137"/>
      <c r="BD20" s="137"/>
      <c r="BE20" s="137"/>
      <c r="BF20" s="137"/>
      <c r="BG20" s="137"/>
      <c r="BH20" s="137"/>
      <c r="BI20" s="137"/>
    </row>
    <row r="21" spans="1:61" s="125" customFormat="1" ht="36">
      <c r="A21" s="527"/>
      <c r="B21" s="133" t="s">
        <v>525</v>
      </c>
      <c r="C21" s="133" t="s">
        <v>504</v>
      </c>
      <c r="D21" s="134" t="s">
        <v>526</v>
      </c>
      <c r="E21" s="134" t="s">
        <v>299</v>
      </c>
      <c r="F21" s="132" t="s">
        <v>302</v>
      </c>
      <c r="G21" s="132" t="s">
        <v>302</v>
      </c>
      <c r="H21" s="134" t="s">
        <v>57</v>
      </c>
      <c r="I21" s="133" t="s">
        <v>350</v>
      </c>
      <c r="J21" s="133" t="s">
        <v>506</v>
      </c>
      <c r="K21" s="528"/>
      <c r="L21" s="136"/>
      <c r="M21" s="137"/>
      <c r="N21" s="137"/>
      <c r="O21" s="137"/>
      <c r="P21" s="137"/>
      <c r="Q21" s="137"/>
      <c r="R21" s="137"/>
      <c r="S21" s="137"/>
      <c r="T21" s="137"/>
      <c r="U21" s="137"/>
      <c r="V21" s="137"/>
      <c r="W21" s="137"/>
      <c r="X21" s="137"/>
      <c r="Y21" s="137"/>
      <c r="Z21" s="137"/>
      <c r="AA21" s="137"/>
      <c r="AB21" s="137"/>
      <c r="AC21" s="137"/>
      <c r="AD21" s="137"/>
      <c r="AE21" s="137"/>
      <c r="AF21" s="137"/>
      <c r="AG21" s="137"/>
      <c r="AH21" s="137"/>
      <c r="AI21" s="137"/>
      <c r="AJ21" s="137"/>
      <c r="AK21" s="137"/>
      <c r="AL21" s="137"/>
      <c r="AM21" s="137"/>
      <c r="AN21" s="137"/>
      <c r="AO21" s="137"/>
      <c r="AP21" s="137"/>
      <c r="AQ21" s="137"/>
      <c r="AR21" s="137"/>
      <c r="AS21" s="137"/>
      <c r="AT21" s="137"/>
      <c r="AU21" s="137"/>
      <c r="AV21" s="137"/>
      <c r="AW21" s="137"/>
      <c r="AX21" s="137"/>
      <c r="AY21" s="137"/>
      <c r="AZ21" s="137"/>
      <c r="BA21" s="137"/>
      <c r="BB21" s="137"/>
      <c r="BC21" s="137"/>
      <c r="BD21" s="137"/>
      <c r="BE21" s="137"/>
      <c r="BF21" s="137"/>
      <c r="BG21" s="137"/>
      <c r="BH21" s="137"/>
      <c r="BI21" s="137"/>
    </row>
    <row r="22" spans="1:61" s="125" customFormat="1">
      <c r="A22" s="527"/>
      <c r="B22" s="133" t="s">
        <v>527</v>
      </c>
      <c r="C22" s="133" t="s">
        <v>528</v>
      </c>
      <c r="D22" s="134" t="s">
        <v>529</v>
      </c>
      <c r="E22" s="134" t="s">
        <v>299</v>
      </c>
      <c r="F22" s="132" t="s">
        <v>302</v>
      </c>
      <c r="G22" s="132" t="s">
        <v>302</v>
      </c>
      <c r="H22" s="134" t="s">
        <v>57</v>
      </c>
      <c r="I22" s="133" t="s">
        <v>406</v>
      </c>
      <c r="J22" s="133" t="s">
        <v>530</v>
      </c>
      <c r="K22" s="528"/>
      <c r="L22" s="136"/>
      <c r="M22" s="137"/>
      <c r="N22" s="137"/>
      <c r="O22" s="137"/>
      <c r="P22" s="137"/>
      <c r="Q22" s="137"/>
      <c r="R22" s="137"/>
      <c r="S22" s="137"/>
      <c r="T22" s="137"/>
      <c r="U22" s="137"/>
      <c r="V22" s="137"/>
      <c r="W22" s="137"/>
      <c r="X22" s="137"/>
      <c r="Y22" s="137"/>
      <c r="Z22" s="137"/>
      <c r="AA22" s="137"/>
      <c r="AB22" s="137"/>
      <c r="AC22" s="137"/>
      <c r="AD22" s="137"/>
      <c r="AE22" s="137"/>
      <c r="AF22" s="137"/>
      <c r="AG22" s="137"/>
      <c r="AH22" s="137"/>
      <c r="AI22" s="137"/>
      <c r="AJ22" s="137"/>
      <c r="AK22" s="137"/>
      <c r="AL22" s="137"/>
      <c r="AM22" s="137"/>
      <c r="AN22" s="137"/>
      <c r="AO22" s="137"/>
      <c r="AP22" s="137"/>
      <c r="AQ22" s="137"/>
      <c r="AR22" s="137"/>
      <c r="AS22" s="137"/>
      <c r="AT22" s="137"/>
      <c r="AU22" s="137"/>
      <c r="AV22" s="137"/>
      <c r="AW22" s="137"/>
      <c r="AX22" s="137"/>
      <c r="AY22" s="137"/>
      <c r="AZ22" s="137"/>
      <c r="BA22" s="137"/>
      <c r="BB22" s="137"/>
      <c r="BC22" s="137"/>
      <c r="BD22" s="137"/>
      <c r="BE22" s="137"/>
      <c r="BF22" s="137"/>
      <c r="BG22" s="137"/>
      <c r="BH22" s="137"/>
      <c r="BI22" s="137"/>
    </row>
    <row r="23" spans="1:61" s="125" customFormat="1" ht="36">
      <c r="A23" s="527"/>
      <c r="B23" s="133" t="s">
        <v>531</v>
      </c>
      <c r="C23" s="133" t="s">
        <v>532</v>
      </c>
      <c r="D23" s="134" t="s">
        <v>533</v>
      </c>
      <c r="E23" s="134" t="s">
        <v>299</v>
      </c>
      <c r="F23" s="132" t="s">
        <v>302</v>
      </c>
      <c r="G23" s="132" t="s">
        <v>302</v>
      </c>
      <c r="H23" s="134" t="s">
        <v>57</v>
      </c>
      <c r="I23" s="133" t="s">
        <v>406</v>
      </c>
      <c r="J23" s="133" t="s">
        <v>534</v>
      </c>
      <c r="K23" s="528"/>
      <c r="L23" s="136"/>
      <c r="M23" s="137"/>
      <c r="N23" s="137"/>
      <c r="O23" s="137"/>
      <c r="P23" s="137"/>
      <c r="Q23" s="137"/>
      <c r="R23" s="137"/>
      <c r="S23" s="137"/>
      <c r="T23" s="137"/>
      <c r="U23" s="137"/>
      <c r="V23" s="137"/>
      <c r="W23" s="137"/>
      <c r="X23" s="137"/>
      <c r="Y23" s="137"/>
      <c r="Z23" s="137"/>
      <c r="AA23" s="137"/>
      <c r="AB23" s="137"/>
      <c r="AC23" s="137"/>
      <c r="AD23" s="137"/>
      <c r="AE23" s="137"/>
      <c r="AF23" s="137"/>
      <c r="AG23" s="137"/>
      <c r="AH23" s="137"/>
      <c r="AI23" s="137"/>
      <c r="AJ23" s="137"/>
      <c r="AK23" s="137"/>
      <c r="AL23" s="137"/>
      <c r="AM23" s="137"/>
      <c r="AN23" s="137"/>
      <c r="AO23" s="137"/>
      <c r="AP23" s="137"/>
      <c r="AQ23" s="137"/>
      <c r="AR23" s="137"/>
      <c r="AS23" s="137"/>
      <c r="AT23" s="137"/>
      <c r="AU23" s="137"/>
      <c r="AV23" s="137"/>
      <c r="AW23" s="137"/>
      <c r="AX23" s="137"/>
      <c r="AY23" s="137"/>
      <c r="AZ23" s="137"/>
      <c r="BA23" s="137"/>
      <c r="BB23" s="137"/>
      <c r="BC23" s="137"/>
      <c r="BD23" s="137"/>
      <c r="BE23" s="137"/>
      <c r="BF23" s="137"/>
      <c r="BG23" s="137"/>
      <c r="BH23" s="137"/>
      <c r="BI23" s="137"/>
    </row>
    <row r="24" spans="1:61" s="125" customFormat="1" ht="24">
      <c r="A24" s="527"/>
      <c r="B24" s="133" t="s">
        <v>535</v>
      </c>
      <c r="C24" s="133" t="s">
        <v>536</v>
      </c>
      <c r="D24" s="134" t="s">
        <v>537</v>
      </c>
      <c r="E24" s="134" t="s">
        <v>299</v>
      </c>
      <c r="F24" s="132" t="s">
        <v>302</v>
      </c>
      <c r="G24" s="132" t="s">
        <v>302</v>
      </c>
      <c r="H24" s="134" t="s">
        <v>57</v>
      </c>
      <c r="I24" s="133" t="s">
        <v>338</v>
      </c>
      <c r="J24" s="133" t="s">
        <v>302</v>
      </c>
      <c r="K24" s="528"/>
      <c r="L24" s="136"/>
      <c r="M24" s="137"/>
      <c r="N24" s="137"/>
      <c r="O24" s="137"/>
      <c r="P24" s="137"/>
      <c r="Q24" s="137"/>
      <c r="R24" s="137"/>
      <c r="S24" s="137"/>
      <c r="T24" s="137"/>
      <c r="U24" s="137"/>
      <c r="V24" s="137"/>
      <c r="W24" s="137"/>
      <c r="X24" s="137"/>
      <c r="Y24" s="137"/>
      <c r="Z24" s="137"/>
      <c r="AA24" s="137"/>
      <c r="AB24" s="137"/>
      <c r="AC24" s="137"/>
      <c r="AD24" s="137"/>
      <c r="AE24" s="137"/>
      <c r="AF24" s="137"/>
      <c r="AG24" s="137"/>
      <c r="AH24" s="137"/>
      <c r="AI24" s="137"/>
      <c r="AJ24" s="137"/>
      <c r="AK24" s="137"/>
      <c r="AL24" s="137"/>
      <c r="AM24" s="137"/>
      <c r="AN24" s="137"/>
      <c r="AO24" s="137"/>
      <c r="AP24" s="137"/>
      <c r="AQ24" s="137"/>
      <c r="AR24" s="137"/>
      <c r="AS24" s="137"/>
      <c r="AT24" s="137"/>
      <c r="AU24" s="137"/>
      <c r="AV24" s="137"/>
      <c r="AW24" s="137"/>
      <c r="AX24" s="137"/>
      <c r="AY24" s="137"/>
      <c r="AZ24" s="137"/>
      <c r="BA24" s="137"/>
      <c r="BB24" s="137"/>
      <c r="BC24" s="137"/>
      <c r="BD24" s="137"/>
      <c r="BE24" s="137"/>
      <c r="BF24" s="137"/>
      <c r="BG24" s="137"/>
      <c r="BH24" s="137"/>
      <c r="BI24" s="137"/>
    </row>
    <row r="25" spans="1:61" s="125" customFormat="1">
      <c r="A25" s="527"/>
      <c r="B25" s="133" t="s">
        <v>538</v>
      </c>
      <c r="C25" s="133" t="s">
        <v>509</v>
      </c>
      <c r="D25" s="134" t="s">
        <v>510</v>
      </c>
      <c r="E25" s="134" t="s">
        <v>299</v>
      </c>
      <c r="F25" s="132" t="s">
        <v>302</v>
      </c>
      <c r="G25" s="132" t="s">
        <v>302</v>
      </c>
      <c r="H25" s="134" t="s">
        <v>57</v>
      </c>
      <c r="I25" s="133" t="s">
        <v>4149</v>
      </c>
      <c r="J25" s="133" t="s">
        <v>302</v>
      </c>
      <c r="K25" s="528"/>
      <c r="L25" s="136"/>
      <c r="M25" s="137"/>
      <c r="N25" s="137"/>
      <c r="O25" s="137"/>
      <c r="P25" s="137"/>
      <c r="Q25" s="137"/>
      <c r="R25" s="137"/>
      <c r="S25" s="137"/>
      <c r="T25" s="137"/>
      <c r="U25" s="137"/>
      <c r="V25" s="137"/>
      <c r="W25" s="137"/>
      <c r="X25" s="137"/>
      <c r="Y25" s="137"/>
      <c r="Z25" s="137"/>
      <c r="AA25" s="137"/>
      <c r="AB25" s="137"/>
      <c r="AC25" s="137"/>
      <c r="AD25" s="137"/>
      <c r="AE25" s="137"/>
      <c r="AF25" s="137"/>
      <c r="AG25" s="137"/>
      <c r="AH25" s="137"/>
      <c r="AI25" s="137"/>
      <c r="AJ25" s="137"/>
      <c r="AK25" s="137"/>
      <c r="AL25" s="137"/>
      <c r="AM25" s="137"/>
      <c r="AN25" s="137"/>
      <c r="AO25" s="137"/>
      <c r="AP25" s="137"/>
      <c r="AQ25" s="137"/>
      <c r="AR25" s="137"/>
      <c r="AS25" s="137"/>
      <c r="AT25" s="137"/>
      <c r="AU25" s="137"/>
      <c r="AV25" s="137"/>
      <c r="AW25" s="137"/>
      <c r="AX25" s="137"/>
      <c r="AY25" s="137"/>
      <c r="AZ25" s="137"/>
      <c r="BA25" s="137"/>
      <c r="BB25" s="137"/>
      <c r="BC25" s="137"/>
      <c r="BD25" s="137"/>
      <c r="BE25" s="137"/>
      <c r="BF25" s="137"/>
      <c r="BG25" s="137"/>
      <c r="BH25" s="137"/>
      <c r="BI25" s="137"/>
    </row>
    <row r="26" spans="1:61" s="125" customFormat="1">
      <c r="A26" s="527"/>
      <c r="B26" s="133" t="s">
        <v>2674</v>
      </c>
      <c r="C26" s="133" t="s">
        <v>2675</v>
      </c>
      <c r="D26" s="134" t="s">
        <v>540</v>
      </c>
      <c r="E26" s="134" t="s">
        <v>299</v>
      </c>
      <c r="F26" s="132" t="s">
        <v>302</v>
      </c>
      <c r="G26" s="132" t="s">
        <v>302</v>
      </c>
      <c r="H26" s="134" t="s">
        <v>57</v>
      </c>
      <c r="I26" s="133" t="s">
        <v>350</v>
      </c>
      <c r="J26" s="133" t="s">
        <v>302</v>
      </c>
      <c r="K26" s="528"/>
      <c r="L26" s="136"/>
      <c r="M26" s="137"/>
      <c r="N26" s="137"/>
      <c r="O26" s="137"/>
      <c r="P26" s="137"/>
      <c r="Q26" s="137"/>
      <c r="R26" s="137"/>
      <c r="S26" s="137"/>
      <c r="T26" s="137"/>
      <c r="U26" s="137"/>
      <c r="V26" s="137"/>
      <c r="W26" s="137"/>
      <c r="X26" s="137"/>
      <c r="Y26" s="137"/>
      <c r="Z26" s="137"/>
      <c r="AA26" s="137"/>
      <c r="AB26" s="137"/>
      <c r="AC26" s="137"/>
      <c r="AD26" s="137"/>
      <c r="AE26" s="137"/>
      <c r="AF26" s="137"/>
      <c r="AG26" s="137"/>
      <c r="AH26" s="137"/>
      <c r="AI26" s="137"/>
      <c r="AJ26" s="137"/>
      <c r="AK26" s="137"/>
      <c r="AL26" s="137"/>
      <c r="AM26" s="137"/>
      <c r="AN26" s="137"/>
      <c r="AO26" s="137"/>
      <c r="AP26" s="137"/>
      <c r="AQ26" s="137"/>
      <c r="AR26" s="137"/>
      <c r="AS26" s="137"/>
      <c r="AT26" s="137"/>
      <c r="AU26" s="137"/>
      <c r="AV26" s="137"/>
      <c r="AW26" s="137"/>
      <c r="AX26" s="137"/>
      <c r="AY26" s="137"/>
      <c r="AZ26" s="137"/>
      <c r="BA26" s="137"/>
      <c r="BB26" s="137"/>
      <c r="BC26" s="137"/>
      <c r="BD26" s="137"/>
      <c r="BE26" s="137"/>
      <c r="BF26" s="137"/>
      <c r="BG26" s="137"/>
      <c r="BH26" s="137"/>
      <c r="BI26" s="137"/>
    </row>
    <row r="27" spans="1:61" s="125" customFormat="1" ht="108">
      <c r="A27" s="527"/>
      <c r="B27" s="133" t="s">
        <v>4240</v>
      </c>
      <c r="C27" s="133" t="s">
        <v>4227</v>
      </c>
      <c r="D27" s="134" t="s">
        <v>4229</v>
      </c>
      <c r="E27" s="134" t="s">
        <v>299</v>
      </c>
      <c r="F27" s="132" t="s">
        <v>302</v>
      </c>
      <c r="G27" s="132" t="s">
        <v>302</v>
      </c>
      <c r="H27" s="134" t="s">
        <v>57</v>
      </c>
      <c r="I27" s="133" t="s">
        <v>519</v>
      </c>
      <c r="J27" s="133" t="s">
        <v>4228</v>
      </c>
      <c r="K27" s="528"/>
      <c r="L27" s="495" t="s">
        <v>4233</v>
      </c>
      <c r="M27" s="137"/>
      <c r="N27" s="137"/>
      <c r="O27" s="137"/>
      <c r="P27" s="137"/>
      <c r="Q27" s="137"/>
      <c r="R27" s="137"/>
      <c r="S27" s="137"/>
      <c r="T27" s="137"/>
      <c r="U27" s="137"/>
      <c r="V27" s="137"/>
      <c r="W27" s="137"/>
      <c r="X27" s="137"/>
      <c r="Y27" s="137"/>
      <c r="Z27" s="137"/>
      <c r="AA27" s="137"/>
      <c r="AB27" s="137"/>
      <c r="AC27" s="137"/>
      <c r="AD27" s="137"/>
      <c r="AE27" s="137"/>
      <c r="AF27" s="137"/>
      <c r="AG27" s="137"/>
      <c r="AH27" s="137"/>
      <c r="AI27" s="137"/>
      <c r="AJ27" s="137"/>
      <c r="AK27" s="137"/>
      <c r="AL27" s="137"/>
      <c r="AM27" s="137"/>
      <c r="AN27" s="137"/>
      <c r="AO27" s="137"/>
      <c r="AP27" s="137"/>
      <c r="AQ27" s="137"/>
      <c r="AR27" s="137"/>
      <c r="AS27" s="137"/>
      <c r="AT27" s="137"/>
      <c r="AU27" s="137"/>
      <c r="AV27" s="137"/>
      <c r="AW27" s="137"/>
      <c r="AX27" s="137"/>
      <c r="AY27" s="137"/>
      <c r="AZ27" s="137"/>
      <c r="BA27" s="137"/>
      <c r="BB27" s="137"/>
      <c r="BC27" s="137"/>
      <c r="BD27" s="137"/>
      <c r="BE27" s="137"/>
      <c r="BF27" s="137"/>
      <c r="BG27" s="137"/>
      <c r="BH27" s="137"/>
      <c r="BI27" s="137"/>
    </row>
    <row r="28" spans="1:61" s="125" customFormat="1" ht="24">
      <c r="A28" s="527"/>
      <c r="B28" s="133" t="s">
        <v>541</v>
      </c>
      <c r="C28" s="133" t="s">
        <v>517</v>
      </c>
      <c r="D28" s="134" t="s">
        <v>518</v>
      </c>
      <c r="E28" s="134" t="s">
        <v>299</v>
      </c>
      <c r="F28" s="132" t="s">
        <v>302</v>
      </c>
      <c r="G28" s="132" t="s">
        <v>302</v>
      </c>
      <c r="H28" s="134" t="s">
        <v>57</v>
      </c>
      <c r="I28" s="133" t="s">
        <v>519</v>
      </c>
      <c r="J28" s="133" t="s">
        <v>520</v>
      </c>
      <c r="K28" s="528"/>
      <c r="L28" s="136"/>
      <c r="M28" s="137"/>
      <c r="N28" s="137"/>
      <c r="O28" s="137"/>
      <c r="P28" s="137"/>
      <c r="Q28" s="137"/>
      <c r="R28" s="137"/>
      <c r="S28" s="137"/>
      <c r="T28" s="137"/>
      <c r="U28" s="137"/>
      <c r="V28" s="137"/>
      <c r="W28" s="137"/>
      <c r="X28" s="137"/>
      <c r="Y28" s="137"/>
      <c r="Z28" s="137"/>
      <c r="AA28" s="137"/>
      <c r="AB28" s="137"/>
      <c r="AC28" s="137"/>
      <c r="AD28" s="137"/>
      <c r="AE28" s="137"/>
      <c r="AF28" s="137"/>
      <c r="AG28" s="137"/>
      <c r="AH28" s="137"/>
      <c r="AI28" s="137"/>
      <c r="AJ28" s="137"/>
      <c r="AK28" s="137"/>
      <c r="AL28" s="137"/>
      <c r="AM28" s="137"/>
      <c r="AN28" s="137"/>
      <c r="AO28" s="137"/>
      <c r="AP28" s="137"/>
      <c r="AQ28" s="137"/>
      <c r="AR28" s="137"/>
      <c r="AS28" s="137"/>
      <c r="AT28" s="137"/>
      <c r="AU28" s="137"/>
      <c r="AV28" s="137"/>
      <c r="AW28" s="137"/>
      <c r="AX28" s="137"/>
      <c r="AY28" s="137"/>
      <c r="AZ28" s="137"/>
      <c r="BA28" s="137"/>
      <c r="BB28" s="137"/>
      <c r="BC28" s="137"/>
      <c r="BD28" s="137"/>
      <c r="BE28" s="137"/>
      <c r="BF28" s="137"/>
      <c r="BG28" s="137"/>
      <c r="BH28" s="137"/>
      <c r="BI28" s="137"/>
    </row>
    <row r="29" spans="1:61" s="125" customFormat="1" ht="48">
      <c r="A29" s="527"/>
      <c r="B29" s="133" t="s">
        <v>542</v>
      </c>
      <c r="C29" s="133" t="s">
        <v>493</v>
      </c>
      <c r="D29" s="134" t="s">
        <v>494</v>
      </c>
      <c r="E29" s="134" t="s">
        <v>299</v>
      </c>
      <c r="F29" s="132" t="s">
        <v>302</v>
      </c>
      <c r="G29" s="132" t="s">
        <v>302</v>
      </c>
      <c r="H29" s="134" t="s">
        <v>57</v>
      </c>
      <c r="I29" s="133" t="s">
        <v>310</v>
      </c>
      <c r="J29" s="133" t="s">
        <v>495</v>
      </c>
      <c r="K29" s="528"/>
      <c r="L29" s="136"/>
      <c r="M29" s="137"/>
      <c r="N29" s="137"/>
      <c r="O29" s="137"/>
      <c r="P29" s="137"/>
      <c r="Q29" s="137"/>
      <c r="R29" s="137"/>
      <c r="S29" s="137"/>
      <c r="T29" s="137"/>
      <c r="U29" s="137"/>
      <c r="V29" s="137"/>
      <c r="W29" s="137"/>
      <c r="X29" s="137"/>
      <c r="Y29" s="137"/>
      <c r="Z29" s="137"/>
      <c r="AA29" s="137"/>
      <c r="AB29" s="137"/>
      <c r="AC29" s="137"/>
      <c r="AD29" s="137"/>
      <c r="AE29" s="137"/>
      <c r="AF29" s="137"/>
      <c r="AG29" s="137"/>
      <c r="AH29" s="137"/>
      <c r="AI29" s="137"/>
      <c r="AJ29" s="137"/>
      <c r="AK29" s="137"/>
      <c r="AL29" s="137"/>
      <c r="AM29" s="137"/>
      <c r="AN29" s="137"/>
      <c r="AO29" s="137"/>
      <c r="AP29" s="137"/>
      <c r="AQ29" s="137"/>
      <c r="AR29" s="137"/>
      <c r="AS29" s="137"/>
      <c r="AT29" s="137"/>
      <c r="AU29" s="137"/>
      <c r="AV29" s="137"/>
      <c r="AW29" s="137"/>
      <c r="AX29" s="137"/>
      <c r="AY29" s="137"/>
      <c r="AZ29" s="137"/>
      <c r="BA29" s="137"/>
      <c r="BB29" s="137"/>
      <c r="BC29" s="137"/>
      <c r="BD29" s="137"/>
      <c r="BE29" s="137"/>
      <c r="BF29" s="137"/>
      <c r="BG29" s="137"/>
      <c r="BH29" s="137"/>
      <c r="BI29" s="137"/>
    </row>
    <row r="30" spans="1:61" s="125" customFormat="1">
      <c r="A30" s="527"/>
      <c r="B30" s="133" t="s">
        <v>543</v>
      </c>
      <c r="C30" s="133" t="s">
        <v>497</v>
      </c>
      <c r="D30" s="134" t="s">
        <v>498</v>
      </c>
      <c r="E30" s="134" t="s">
        <v>299</v>
      </c>
      <c r="F30" s="132" t="s">
        <v>302</v>
      </c>
      <c r="G30" s="132" t="s">
        <v>302</v>
      </c>
      <c r="H30" s="134" t="s">
        <v>57</v>
      </c>
      <c r="I30" s="133" t="s">
        <v>310</v>
      </c>
      <c r="J30" s="133" t="s">
        <v>302</v>
      </c>
      <c r="K30" s="528"/>
      <c r="L30" s="136"/>
      <c r="M30" s="137"/>
      <c r="N30" s="137"/>
      <c r="O30" s="137"/>
      <c r="P30" s="137"/>
      <c r="Q30" s="137"/>
      <c r="R30" s="137"/>
      <c r="S30" s="137"/>
      <c r="T30" s="137"/>
      <c r="U30" s="137"/>
      <c r="V30" s="137"/>
      <c r="W30" s="137"/>
      <c r="X30" s="137"/>
      <c r="Y30" s="137"/>
      <c r="Z30" s="137"/>
      <c r="AA30" s="137"/>
      <c r="AB30" s="137"/>
      <c r="AC30" s="137"/>
      <c r="AD30" s="137"/>
      <c r="AE30" s="137"/>
      <c r="AF30" s="137"/>
      <c r="AG30" s="137"/>
      <c r="AH30" s="137"/>
      <c r="AI30" s="137"/>
      <c r="AJ30" s="137"/>
      <c r="AK30" s="137"/>
      <c r="AL30" s="137"/>
      <c r="AM30" s="137"/>
      <c r="AN30" s="137"/>
      <c r="AO30" s="137"/>
      <c r="AP30" s="137"/>
      <c r="AQ30" s="137"/>
      <c r="AR30" s="137"/>
      <c r="AS30" s="137"/>
      <c r="AT30" s="137"/>
      <c r="AU30" s="137"/>
      <c r="AV30" s="137"/>
      <c r="AW30" s="137"/>
      <c r="AX30" s="137"/>
      <c r="AY30" s="137"/>
      <c r="AZ30" s="137"/>
      <c r="BA30" s="137"/>
      <c r="BB30" s="137"/>
      <c r="BC30" s="137"/>
      <c r="BD30" s="137"/>
      <c r="BE30" s="137"/>
      <c r="BF30" s="137"/>
      <c r="BG30" s="137"/>
      <c r="BH30" s="137"/>
      <c r="BI30" s="137"/>
    </row>
    <row r="31" spans="1:61" s="125" customFormat="1">
      <c r="A31" s="527"/>
      <c r="B31" s="133" t="s">
        <v>544</v>
      </c>
      <c r="C31" s="133" t="s">
        <v>500</v>
      </c>
      <c r="D31" s="134" t="s">
        <v>501</v>
      </c>
      <c r="E31" s="134" t="s">
        <v>299</v>
      </c>
      <c r="F31" s="132" t="s">
        <v>302</v>
      </c>
      <c r="G31" s="132" t="s">
        <v>302</v>
      </c>
      <c r="H31" s="134" t="s">
        <v>57</v>
      </c>
      <c r="I31" s="133" t="s">
        <v>502</v>
      </c>
      <c r="J31" s="133" t="s">
        <v>302</v>
      </c>
      <c r="K31" s="528"/>
      <c r="L31" s="136"/>
      <c r="M31" s="137"/>
      <c r="N31" s="137"/>
      <c r="O31" s="137"/>
      <c r="P31" s="137"/>
      <c r="Q31" s="137"/>
      <c r="R31" s="137"/>
      <c r="S31" s="137"/>
      <c r="T31" s="137"/>
      <c r="U31" s="137"/>
      <c r="V31" s="137"/>
      <c r="W31" s="137"/>
      <c r="X31" s="137"/>
      <c r="Y31" s="137"/>
      <c r="Z31" s="137"/>
      <c r="AA31" s="137"/>
      <c r="AB31" s="137"/>
      <c r="AC31" s="137"/>
      <c r="AD31" s="137"/>
      <c r="AE31" s="137"/>
      <c r="AF31" s="137"/>
      <c r="AG31" s="137"/>
      <c r="AH31" s="137"/>
      <c r="AI31" s="137"/>
      <c r="AJ31" s="137"/>
      <c r="AK31" s="137"/>
      <c r="AL31" s="137"/>
      <c r="AM31" s="137"/>
      <c r="AN31" s="137"/>
      <c r="AO31" s="137"/>
      <c r="AP31" s="137"/>
      <c r="AQ31" s="137"/>
      <c r="AR31" s="137"/>
      <c r="AS31" s="137"/>
      <c r="AT31" s="137"/>
      <c r="AU31" s="137"/>
      <c r="AV31" s="137"/>
      <c r="AW31" s="137"/>
      <c r="AX31" s="137"/>
      <c r="AY31" s="137"/>
      <c r="AZ31" s="137"/>
      <c r="BA31" s="137"/>
      <c r="BB31" s="137"/>
      <c r="BC31" s="137"/>
      <c r="BD31" s="137"/>
      <c r="BE31" s="137"/>
      <c r="BF31" s="137"/>
      <c r="BG31" s="137"/>
      <c r="BH31" s="137"/>
      <c r="BI31" s="137"/>
    </row>
    <row r="32" spans="1:61" s="125" customFormat="1" ht="36">
      <c r="A32" s="527"/>
      <c r="B32" s="133" t="s">
        <v>545</v>
      </c>
      <c r="C32" s="133" t="s">
        <v>504</v>
      </c>
      <c r="D32" s="134" t="s">
        <v>546</v>
      </c>
      <c r="E32" s="134" t="s">
        <v>299</v>
      </c>
      <c r="F32" s="132" t="s">
        <v>302</v>
      </c>
      <c r="G32" s="132" t="s">
        <v>302</v>
      </c>
      <c r="H32" s="134" t="s">
        <v>57</v>
      </c>
      <c r="I32" s="133" t="s">
        <v>350</v>
      </c>
      <c r="J32" s="133" t="s">
        <v>506</v>
      </c>
      <c r="K32" s="528"/>
      <c r="L32" s="136"/>
      <c r="M32" s="137"/>
      <c r="N32" s="137"/>
      <c r="O32" s="137"/>
      <c r="P32" s="137"/>
      <c r="Q32" s="137"/>
      <c r="R32" s="137"/>
      <c r="S32" s="137"/>
      <c r="T32" s="137"/>
      <c r="U32" s="137"/>
      <c r="V32" s="137"/>
      <c r="W32" s="137"/>
      <c r="X32" s="137"/>
      <c r="Y32" s="137"/>
      <c r="Z32" s="137"/>
      <c r="AA32" s="137"/>
      <c r="AB32" s="137"/>
      <c r="AC32" s="137"/>
      <c r="AD32" s="137"/>
      <c r="AE32" s="137"/>
      <c r="AF32" s="137"/>
      <c r="AG32" s="137"/>
      <c r="AH32" s="137"/>
      <c r="AI32" s="137"/>
      <c r="AJ32" s="137"/>
      <c r="AK32" s="137"/>
      <c r="AL32" s="137"/>
      <c r="AM32" s="137"/>
      <c r="AN32" s="137"/>
      <c r="AO32" s="137"/>
      <c r="AP32" s="137"/>
      <c r="AQ32" s="137"/>
      <c r="AR32" s="137"/>
      <c r="AS32" s="137"/>
      <c r="AT32" s="137"/>
      <c r="AU32" s="137"/>
      <c r="AV32" s="137"/>
      <c r="AW32" s="137"/>
      <c r="AX32" s="137"/>
      <c r="AY32" s="137"/>
      <c r="AZ32" s="137"/>
      <c r="BA32" s="137"/>
      <c r="BB32" s="137"/>
      <c r="BC32" s="137"/>
      <c r="BD32" s="137"/>
      <c r="BE32" s="137"/>
      <c r="BF32" s="137"/>
      <c r="BG32" s="137"/>
      <c r="BH32" s="137"/>
      <c r="BI32" s="137"/>
    </row>
    <row r="33" spans="1:61" s="125" customFormat="1">
      <c r="A33" s="527"/>
      <c r="B33" s="133" t="s">
        <v>547</v>
      </c>
      <c r="C33" s="133" t="s">
        <v>528</v>
      </c>
      <c r="D33" s="134" t="s">
        <v>529</v>
      </c>
      <c r="E33" s="134" t="s">
        <v>299</v>
      </c>
      <c r="F33" s="132" t="s">
        <v>302</v>
      </c>
      <c r="G33" s="132" t="s">
        <v>302</v>
      </c>
      <c r="H33" s="134" t="s">
        <v>57</v>
      </c>
      <c r="I33" s="133" t="s">
        <v>406</v>
      </c>
      <c r="J33" s="133" t="s">
        <v>530</v>
      </c>
      <c r="K33" s="528"/>
      <c r="L33" s="136"/>
      <c r="M33" s="137"/>
      <c r="N33" s="137"/>
      <c r="O33" s="137"/>
      <c r="P33" s="137"/>
      <c r="Q33" s="137"/>
      <c r="R33" s="137"/>
      <c r="S33" s="137"/>
      <c r="T33" s="137"/>
      <c r="U33" s="137"/>
      <c r="V33" s="137"/>
      <c r="W33" s="137"/>
      <c r="X33" s="137"/>
      <c r="Y33" s="137"/>
      <c r="Z33" s="137"/>
      <c r="AA33" s="137"/>
      <c r="AB33" s="137"/>
      <c r="AC33" s="137"/>
      <c r="AD33" s="137"/>
      <c r="AE33" s="137"/>
      <c r="AF33" s="137"/>
      <c r="AG33" s="137"/>
      <c r="AH33" s="137"/>
      <c r="AI33" s="137"/>
      <c r="AJ33" s="137"/>
      <c r="AK33" s="137"/>
      <c r="AL33" s="137"/>
      <c r="AM33" s="137"/>
      <c r="AN33" s="137"/>
      <c r="AO33" s="137"/>
      <c r="AP33" s="137"/>
      <c r="AQ33" s="137"/>
      <c r="AR33" s="137"/>
      <c r="AS33" s="137"/>
      <c r="AT33" s="137"/>
      <c r="AU33" s="137"/>
      <c r="AV33" s="137"/>
      <c r="AW33" s="137"/>
      <c r="AX33" s="137"/>
      <c r="AY33" s="137"/>
      <c r="AZ33" s="137"/>
      <c r="BA33" s="137"/>
      <c r="BB33" s="137"/>
      <c r="BC33" s="137"/>
      <c r="BD33" s="137"/>
      <c r="BE33" s="137"/>
      <c r="BF33" s="137"/>
      <c r="BG33" s="137"/>
      <c r="BH33" s="137"/>
      <c r="BI33" s="137"/>
    </row>
    <row r="34" spans="1:61" s="125" customFormat="1" ht="36">
      <c r="A34" s="527"/>
      <c r="B34" s="133" t="s">
        <v>548</v>
      </c>
      <c r="C34" s="133" t="s">
        <v>532</v>
      </c>
      <c r="D34" s="134" t="s">
        <v>533</v>
      </c>
      <c r="E34" s="134" t="s">
        <v>299</v>
      </c>
      <c r="F34" s="132" t="s">
        <v>302</v>
      </c>
      <c r="G34" s="132" t="s">
        <v>302</v>
      </c>
      <c r="H34" s="134" t="s">
        <v>57</v>
      </c>
      <c r="I34" s="133" t="s">
        <v>406</v>
      </c>
      <c r="J34" s="133" t="s">
        <v>549</v>
      </c>
      <c r="K34" s="528"/>
      <c r="L34" s="136"/>
      <c r="M34" s="137"/>
      <c r="N34" s="137"/>
      <c r="O34" s="137"/>
      <c r="P34" s="137"/>
      <c r="Q34" s="137"/>
      <c r="R34" s="137"/>
      <c r="S34" s="137"/>
      <c r="T34" s="137"/>
      <c r="U34" s="137"/>
      <c r="V34" s="137"/>
      <c r="W34" s="137"/>
      <c r="X34" s="137"/>
      <c r="Y34" s="137"/>
      <c r="Z34" s="137"/>
      <c r="AA34" s="137"/>
      <c r="AB34" s="137"/>
      <c r="AC34" s="137"/>
      <c r="AD34" s="137"/>
      <c r="AE34" s="137"/>
      <c r="AF34" s="137"/>
      <c r="AG34" s="137"/>
      <c r="AH34" s="137"/>
      <c r="AI34" s="137"/>
      <c r="AJ34" s="137"/>
      <c r="AK34" s="137"/>
      <c r="AL34" s="137"/>
      <c r="AM34" s="137"/>
      <c r="AN34" s="137"/>
      <c r="AO34" s="137"/>
      <c r="AP34" s="137"/>
      <c r="AQ34" s="137"/>
      <c r="AR34" s="137"/>
      <c r="AS34" s="137"/>
      <c r="AT34" s="137"/>
      <c r="AU34" s="137"/>
      <c r="AV34" s="137"/>
      <c r="AW34" s="137"/>
      <c r="AX34" s="137"/>
      <c r="AY34" s="137"/>
      <c r="AZ34" s="137"/>
      <c r="BA34" s="137"/>
      <c r="BB34" s="137"/>
      <c r="BC34" s="137"/>
      <c r="BD34" s="137"/>
      <c r="BE34" s="137"/>
      <c r="BF34" s="137"/>
      <c r="BG34" s="137"/>
      <c r="BH34" s="137"/>
      <c r="BI34" s="137"/>
    </row>
    <row r="35" spans="1:61" s="125" customFormat="1" ht="24">
      <c r="A35" s="527"/>
      <c r="B35" s="133" t="s">
        <v>550</v>
      </c>
      <c r="C35" s="133" t="s">
        <v>536</v>
      </c>
      <c r="D35" s="134" t="s">
        <v>537</v>
      </c>
      <c r="E35" s="134" t="s">
        <v>299</v>
      </c>
      <c r="F35" s="132" t="s">
        <v>302</v>
      </c>
      <c r="G35" s="132" t="s">
        <v>302</v>
      </c>
      <c r="H35" s="134" t="s">
        <v>57</v>
      </c>
      <c r="I35" s="133" t="s">
        <v>338</v>
      </c>
      <c r="J35" s="133" t="s">
        <v>302</v>
      </c>
      <c r="K35" s="528"/>
      <c r="L35" s="136"/>
      <c r="M35" s="137"/>
      <c r="N35" s="137"/>
      <c r="O35" s="137"/>
      <c r="P35" s="137"/>
      <c r="Q35" s="137"/>
      <c r="R35" s="137"/>
      <c r="S35" s="137"/>
      <c r="T35" s="137"/>
      <c r="U35" s="137"/>
      <c r="V35" s="137"/>
      <c r="W35" s="137"/>
      <c r="X35" s="137"/>
      <c r="Y35" s="137"/>
      <c r="Z35" s="137"/>
      <c r="AA35" s="137"/>
      <c r="AB35" s="137"/>
      <c r="AC35" s="137"/>
      <c r="AD35" s="137"/>
      <c r="AE35" s="137"/>
      <c r="AF35" s="137"/>
      <c r="AG35" s="137"/>
      <c r="AH35" s="137"/>
      <c r="AI35" s="137"/>
      <c r="AJ35" s="137"/>
      <c r="AK35" s="137"/>
      <c r="AL35" s="137"/>
      <c r="AM35" s="137"/>
      <c r="AN35" s="137"/>
      <c r="AO35" s="137"/>
      <c r="AP35" s="137"/>
      <c r="AQ35" s="137"/>
      <c r="AR35" s="137"/>
      <c r="AS35" s="137"/>
      <c r="AT35" s="137"/>
      <c r="AU35" s="137"/>
      <c r="AV35" s="137"/>
      <c r="AW35" s="137"/>
      <c r="AX35" s="137"/>
      <c r="AY35" s="137"/>
      <c r="AZ35" s="137"/>
      <c r="BA35" s="137"/>
      <c r="BB35" s="137"/>
      <c r="BC35" s="137"/>
      <c r="BD35" s="137"/>
      <c r="BE35" s="137"/>
      <c r="BF35" s="137"/>
      <c r="BG35" s="137"/>
      <c r="BH35" s="137"/>
      <c r="BI35" s="137"/>
    </row>
    <row r="36" spans="1:61" s="125" customFormat="1">
      <c r="A36" s="527"/>
      <c r="B36" s="133" t="s">
        <v>4225</v>
      </c>
      <c r="C36" s="133" t="s">
        <v>509</v>
      </c>
      <c r="D36" s="134" t="s">
        <v>4223</v>
      </c>
      <c r="E36" s="134" t="s">
        <v>299</v>
      </c>
      <c r="F36" s="132" t="s">
        <v>302</v>
      </c>
      <c r="G36" s="132" t="s">
        <v>302</v>
      </c>
      <c r="H36" s="134" t="s">
        <v>57</v>
      </c>
      <c r="I36" s="133" t="s">
        <v>4149</v>
      </c>
      <c r="J36" s="133" t="s">
        <v>302</v>
      </c>
      <c r="K36" s="528"/>
      <c r="L36" s="136"/>
      <c r="M36" s="137"/>
      <c r="N36" s="137"/>
      <c r="O36" s="137"/>
      <c r="P36" s="137"/>
      <c r="Q36" s="137"/>
      <c r="R36" s="137"/>
      <c r="S36" s="137"/>
      <c r="T36" s="137"/>
      <c r="U36" s="137"/>
      <c r="V36" s="137"/>
      <c r="W36" s="137"/>
      <c r="X36" s="137"/>
      <c r="Y36" s="137"/>
      <c r="Z36" s="137"/>
      <c r="AA36" s="137"/>
      <c r="AB36" s="137"/>
      <c r="AC36" s="137"/>
      <c r="AD36" s="137"/>
      <c r="AE36" s="137"/>
      <c r="AF36" s="137"/>
      <c r="AG36" s="137"/>
      <c r="AH36" s="137"/>
      <c r="AI36" s="137"/>
      <c r="AJ36" s="137"/>
      <c r="AK36" s="137"/>
      <c r="AL36" s="137"/>
      <c r="AM36" s="137"/>
      <c r="AN36" s="137"/>
      <c r="AO36" s="137"/>
      <c r="AP36" s="137"/>
      <c r="AQ36" s="137"/>
      <c r="AR36" s="137"/>
      <c r="AS36" s="137"/>
      <c r="AT36" s="137"/>
      <c r="AU36" s="137"/>
      <c r="AV36" s="137"/>
      <c r="AW36" s="137"/>
      <c r="AX36" s="137"/>
      <c r="AY36" s="137"/>
      <c r="AZ36" s="137"/>
      <c r="BA36" s="137"/>
      <c r="BB36" s="137"/>
      <c r="BC36" s="137"/>
      <c r="BD36" s="137"/>
      <c r="BE36" s="137"/>
      <c r="BF36" s="137"/>
      <c r="BG36" s="137"/>
      <c r="BH36" s="137"/>
      <c r="BI36" s="137"/>
    </row>
    <row r="37" spans="1:61" s="125" customFormat="1">
      <c r="A37" s="527"/>
      <c r="B37" s="133" t="s">
        <v>2673</v>
      </c>
      <c r="C37" s="133" t="s">
        <v>539</v>
      </c>
      <c r="D37" s="134" t="s">
        <v>540</v>
      </c>
      <c r="E37" s="134" t="s">
        <v>299</v>
      </c>
      <c r="F37" s="132" t="s">
        <v>302</v>
      </c>
      <c r="G37" s="132" t="s">
        <v>302</v>
      </c>
      <c r="H37" s="134" t="s">
        <v>57</v>
      </c>
      <c r="I37" s="133" t="s">
        <v>350</v>
      </c>
      <c r="J37" s="133" t="s">
        <v>302</v>
      </c>
      <c r="K37" s="528"/>
      <c r="L37" s="136"/>
      <c r="M37" s="137"/>
      <c r="N37" s="137"/>
      <c r="O37" s="137"/>
      <c r="P37" s="137"/>
      <c r="Q37" s="137"/>
      <c r="R37" s="137"/>
      <c r="S37" s="137"/>
      <c r="T37" s="137"/>
      <c r="U37" s="137"/>
      <c r="V37" s="137"/>
      <c r="W37" s="137"/>
      <c r="X37" s="137"/>
      <c r="Y37" s="137"/>
      <c r="Z37" s="137"/>
      <c r="AA37" s="137"/>
      <c r="AB37" s="137"/>
      <c r="AC37" s="137"/>
      <c r="AD37" s="137"/>
      <c r="AE37" s="137"/>
      <c r="AF37" s="137"/>
      <c r="AG37" s="137"/>
      <c r="AH37" s="137"/>
      <c r="AI37" s="137"/>
      <c r="AJ37" s="137"/>
      <c r="AK37" s="137"/>
      <c r="AL37" s="137"/>
      <c r="AM37" s="137"/>
      <c r="AN37" s="137"/>
      <c r="AO37" s="137"/>
      <c r="AP37" s="137"/>
      <c r="AQ37" s="137"/>
      <c r="AR37" s="137"/>
      <c r="AS37" s="137"/>
      <c r="AT37" s="137"/>
      <c r="AU37" s="137"/>
      <c r="AV37" s="137"/>
      <c r="AW37" s="137"/>
      <c r="AX37" s="137"/>
      <c r="AY37" s="137"/>
      <c r="AZ37" s="137"/>
      <c r="BA37" s="137"/>
      <c r="BB37" s="137"/>
      <c r="BC37" s="137"/>
      <c r="BD37" s="137"/>
      <c r="BE37" s="137"/>
      <c r="BF37" s="137"/>
      <c r="BG37" s="137"/>
      <c r="BH37" s="137"/>
      <c r="BI37" s="137"/>
    </row>
    <row r="38" spans="1:61" s="125" customFormat="1" ht="108">
      <c r="A38" s="527"/>
      <c r="B38" s="133" t="s">
        <v>4230</v>
      </c>
      <c r="C38" s="133" t="s">
        <v>4227</v>
      </c>
      <c r="D38" s="134" t="s">
        <v>4229</v>
      </c>
      <c r="E38" s="134" t="s">
        <v>299</v>
      </c>
      <c r="F38" s="132" t="s">
        <v>302</v>
      </c>
      <c r="G38" s="132" t="s">
        <v>302</v>
      </c>
      <c r="H38" s="134" t="s">
        <v>57</v>
      </c>
      <c r="I38" s="133" t="s">
        <v>519</v>
      </c>
      <c r="J38" s="133" t="s">
        <v>4228</v>
      </c>
      <c r="K38" s="528"/>
      <c r="L38" s="495" t="s">
        <v>4233</v>
      </c>
      <c r="M38" s="137"/>
      <c r="N38" s="137"/>
      <c r="O38" s="137"/>
      <c r="P38" s="137"/>
      <c r="Q38" s="137"/>
      <c r="R38" s="137"/>
      <c r="S38" s="137"/>
      <c r="T38" s="137"/>
      <c r="U38" s="137"/>
      <c r="V38" s="137"/>
      <c r="W38" s="137"/>
      <c r="X38" s="137"/>
      <c r="Y38" s="137"/>
      <c r="Z38" s="137"/>
      <c r="AA38" s="137"/>
      <c r="AB38" s="137"/>
      <c r="AC38" s="137"/>
      <c r="AD38" s="137"/>
      <c r="AE38" s="137"/>
      <c r="AF38" s="137"/>
      <c r="AG38" s="137"/>
      <c r="AH38" s="137"/>
      <c r="AI38" s="137"/>
      <c r="AJ38" s="137"/>
      <c r="AK38" s="137"/>
      <c r="AL38" s="137"/>
      <c r="AM38" s="137"/>
      <c r="AN38" s="137"/>
      <c r="AO38" s="137"/>
      <c r="AP38" s="137"/>
      <c r="AQ38" s="137"/>
      <c r="AR38" s="137"/>
      <c r="AS38" s="137"/>
      <c r="AT38" s="137"/>
      <c r="AU38" s="137"/>
      <c r="AV38" s="137"/>
      <c r="AW38" s="137"/>
      <c r="AX38" s="137"/>
      <c r="AY38" s="137"/>
      <c r="AZ38" s="137"/>
      <c r="BA38" s="137"/>
      <c r="BB38" s="137"/>
      <c r="BC38" s="137"/>
      <c r="BD38" s="137"/>
      <c r="BE38" s="137"/>
      <c r="BF38" s="137"/>
      <c r="BG38" s="137"/>
      <c r="BH38" s="137"/>
      <c r="BI38" s="137"/>
    </row>
    <row r="39" spans="1:61" s="125" customFormat="1" ht="24">
      <c r="A39" s="527"/>
      <c r="B39" s="133" t="s">
        <v>4046</v>
      </c>
      <c r="C39" s="133" t="s">
        <v>517</v>
      </c>
      <c r="D39" s="134" t="s">
        <v>4224</v>
      </c>
      <c r="E39" s="134" t="s">
        <v>299</v>
      </c>
      <c r="F39" s="132" t="s">
        <v>302</v>
      </c>
      <c r="G39" s="132" t="s">
        <v>302</v>
      </c>
      <c r="H39" s="134" t="s">
        <v>57</v>
      </c>
      <c r="I39" s="133" t="s">
        <v>519</v>
      </c>
      <c r="J39" s="133" t="s">
        <v>2495</v>
      </c>
      <c r="K39" s="528"/>
      <c r="L39" s="136"/>
      <c r="M39" s="137"/>
      <c r="N39" s="137"/>
      <c r="O39" s="137"/>
      <c r="P39" s="137"/>
      <c r="Q39" s="137"/>
      <c r="R39" s="137"/>
      <c r="S39" s="137"/>
      <c r="T39" s="137"/>
      <c r="U39" s="137"/>
      <c r="V39" s="137"/>
      <c r="W39" s="137"/>
      <c r="X39" s="137"/>
      <c r="Y39" s="137"/>
      <c r="Z39" s="137"/>
      <c r="AA39" s="137"/>
      <c r="AB39" s="137"/>
      <c r="AC39" s="137"/>
      <c r="AD39" s="137"/>
      <c r="AE39" s="137"/>
      <c r="AF39" s="137"/>
      <c r="AG39" s="137"/>
      <c r="AH39" s="137"/>
      <c r="AI39" s="137"/>
      <c r="AJ39" s="137"/>
      <c r="AK39" s="137"/>
      <c r="AL39" s="137"/>
      <c r="AM39" s="137"/>
      <c r="AN39" s="137"/>
      <c r="AO39" s="137"/>
      <c r="AP39" s="137"/>
      <c r="AQ39" s="137"/>
      <c r="AR39" s="137"/>
      <c r="AS39" s="137"/>
      <c r="AT39" s="137"/>
      <c r="AU39" s="137"/>
      <c r="AV39" s="137"/>
      <c r="AW39" s="137"/>
      <c r="AX39" s="137"/>
      <c r="AY39" s="137"/>
      <c r="AZ39" s="137"/>
      <c r="BA39" s="137"/>
      <c r="BB39" s="137"/>
      <c r="BC39" s="137"/>
      <c r="BD39" s="137"/>
      <c r="BE39" s="137"/>
      <c r="BF39" s="137"/>
      <c r="BG39" s="137"/>
      <c r="BH39" s="137"/>
      <c r="BI39" s="137"/>
    </row>
    <row r="40" spans="1:61" s="125" customFormat="1" ht="48">
      <c r="A40" s="527"/>
      <c r="B40" s="133" t="s">
        <v>551</v>
      </c>
      <c r="C40" s="133" t="s">
        <v>493</v>
      </c>
      <c r="D40" s="134" t="s">
        <v>494</v>
      </c>
      <c r="E40" s="134" t="s">
        <v>299</v>
      </c>
      <c r="F40" s="132" t="s">
        <v>302</v>
      </c>
      <c r="G40" s="132" t="s">
        <v>302</v>
      </c>
      <c r="H40" s="134" t="s">
        <v>57</v>
      </c>
      <c r="I40" s="133" t="s">
        <v>310</v>
      </c>
      <c r="J40" s="133" t="s">
        <v>495</v>
      </c>
      <c r="K40" s="528"/>
      <c r="L40" s="136"/>
      <c r="M40" s="137"/>
      <c r="N40" s="137"/>
      <c r="O40" s="137"/>
      <c r="P40" s="137"/>
      <c r="Q40" s="137"/>
      <c r="R40" s="137"/>
      <c r="S40" s="137"/>
      <c r="T40" s="137"/>
      <c r="U40" s="137"/>
      <c r="V40" s="137"/>
      <c r="W40" s="137"/>
      <c r="X40" s="137"/>
      <c r="Y40" s="137"/>
      <c r="Z40" s="137"/>
      <c r="AA40" s="137"/>
      <c r="AB40" s="137"/>
      <c r="AC40" s="137"/>
      <c r="AD40" s="137"/>
      <c r="AE40" s="137"/>
      <c r="AF40" s="137"/>
      <c r="AG40" s="137"/>
      <c r="AH40" s="137"/>
      <c r="AI40" s="137"/>
      <c r="AJ40" s="137"/>
      <c r="AK40" s="137"/>
      <c r="AL40" s="137"/>
      <c r="AM40" s="137"/>
      <c r="AN40" s="137"/>
      <c r="AO40" s="137"/>
      <c r="AP40" s="137"/>
      <c r="AQ40" s="137"/>
      <c r="AR40" s="137"/>
      <c r="AS40" s="137"/>
      <c r="AT40" s="137"/>
      <c r="AU40" s="137"/>
      <c r="AV40" s="137"/>
      <c r="AW40" s="137"/>
      <c r="AX40" s="137"/>
      <c r="AY40" s="137"/>
      <c r="AZ40" s="137"/>
      <c r="BA40" s="137"/>
      <c r="BB40" s="137"/>
      <c r="BC40" s="137"/>
      <c r="BD40" s="137"/>
      <c r="BE40" s="137"/>
      <c r="BF40" s="137"/>
      <c r="BG40" s="137"/>
      <c r="BH40" s="137"/>
      <c r="BI40" s="137"/>
    </row>
    <row r="41" spans="1:61" s="125" customFormat="1">
      <c r="A41" s="527"/>
      <c r="B41" s="133" t="s">
        <v>552</v>
      </c>
      <c r="C41" s="133" t="s">
        <v>497</v>
      </c>
      <c r="D41" s="134" t="s">
        <v>498</v>
      </c>
      <c r="E41" s="134" t="s">
        <v>299</v>
      </c>
      <c r="F41" s="132" t="s">
        <v>302</v>
      </c>
      <c r="G41" s="132" t="s">
        <v>302</v>
      </c>
      <c r="H41" s="134" t="s">
        <v>57</v>
      </c>
      <c r="I41" s="133" t="s">
        <v>310</v>
      </c>
      <c r="J41" s="133" t="s">
        <v>302</v>
      </c>
      <c r="K41" s="528"/>
      <c r="L41" s="136"/>
      <c r="M41" s="137"/>
      <c r="N41" s="137"/>
      <c r="O41" s="137"/>
      <c r="P41" s="137"/>
      <c r="Q41" s="137"/>
      <c r="R41" s="137"/>
      <c r="S41" s="137"/>
      <c r="T41" s="137"/>
      <c r="U41" s="137"/>
      <c r="V41" s="137"/>
      <c r="W41" s="137"/>
      <c r="X41" s="137"/>
      <c r="Y41" s="137"/>
      <c r="Z41" s="137"/>
      <c r="AA41" s="137"/>
      <c r="AB41" s="137"/>
      <c r="AC41" s="137"/>
      <c r="AD41" s="137"/>
      <c r="AE41" s="137"/>
      <c r="AF41" s="137"/>
      <c r="AG41" s="137"/>
      <c r="AH41" s="137"/>
      <c r="AI41" s="137"/>
      <c r="AJ41" s="137"/>
      <c r="AK41" s="137"/>
      <c r="AL41" s="137"/>
      <c r="AM41" s="137"/>
      <c r="AN41" s="137"/>
      <c r="AO41" s="137"/>
      <c r="AP41" s="137"/>
      <c r="AQ41" s="137"/>
      <c r="AR41" s="137"/>
      <c r="AS41" s="137"/>
      <c r="AT41" s="137"/>
      <c r="AU41" s="137"/>
      <c r="AV41" s="137"/>
      <c r="AW41" s="137"/>
      <c r="AX41" s="137"/>
      <c r="AY41" s="137"/>
      <c r="AZ41" s="137"/>
      <c r="BA41" s="137"/>
      <c r="BB41" s="137"/>
      <c r="BC41" s="137"/>
      <c r="BD41" s="137"/>
      <c r="BE41" s="137"/>
      <c r="BF41" s="137"/>
      <c r="BG41" s="137"/>
      <c r="BH41" s="137"/>
      <c r="BI41" s="137"/>
    </row>
    <row r="42" spans="1:61" s="125" customFormat="1">
      <c r="A42" s="527"/>
      <c r="B42" s="133" t="s">
        <v>553</v>
      </c>
      <c r="C42" s="133" t="s">
        <v>500</v>
      </c>
      <c r="D42" s="134" t="s">
        <v>501</v>
      </c>
      <c r="E42" s="134" t="s">
        <v>299</v>
      </c>
      <c r="F42" s="132" t="s">
        <v>302</v>
      </c>
      <c r="G42" s="132" t="s">
        <v>302</v>
      </c>
      <c r="H42" s="134" t="s">
        <v>57</v>
      </c>
      <c r="I42" s="133" t="s">
        <v>502</v>
      </c>
      <c r="J42" s="133" t="s">
        <v>302</v>
      </c>
      <c r="K42" s="528"/>
      <c r="L42" s="136"/>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37"/>
      <c r="BE42" s="137"/>
      <c r="BF42" s="137"/>
      <c r="BG42" s="137"/>
      <c r="BH42" s="137"/>
      <c r="BI42" s="137"/>
    </row>
    <row r="43" spans="1:61" s="125" customFormat="1" ht="36">
      <c r="A43" s="527"/>
      <c r="B43" s="133" t="s">
        <v>554</v>
      </c>
      <c r="C43" s="133" t="s">
        <v>504</v>
      </c>
      <c r="D43" s="134" t="s">
        <v>546</v>
      </c>
      <c r="E43" s="134" t="s">
        <v>299</v>
      </c>
      <c r="F43" s="132" t="s">
        <v>302</v>
      </c>
      <c r="G43" s="132" t="s">
        <v>302</v>
      </c>
      <c r="H43" s="134" t="s">
        <v>57</v>
      </c>
      <c r="I43" s="133" t="s">
        <v>350</v>
      </c>
      <c r="J43" s="133" t="s">
        <v>506</v>
      </c>
      <c r="K43" s="528"/>
      <c r="L43" s="136"/>
      <c r="M43" s="137"/>
      <c r="N43" s="137"/>
      <c r="O43" s="137"/>
      <c r="P43" s="137"/>
      <c r="Q43" s="137"/>
      <c r="R43" s="137"/>
      <c r="S43" s="137"/>
      <c r="T43" s="137"/>
      <c r="U43" s="137"/>
      <c r="V43" s="137"/>
      <c r="W43" s="137"/>
      <c r="X43" s="137"/>
      <c r="Y43" s="137"/>
      <c r="Z43" s="137"/>
      <c r="AA43" s="137"/>
      <c r="AB43" s="137"/>
      <c r="AC43" s="137"/>
      <c r="AD43" s="137"/>
      <c r="AE43" s="137"/>
      <c r="AF43" s="137"/>
      <c r="AG43" s="137"/>
      <c r="AH43" s="137"/>
      <c r="AI43" s="137"/>
      <c r="AJ43" s="137"/>
      <c r="AK43" s="137"/>
      <c r="AL43" s="137"/>
      <c r="AM43" s="137"/>
      <c r="AN43" s="137"/>
      <c r="AO43" s="137"/>
      <c r="AP43" s="137"/>
      <c r="AQ43" s="137"/>
      <c r="AR43" s="137"/>
      <c r="AS43" s="137"/>
      <c r="AT43" s="137"/>
      <c r="AU43" s="137"/>
      <c r="AV43" s="137"/>
      <c r="AW43" s="137"/>
      <c r="AX43" s="137"/>
      <c r="AY43" s="137"/>
      <c r="AZ43" s="137"/>
      <c r="BA43" s="137"/>
      <c r="BB43" s="137"/>
      <c r="BC43" s="137"/>
      <c r="BD43" s="137"/>
      <c r="BE43" s="137"/>
      <c r="BF43" s="137"/>
      <c r="BG43" s="137"/>
      <c r="BH43" s="137"/>
      <c r="BI43" s="137"/>
    </row>
    <row r="44" spans="1:61" s="125" customFormat="1">
      <c r="A44" s="527"/>
      <c r="B44" s="133" t="s">
        <v>555</v>
      </c>
      <c r="C44" s="133" t="s">
        <v>528</v>
      </c>
      <c r="D44" s="134" t="s">
        <v>529</v>
      </c>
      <c r="E44" s="134" t="s">
        <v>299</v>
      </c>
      <c r="F44" s="132" t="s">
        <v>302</v>
      </c>
      <c r="G44" s="132" t="s">
        <v>302</v>
      </c>
      <c r="H44" s="134" t="s">
        <v>57</v>
      </c>
      <c r="I44" s="133" t="s">
        <v>406</v>
      </c>
      <c r="J44" s="133" t="s">
        <v>530</v>
      </c>
      <c r="K44" s="528"/>
      <c r="L44" s="136"/>
      <c r="M44" s="137"/>
      <c r="N44" s="137"/>
      <c r="O44" s="137"/>
      <c r="P44" s="137"/>
      <c r="Q44" s="137"/>
      <c r="R44" s="137"/>
      <c r="S44" s="137"/>
      <c r="T44" s="137"/>
      <c r="U44" s="137"/>
      <c r="V44" s="137"/>
      <c r="W44" s="137"/>
      <c r="X44" s="137"/>
      <c r="Y44" s="137"/>
      <c r="Z44" s="137"/>
      <c r="AA44" s="137"/>
      <c r="AB44" s="137"/>
      <c r="AC44" s="137"/>
      <c r="AD44" s="137"/>
      <c r="AE44" s="137"/>
      <c r="AF44" s="137"/>
      <c r="AG44" s="137"/>
      <c r="AH44" s="137"/>
      <c r="AI44" s="137"/>
      <c r="AJ44" s="137"/>
      <c r="AK44" s="137"/>
      <c r="AL44" s="137"/>
      <c r="AM44" s="137"/>
      <c r="AN44" s="137"/>
      <c r="AO44" s="137"/>
      <c r="AP44" s="137"/>
      <c r="AQ44" s="137"/>
      <c r="AR44" s="137"/>
      <c r="AS44" s="137"/>
      <c r="AT44" s="137"/>
      <c r="AU44" s="137"/>
      <c r="AV44" s="137"/>
      <c r="AW44" s="137"/>
      <c r="AX44" s="137"/>
      <c r="AY44" s="137"/>
      <c r="AZ44" s="137"/>
      <c r="BA44" s="137"/>
      <c r="BB44" s="137"/>
      <c r="BC44" s="137"/>
      <c r="BD44" s="137"/>
      <c r="BE44" s="137"/>
      <c r="BF44" s="137"/>
      <c r="BG44" s="137"/>
      <c r="BH44" s="137"/>
      <c r="BI44" s="137"/>
    </row>
    <row r="45" spans="1:61" s="125" customFormat="1" ht="36">
      <c r="A45" s="527"/>
      <c r="B45" s="133" t="s">
        <v>556</v>
      </c>
      <c r="C45" s="133" t="s">
        <v>532</v>
      </c>
      <c r="D45" s="134" t="s">
        <v>533</v>
      </c>
      <c r="E45" s="134" t="s">
        <v>299</v>
      </c>
      <c r="F45" s="132" t="s">
        <v>302</v>
      </c>
      <c r="G45" s="132" t="s">
        <v>302</v>
      </c>
      <c r="H45" s="134" t="s">
        <v>57</v>
      </c>
      <c r="I45" s="133" t="s">
        <v>406</v>
      </c>
      <c r="J45" s="133" t="s">
        <v>549</v>
      </c>
      <c r="K45" s="528"/>
      <c r="L45" s="136"/>
      <c r="M45" s="137"/>
      <c r="N45" s="137"/>
      <c r="O45" s="137"/>
      <c r="P45" s="137"/>
      <c r="Q45" s="137"/>
      <c r="R45" s="137"/>
      <c r="S45" s="137"/>
      <c r="T45" s="137"/>
      <c r="U45" s="137"/>
      <c r="V45" s="137"/>
      <c r="W45" s="137"/>
      <c r="X45" s="137"/>
      <c r="Y45" s="137"/>
      <c r="Z45" s="137"/>
      <c r="AA45" s="137"/>
      <c r="AB45" s="137"/>
      <c r="AC45" s="137"/>
      <c r="AD45" s="137"/>
      <c r="AE45" s="137"/>
      <c r="AF45" s="137"/>
      <c r="AG45" s="137"/>
      <c r="AH45" s="137"/>
      <c r="AI45" s="137"/>
      <c r="AJ45" s="137"/>
      <c r="AK45" s="137"/>
      <c r="AL45" s="137"/>
      <c r="AM45" s="137"/>
      <c r="AN45" s="137"/>
      <c r="AO45" s="137"/>
      <c r="AP45" s="137"/>
      <c r="AQ45" s="137"/>
      <c r="AR45" s="137"/>
      <c r="AS45" s="137"/>
      <c r="AT45" s="137"/>
      <c r="AU45" s="137"/>
      <c r="AV45" s="137"/>
      <c r="AW45" s="137"/>
      <c r="AX45" s="137"/>
      <c r="AY45" s="137"/>
      <c r="AZ45" s="137"/>
      <c r="BA45" s="137"/>
      <c r="BB45" s="137"/>
      <c r="BC45" s="137"/>
      <c r="BD45" s="137"/>
      <c r="BE45" s="137"/>
      <c r="BF45" s="137"/>
      <c r="BG45" s="137"/>
      <c r="BH45" s="137"/>
      <c r="BI45" s="137"/>
    </row>
    <row r="46" spans="1:61" s="125" customFormat="1" ht="24">
      <c r="A46" s="527"/>
      <c r="B46" s="133" t="s">
        <v>557</v>
      </c>
      <c r="C46" s="133" t="s">
        <v>536</v>
      </c>
      <c r="D46" s="134" t="s">
        <v>537</v>
      </c>
      <c r="E46" s="134" t="s">
        <v>299</v>
      </c>
      <c r="F46" s="132" t="s">
        <v>302</v>
      </c>
      <c r="G46" s="132" t="s">
        <v>302</v>
      </c>
      <c r="H46" s="134" t="s">
        <v>57</v>
      </c>
      <c r="I46" s="133" t="s">
        <v>338</v>
      </c>
      <c r="J46" s="133" t="s">
        <v>302</v>
      </c>
      <c r="K46" s="528"/>
      <c r="L46" s="136"/>
      <c r="M46" s="137"/>
      <c r="N46" s="137"/>
      <c r="O46" s="137"/>
      <c r="P46" s="137"/>
      <c r="Q46" s="137"/>
      <c r="R46" s="137"/>
      <c r="S46" s="137"/>
      <c r="T46" s="137"/>
      <c r="U46" s="137"/>
      <c r="V46" s="137"/>
      <c r="W46" s="137"/>
      <c r="X46" s="137"/>
      <c r="Y46" s="137"/>
      <c r="Z46" s="137"/>
      <c r="AA46" s="137"/>
      <c r="AB46" s="137"/>
      <c r="AC46" s="137"/>
      <c r="AD46" s="137"/>
      <c r="AE46" s="137"/>
      <c r="AF46" s="137"/>
      <c r="AG46" s="137"/>
      <c r="AH46" s="137"/>
      <c r="AI46" s="137"/>
      <c r="AJ46" s="137"/>
      <c r="AK46" s="137"/>
      <c r="AL46" s="137"/>
      <c r="AM46" s="137"/>
      <c r="AN46" s="137"/>
      <c r="AO46" s="137"/>
      <c r="AP46" s="137"/>
      <c r="AQ46" s="137"/>
      <c r="AR46" s="137"/>
      <c r="AS46" s="137"/>
      <c r="AT46" s="137"/>
      <c r="AU46" s="137"/>
      <c r="AV46" s="137"/>
      <c r="AW46" s="137"/>
      <c r="AX46" s="137"/>
      <c r="AY46" s="137"/>
      <c r="AZ46" s="137"/>
      <c r="BA46" s="137"/>
      <c r="BB46" s="137"/>
      <c r="BC46" s="137"/>
      <c r="BD46" s="137"/>
      <c r="BE46" s="137"/>
      <c r="BF46" s="137"/>
      <c r="BG46" s="137"/>
      <c r="BH46" s="137"/>
      <c r="BI46" s="137"/>
    </row>
    <row r="47" spans="1:61" s="125" customFormat="1">
      <c r="A47" s="527"/>
      <c r="B47" s="133" t="s">
        <v>558</v>
      </c>
      <c r="C47" s="133" t="s">
        <v>509</v>
      </c>
      <c r="D47" s="134" t="s">
        <v>510</v>
      </c>
      <c r="E47" s="134" t="s">
        <v>299</v>
      </c>
      <c r="F47" s="132" t="s">
        <v>302</v>
      </c>
      <c r="G47" s="132" t="s">
        <v>302</v>
      </c>
      <c r="H47" s="134" t="s">
        <v>57</v>
      </c>
      <c r="I47" s="133" t="s">
        <v>4149</v>
      </c>
      <c r="J47" s="133" t="s">
        <v>302</v>
      </c>
      <c r="K47" s="528"/>
      <c r="L47" s="136"/>
      <c r="M47" s="137"/>
      <c r="N47" s="137"/>
      <c r="O47" s="137"/>
      <c r="P47" s="137"/>
      <c r="Q47" s="137"/>
      <c r="R47" s="137"/>
      <c r="S47" s="137"/>
      <c r="T47" s="137"/>
      <c r="U47" s="137"/>
      <c r="V47" s="137"/>
      <c r="W47" s="137"/>
      <c r="X47" s="137"/>
      <c r="Y47" s="137"/>
      <c r="Z47" s="137"/>
      <c r="AA47" s="137"/>
      <c r="AB47" s="137"/>
      <c r="AC47" s="137"/>
      <c r="AD47" s="137"/>
      <c r="AE47" s="137"/>
      <c r="AF47" s="137"/>
      <c r="AG47" s="137"/>
      <c r="AH47" s="137"/>
      <c r="AI47" s="137"/>
      <c r="AJ47" s="137"/>
      <c r="AK47" s="137"/>
      <c r="AL47" s="137"/>
      <c r="AM47" s="137"/>
      <c r="AN47" s="137"/>
      <c r="AO47" s="137"/>
      <c r="AP47" s="137"/>
      <c r="AQ47" s="137"/>
      <c r="AR47" s="137"/>
      <c r="AS47" s="137"/>
      <c r="AT47" s="137"/>
      <c r="AU47" s="137"/>
      <c r="AV47" s="137"/>
      <c r="AW47" s="137"/>
      <c r="AX47" s="137"/>
      <c r="AY47" s="137"/>
      <c r="AZ47" s="137"/>
      <c r="BA47" s="137"/>
      <c r="BB47" s="137"/>
      <c r="BC47" s="137"/>
      <c r="BD47" s="137"/>
      <c r="BE47" s="137"/>
      <c r="BF47" s="137"/>
      <c r="BG47" s="137"/>
      <c r="BH47" s="137"/>
      <c r="BI47" s="137"/>
    </row>
    <row r="48" spans="1:61" s="125" customFormat="1">
      <c r="A48" s="527"/>
      <c r="B48" s="133" t="s">
        <v>2672</v>
      </c>
      <c r="C48" s="133" t="s">
        <v>539</v>
      </c>
      <c r="D48" s="134" t="s">
        <v>540</v>
      </c>
      <c r="E48" s="134" t="s">
        <v>299</v>
      </c>
      <c r="F48" s="132" t="s">
        <v>302</v>
      </c>
      <c r="G48" s="132" t="s">
        <v>302</v>
      </c>
      <c r="H48" s="134" t="s">
        <v>57</v>
      </c>
      <c r="I48" s="133" t="s">
        <v>350</v>
      </c>
      <c r="J48" s="133" t="s">
        <v>302</v>
      </c>
      <c r="K48" s="528"/>
      <c r="L48" s="136"/>
      <c r="M48" s="137"/>
      <c r="N48" s="137"/>
      <c r="O48" s="137"/>
      <c r="P48" s="137"/>
      <c r="Q48" s="137"/>
      <c r="R48" s="137"/>
      <c r="S48" s="137"/>
      <c r="T48" s="137"/>
      <c r="U48" s="137"/>
      <c r="V48" s="137"/>
      <c r="W48" s="137"/>
      <c r="X48" s="137"/>
      <c r="Y48" s="137"/>
      <c r="Z48" s="137"/>
      <c r="AA48" s="137"/>
      <c r="AB48" s="137"/>
      <c r="AC48" s="137"/>
      <c r="AD48" s="137"/>
      <c r="AE48" s="137"/>
      <c r="AF48" s="137"/>
      <c r="AG48" s="137"/>
      <c r="AH48" s="137"/>
      <c r="AI48" s="137"/>
      <c r="AJ48" s="137"/>
      <c r="AK48" s="137"/>
      <c r="AL48" s="137"/>
      <c r="AM48" s="137"/>
      <c r="AN48" s="137"/>
      <c r="AO48" s="137"/>
      <c r="AP48" s="137"/>
      <c r="AQ48" s="137"/>
      <c r="AR48" s="137"/>
      <c r="AS48" s="137"/>
      <c r="AT48" s="137"/>
      <c r="AU48" s="137"/>
      <c r="AV48" s="137"/>
      <c r="AW48" s="137"/>
      <c r="AX48" s="137"/>
      <c r="AY48" s="137"/>
      <c r="AZ48" s="137"/>
      <c r="BA48" s="137"/>
      <c r="BB48" s="137"/>
      <c r="BC48" s="137"/>
      <c r="BD48" s="137"/>
      <c r="BE48" s="137"/>
      <c r="BF48" s="137"/>
      <c r="BG48" s="137"/>
      <c r="BH48" s="137"/>
      <c r="BI48" s="137"/>
    </row>
    <row r="49" spans="1:61" s="125" customFormat="1" ht="108">
      <c r="A49" s="527"/>
      <c r="B49" s="133" t="s">
        <v>4232</v>
      </c>
      <c r="C49" s="133" t="s">
        <v>4227</v>
      </c>
      <c r="D49" s="134" t="s">
        <v>4229</v>
      </c>
      <c r="E49" s="134" t="s">
        <v>299</v>
      </c>
      <c r="F49" s="132" t="s">
        <v>302</v>
      </c>
      <c r="G49" s="132" t="s">
        <v>302</v>
      </c>
      <c r="H49" s="134" t="s">
        <v>57</v>
      </c>
      <c r="I49" s="133" t="s">
        <v>519</v>
      </c>
      <c r="J49" s="133" t="s">
        <v>4228</v>
      </c>
      <c r="K49" s="528"/>
      <c r="L49" s="495" t="s">
        <v>4233</v>
      </c>
      <c r="M49" s="137"/>
      <c r="N49" s="137"/>
      <c r="O49" s="137"/>
      <c r="P49" s="137"/>
      <c r="Q49" s="137"/>
      <c r="R49" s="137"/>
      <c r="S49" s="137"/>
      <c r="T49" s="137"/>
      <c r="U49" s="137"/>
      <c r="V49" s="137"/>
      <c r="W49" s="137"/>
      <c r="X49" s="137"/>
      <c r="Y49" s="137"/>
      <c r="Z49" s="137"/>
      <c r="AA49" s="137"/>
      <c r="AB49" s="137"/>
      <c r="AC49" s="137"/>
      <c r="AD49" s="137"/>
      <c r="AE49" s="137"/>
      <c r="AF49" s="137"/>
      <c r="AG49" s="137"/>
      <c r="AH49" s="137"/>
      <c r="AI49" s="137"/>
      <c r="AJ49" s="137"/>
      <c r="AK49" s="137"/>
      <c r="AL49" s="137"/>
      <c r="AM49" s="137"/>
      <c r="AN49" s="137"/>
      <c r="AO49" s="137"/>
      <c r="AP49" s="137"/>
      <c r="AQ49" s="137"/>
      <c r="AR49" s="137"/>
      <c r="AS49" s="137"/>
      <c r="AT49" s="137"/>
      <c r="AU49" s="137"/>
      <c r="AV49" s="137"/>
      <c r="AW49" s="137"/>
      <c r="AX49" s="137"/>
      <c r="AY49" s="137"/>
      <c r="AZ49" s="137"/>
      <c r="BA49" s="137"/>
      <c r="BB49" s="137"/>
      <c r="BC49" s="137"/>
      <c r="BD49" s="137"/>
      <c r="BE49" s="137"/>
      <c r="BF49" s="137"/>
      <c r="BG49" s="137"/>
      <c r="BH49" s="137"/>
      <c r="BI49" s="137"/>
    </row>
    <row r="50" spans="1:61" s="125" customFormat="1" ht="24">
      <c r="A50" s="527"/>
      <c r="B50" s="133" t="s">
        <v>4231</v>
      </c>
      <c r="C50" s="133" t="s">
        <v>517</v>
      </c>
      <c r="D50" s="134" t="s">
        <v>518</v>
      </c>
      <c r="E50" s="134" t="s">
        <v>299</v>
      </c>
      <c r="F50" s="132" t="s">
        <v>302</v>
      </c>
      <c r="G50" s="132" t="s">
        <v>302</v>
      </c>
      <c r="H50" s="134" t="s">
        <v>57</v>
      </c>
      <c r="I50" s="133" t="s">
        <v>519</v>
      </c>
      <c r="J50" s="133" t="s">
        <v>520</v>
      </c>
      <c r="K50" s="528"/>
      <c r="L50" s="136"/>
      <c r="M50" s="137"/>
      <c r="N50" s="137"/>
      <c r="O50" s="137"/>
      <c r="P50" s="137"/>
      <c r="Q50" s="137"/>
      <c r="R50" s="137"/>
      <c r="S50" s="137"/>
      <c r="T50" s="137"/>
      <c r="U50" s="137"/>
      <c r="V50" s="137"/>
      <c r="W50" s="137"/>
      <c r="X50" s="137"/>
      <c r="Y50" s="137"/>
      <c r="Z50" s="137"/>
      <c r="AA50" s="137"/>
      <c r="AB50" s="137"/>
      <c r="AC50" s="137"/>
      <c r="AD50" s="137"/>
      <c r="AE50" s="137"/>
      <c r="AF50" s="137"/>
      <c r="AG50" s="137"/>
      <c r="AH50" s="137"/>
      <c r="AI50" s="137"/>
      <c r="AJ50" s="137"/>
      <c r="AK50" s="137"/>
      <c r="AL50" s="137"/>
      <c r="AM50" s="137"/>
      <c r="AN50" s="137"/>
      <c r="AO50" s="137"/>
      <c r="AP50" s="137"/>
      <c r="AQ50" s="137"/>
      <c r="AR50" s="137"/>
      <c r="AS50" s="137"/>
      <c r="AT50" s="137"/>
      <c r="AU50" s="137"/>
      <c r="AV50" s="137"/>
      <c r="AW50" s="137"/>
      <c r="AX50" s="137"/>
      <c r="AY50" s="137"/>
      <c r="AZ50" s="137"/>
      <c r="BA50" s="137"/>
      <c r="BB50" s="137"/>
      <c r="BC50" s="137"/>
      <c r="BD50" s="137"/>
      <c r="BE50" s="137"/>
      <c r="BF50" s="137"/>
      <c r="BG50" s="137"/>
      <c r="BH50" s="137"/>
      <c r="BI50" s="137"/>
    </row>
    <row r="51" spans="1:61" s="125" customFormat="1" ht="48">
      <c r="A51" s="527"/>
      <c r="B51" s="133" t="s">
        <v>559</v>
      </c>
      <c r="C51" s="133" t="s">
        <v>493</v>
      </c>
      <c r="D51" s="134" t="s">
        <v>494</v>
      </c>
      <c r="E51" s="134" t="s">
        <v>299</v>
      </c>
      <c r="F51" s="132" t="s">
        <v>302</v>
      </c>
      <c r="G51" s="132" t="s">
        <v>302</v>
      </c>
      <c r="H51" s="134" t="s">
        <v>57</v>
      </c>
      <c r="I51" s="133" t="s">
        <v>310</v>
      </c>
      <c r="J51" s="133" t="s">
        <v>495</v>
      </c>
      <c r="K51" s="528"/>
      <c r="L51" s="136"/>
      <c r="M51" s="137"/>
      <c r="N51" s="137"/>
      <c r="O51" s="137"/>
      <c r="P51" s="137"/>
      <c r="Q51" s="137"/>
      <c r="R51" s="137"/>
      <c r="S51" s="137"/>
      <c r="T51" s="137"/>
      <c r="U51" s="137"/>
      <c r="V51" s="137"/>
      <c r="W51" s="137"/>
      <c r="X51" s="137"/>
      <c r="Y51" s="137"/>
      <c r="Z51" s="137"/>
      <c r="AA51" s="137"/>
      <c r="AB51" s="137"/>
      <c r="AC51" s="137"/>
      <c r="AD51" s="137"/>
      <c r="AE51" s="137"/>
      <c r="AF51" s="137"/>
      <c r="AG51" s="137"/>
      <c r="AH51" s="137"/>
      <c r="AI51" s="137"/>
      <c r="AJ51" s="137"/>
      <c r="AK51" s="137"/>
      <c r="AL51" s="137"/>
      <c r="AM51" s="137"/>
      <c r="AN51" s="137"/>
      <c r="AO51" s="137"/>
      <c r="AP51" s="137"/>
      <c r="AQ51" s="137"/>
      <c r="AR51" s="137"/>
      <c r="AS51" s="137"/>
      <c r="AT51" s="137"/>
      <c r="AU51" s="137"/>
      <c r="AV51" s="137"/>
      <c r="AW51" s="137"/>
      <c r="AX51" s="137"/>
      <c r="AY51" s="137"/>
      <c r="AZ51" s="137"/>
      <c r="BA51" s="137"/>
      <c r="BB51" s="137"/>
      <c r="BC51" s="137"/>
      <c r="BD51" s="137"/>
      <c r="BE51" s="137"/>
      <c r="BF51" s="137"/>
      <c r="BG51" s="137"/>
      <c r="BH51" s="137"/>
      <c r="BI51" s="137"/>
    </row>
    <row r="52" spans="1:61" s="125" customFormat="1">
      <c r="A52" s="527"/>
      <c r="B52" s="133" t="s">
        <v>560</v>
      </c>
      <c r="C52" s="133" t="s">
        <v>497</v>
      </c>
      <c r="D52" s="134" t="s">
        <v>498</v>
      </c>
      <c r="E52" s="134" t="s">
        <v>299</v>
      </c>
      <c r="F52" s="132" t="s">
        <v>302</v>
      </c>
      <c r="G52" s="132" t="s">
        <v>302</v>
      </c>
      <c r="H52" s="134" t="s">
        <v>57</v>
      </c>
      <c r="I52" s="133" t="s">
        <v>310</v>
      </c>
      <c r="J52" s="133" t="s">
        <v>302</v>
      </c>
      <c r="K52" s="528"/>
      <c r="L52" s="136"/>
      <c r="M52" s="137"/>
      <c r="N52" s="137"/>
      <c r="O52" s="137"/>
      <c r="P52" s="137"/>
      <c r="Q52" s="137"/>
      <c r="R52" s="137"/>
      <c r="S52" s="137"/>
      <c r="T52" s="137"/>
      <c r="U52" s="137"/>
      <c r="V52" s="137"/>
      <c r="W52" s="137"/>
      <c r="X52" s="137"/>
      <c r="Y52" s="137"/>
      <c r="Z52" s="137"/>
      <c r="AA52" s="137"/>
      <c r="AB52" s="137"/>
      <c r="AC52" s="137"/>
      <c r="AD52" s="137"/>
      <c r="AE52" s="137"/>
      <c r="AF52" s="137"/>
      <c r="AG52" s="137"/>
      <c r="AH52" s="137"/>
      <c r="AI52" s="137"/>
      <c r="AJ52" s="137"/>
      <c r="AK52" s="137"/>
      <c r="AL52" s="137"/>
      <c r="AM52" s="137"/>
      <c r="AN52" s="137"/>
      <c r="AO52" s="137"/>
      <c r="AP52" s="137"/>
      <c r="AQ52" s="137"/>
      <c r="AR52" s="137"/>
      <c r="AS52" s="137"/>
      <c r="AT52" s="137"/>
      <c r="AU52" s="137"/>
      <c r="AV52" s="137"/>
      <c r="AW52" s="137"/>
      <c r="AX52" s="137"/>
      <c r="AY52" s="137"/>
      <c r="AZ52" s="137"/>
      <c r="BA52" s="137"/>
      <c r="BB52" s="137"/>
      <c r="BC52" s="137"/>
      <c r="BD52" s="137"/>
      <c r="BE52" s="137"/>
      <c r="BF52" s="137"/>
      <c r="BG52" s="137"/>
      <c r="BH52" s="137"/>
      <c r="BI52" s="137"/>
    </row>
    <row r="53" spans="1:61" s="125" customFormat="1">
      <c r="A53" s="527"/>
      <c r="B53" s="133" t="s">
        <v>561</v>
      </c>
      <c r="C53" s="133" t="s">
        <v>500</v>
      </c>
      <c r="D53" s="134" t="s">
        <v>501</v>
      </c>
      <c r="E53" s="134" t="s">
        <v>299</v>
      </c>
      <c r="F53" s="132" t="s">
        <v>302</v>
      </c>
      <c r="G53" s="132" t="s">
        <v>302</v>
      </c>
      <c r="H53" s="134" t="s">
        <v>57</v>
      </c>
      <c r="I53" s="133" t="s">
        <v>502</v>
      </c>
      <c r="J53" s="133" t="s">
        <v>302</v>
      </c>
      <c r="K53" s="528"/>
      <c r="L53" s="136"/>
      <c r="M53" s="137"/>
      <c r="N53" s="137"/>
      <c r="O53" s="137"/>
      <c r="P53" s="137"/>
      <c r="Q53" s="137"/>
      <c r="R53" s="137"/>
      <c r="S53" s="137"/>
      <c r="T53" s="137"/>
      <c r="U53" s="137"/>
      <c r="V53" s="137"/>
      <c r="W53" s="137"/>
      <c r="X53" s="137"/>
      <c r="Y53" s="137"/>
      <c r="Z53" s="137"/>
      <c r="AA53" s="137"/>
      <c r="AB53" s="137"/>
      <c r="AC53" s="137"/>
      <c r="AD53" s="137"/>
      <c r="AE53" s="137"/>
      <c r="AF53" s="137"/>
      <c r="AG53" s="137"/>
      <c r="AH53" s="137"/>
      <c r="AI53" s="137"/>
      <c r="AJ53" s="137"/>
      <c r="AK53" s="137"/>
      <c r="AL53" s="137"/>
      <c r="AM53" s="137"/>
      <c r="AN53" s="137"/>
      <c r="AO53" s="137"/>
      <c r="AP53" s="137"/>
      <c r="AQ53" s="137"/>
      <c r="AR53" s="137"/>
      <c r="AS53" s="137"/>
      <c r="AT53" s="137"/>
      <c r="AU53" s="137"/>
      <c r="AV53" s="137"/>
      <c r="AW53" s="137"/>
      <c r="AX53" s="137"/>
      <c r="AY53" s="137"/>
      <c r="AZ53" s="137"/>
      <c r="BA53" s="137"/>
      <c r="BB53" s="137"/>
      <c r="BC53" s="137"/>
      <c r="BD53" s="137"/>
      <c r="BE53" s="137"/>
      <c r="BF53" s="137"/>
      <c r="BG53" s="137"/>
      <c r="BH53" s="137"/>
      <c r="BI53" s="137"/>
    </row>
    <row r="54" spans="1:61" s="125" customFormat="1" ht="36">
      <c r="A54" s="527"/>
      <c r="B54" s="133" t="s">
        <v>562</v>
      </c>
      <c r="C54" s="133" t="s">
        <v>504</v>
      </c>
      <c r="D54" s="134" t="s">
        <v>546</v>
      </c>
      <c r="E54" s="134" t="s">
        <v>299</v>
      </c>
      <c r="F54" s="132" t="s">
        <v>302</v>
      </c>
      <c r="G54" s="132" t="s">
        <v>302</v>
      </c>
      <c r="H54" s="134" t="s">
        <v>57</v>
      </c>
      <c r="I54" s="133" t="s">
        <v>350</v>
      </c>
      <c r="J54" s="133" t="s">
        <v>506</v>
      </c>
      <c r="K54" s="528"/>
      <c r="L54" s="136"/>
      <c r="M54" s="137"/>
      <c r="N54" s="137"/>
      <c r="O54" s="137"/>
      <c r="P54" s="137"/>
      <c r="Q54" s="137"/>
      <c r="R54" s="137"/>
      <c r="S54" s="137"/>
      <c r="T54" s="137"/>
      <c r="U54" s="137"/>
      <c r="V54" s="137"/>
      <c r="W54" s="137"/>
      <c r="X54" s="137"/>
      <c r="Y54" s="137"/>
      <c r="Z54" s="137"/>
      <c r="AA54" s="137"/>
      <c r="AB54" s="137"/>
      <c r="AC54" s="137"/>
      <c r="AD54" s="137"/>
      <c r="AE54" s="137"/>
      <c r="AF54" s="137"/>
      <c r="AG54" s="137"/>
      <c r="AH54" s="137"/>
      <c r="AI54" s="137"/>
      <c r="AJ54" s="137"/>
      <c r="AK54" s="137"/>
      <c r="AL54" s="137"/>
      <c r="AM54" s="137"/>
      <c r="AN54" s="137"/>
      <c r="AO54" s="137"/>
      <c r="AP54" s="137"/>
      <c r="AQ54" s="137"/>
      <c r="AR54" s="137"/>
      <c r="AS54" s="137"/>
      <c r="AT54" s="137"/>
      <c r="AU54" s="137"/>
      <c r="AV54" s="137"/>
      <c r="AW54" s="137"/>
      <c r="AX54" s="137"/>
      <c r="AY54" s="137"/>
      <c r="AZ54" s="137"/>
      <c r="BA54" s="137"/>
      <c r="BB54" s="137"/>
      <c r="BC54" s="137"/>
      <c r="BD54" s="137"/>
      <c r="BE54" s="137"/>
      <c r="BF54" s="137"/>
      <c r="BG54" s="137"/>
      <c r="BH54" s="137"/>
      <c r="BI54" s="137"/>
    </row>
    <row r="55" spans="1:61" s="125" customFormat="1">
      <c r="A55" s="527"/>
      <c r="B55" s="133" t="s">
        <v>563</v>
      </c>
      <c r="C55" s="133" t="s">
        <v>528</v>
      </c>
      <c r="D55" s="134" t="s">
        <v>529</v>
      </c>
      <c r="E55" s="134" t="s">
        <v>299</v>
      </c>
      <c r="F55" s="132" t="s">
        <v>302</v>
      </c>
      <c r="G55" s="132" t="s">
        <v>302</v>
      </c>
      <c r="H55" s="134" t="s">
        <v>57</v>
      </c>
      <c r="I55" s="133" t="s">
        <v>406</v>
      </c>
      <c r="J55" s="133" t="s">
        <v>530</v>
      </c>
      <c r="K55" s="528"/>
      <c r="L55" s="136"/>
      <c r="M55" s="137"/>
      <c r="N55" s="137"/>
      <c r="O55" s="137"/>
      <c r="P55" s="137"/>
      <c r="Q55" s="137"/>
      <c r="R55" s="137"/>
      <c r="S55" s="137"/>
      <c r="T55" s="137"/>
      <c r="U55" s="137"/>
      <c r="V55" s="137"/>
      <c r="W55" s="137"/>
      <c r="X55" s="137"/>
      <c r="Y55" s="137"/>
      <c r="Z55" s="137"/>
      <c r="AA55" s="137"/>
      <c r="AB55" s="137"/>
      <c r="AC55" s="137"/>
      <c r="AD55" s="137"/>
      <c r="AE55" s="137"/>
      <c r="AF55" s="137"/>
      <c r="AG55" s="137"/>
      <c r="AH55" s="137"/>
      <c r="AI55" s="137"/>
      <c r="AJ55" s="137"/>
      <c r="AK55" s="137"/>
      <c r="AL55" s="137"/>
      <c r="AM55" s="137"/>
      <c r="AN55" s="137"/>
      <c r="AO55" s="137"/>
      <c r="AP55" s="137"/>
      <c r="AQ55" s="137"/>
      <c r="AR55" s="137"/>
      <c r="AS55" s="137"/>
      <c r="AT55" s="137"/>
      <c r="AU55" s="137"/>
      <c r="AV55" s="137"/>
      <c r="AW55" s="137"/>
      <c r="AX55" s="137"/>
      <c r="AY55" s="137"/>
      <c r="AZ55" s="137"/>
      <c r="BA55" s="137"/>
      <c r="BB55" s="137"/>
      <c r="BC55" s="137"/>
      <c r="BD55" s="137"/>
      <c r="BE55" s="137"/>
      <c r="BF55" s="137"/>
      <c r="BG55" s="137"/>
      <c r="BH55" s="137"/>
      <c r="BI55" s="137"/>
    </row>
    <row r="56" spans="1:61" s="125" customFormat="1" ht="36">
      <c r="A56" s="527"/>
      <c r="B56" s="133" t="s">
        <v>564</v>
      </c>
      <c r="C56" s="133" t="s">
        <v>532</v>
      </c>
      <c r="D56" s="134" t="s">
        <v>533</v>
      </c>
      <c r="E56" s="134" t="s">
        <v>299</v>
      </c>
      <c r="F56" s="132" t="s">
        <v>302</v>
      </c>
      <c r="G56" s="132" t="s">
        <v>302</v>
      </c>
      <c r="H56" s="134" t="s">
        <v>57</v>
      </c>
      <c r="I56" s="133" t="s">
        <v>406</v>
      </c>
      <c r="J56" s="133" t="s">
        <v>549</v>
      </c>
      <c r="K56" s="528"/>
      <c r="L56" s="136"/>
      <c r="M56" s="137"/>
      <c r="N56" s="137"/>
      <c r="O56" s="137"/>
      <c r="P56" s="137"/>
      <c r="Q56" s="137"/>
      <c r="R56" s="137"/>
      <c r="S56" s="137"/>
      <c r="T56" s="137"/>
      <c r="U56" s="137"/>
      <c r="V56" s="137"/>
      <c r="W56" s="137"/>
      <c r="X56" s="137"/>
      <c r="Y56" s="137"/>
      <c r="Z56" s="137"/>
      <c r="AA56" s="137"/>
      <c r="AB56" s="137"/>
      <c r="AC56" s="137"/>
      <c r="AD56" s="137"/>
      <c r="AE56" s="137"/>
      <c r="AF56" s="137"/>
      <c r="AG56" s="137"/>
      <c r="AH56" s="137"/>
      <c r="AI56" s="137"/>
      <c r="AJ56" s="137"/>
      <c r="AK56" s="137"/>
      <c r="AL56" s="137"/>
      <c r="AM56" s="137"/>
      <c r="AN56" s="137"/>
      <c r="AO56" s="137"/>
      <c r="AP56" s="137"/>
      <c r="AQ56" s="137"/>
      <c r="AR56" s="137"/>
      <c r="AS56" s="137"/>
      <c r="AT56" s="137"/>
      <c r="AU56" s="137"/>
      <c r="AV56" s="137"/>
      <c r="AW56" s="137"/>
      <c r="AX56" s="137"/>
      <c r="AY56" s="137"/>
      <c r="AZ56" s="137"/>
      <c r="BA56" s="137"/>
      <c r="BB56" s="137"/>
      <c r="BC56" s="137"/>
      <c r="BD56" s="137"/>
      <c r="BE56" s="137"/>
      <c r="BF56" s="137"/>
      <c r="BG56" s="137"/>
      <c r="BH56" s="137"/>
      <c r="BI56" s="137"/>
    </row>
  </sheetData>
  <mergeCells count="2">
    <mergeCell ref="A2:A56"/>
    <mergeCell ref="K2:K56"/>
  </mergeCells>
  <phoneticPr fontId="53" type="noConversion"/>
  <pageMargins left="0.69930555555555596" right="0.69930555555555596"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dimension ref="A1:AJ7"/>
  <sheetViews>
    <sheetView zoomScaleNormal="100" workbookViewId="0">
      <pane xSplit="1" ySplit="1" topLeftCell="B2" activePane="bottomRight" state="frozen"/>
      <selection pane="topRight"/>
      <selection pane="bottomLeft"/>
      <selection pane="bottomRight" activeCell="I13" sqref="I13"/>
    </sheetView>
  </sheetViews>
  <sheetFormatPr defaultColWidth="9" defaultRowHeight="14"/>
  <cols>
    <col min="1" max="1" width="11.36328125" customWidth="1"/>
    <col min="2" max="2" width="36.36328125" customWidth="1"/>
    <col min="3" max="3" width="18.90625" customWidth="1"/>
    <col min="4" max="4" width="17.26953125" style="4" customWidth="1"/>
    <col min="5" max="5" width="6.36328125" style="4" customWidth="1"/>
    <col min="6" max="6" width="9.08984375" customWidth="1"/>
    <col min="7" max="7" width="6" customWidth="1"/>
    <col min="8" max="8" width="10.36328125" customWidth="1"/>
    <col min="9" max="9" width="13" customWidth="1"/>
    <col min="10" max="11" width="43.90625" customWidth="1"/>
    <col min="12" max="12" width="42" customWidth="1"/>
  </cols>
  <sheetData>
    <row r="1" spans="1:36" s="117" customFormat="1" ht="36">
      <c r="A1" s="118" t="s">
        <v>287</v>
      </c>
      <c r="B1" s="119" t="s">
        <v>288</v>
      </c>
      <c r="C1" s="119" t="s">
        <v>289</v>
      </c>
      <c r="D1" s="120" t="s">
        <v>290</v>
      </c>
      <c r="E1" s="120" t="s">
        <v>291</v>
      </c>
      <c r="F1" s="119" t="s">
        <v>292</v>
      </c>
      <c r="G1" s="119" t="s">
        <v>293</v>
      </c>
      <c r="H1" s="119" t="s">
        <v>8</v>
      </c>
      <c r="I1" s="119" t="s">
        <v>6</v>
      </c>
      <c r="J1" s="121" t="s">
        <v>294</v>
      </c>
      <c r="K1" s="121" t="s">
        <v>241</v>
      </c>
      <c r="L1" s="121" t="s">
        <v>295</v>
      </c>
      <c r="M1" s="122"/>
      <c r="N1" s="122"/>
      <c r="O1" s="122"/>
      <c r="P1" s="122"/>
      <c r="Q1" s="122"/>
      <c r="R1" s="122"/>
      <c r="S1" s="122"/>
      <c r="T1" s="122"/>
      <c r="U1" s="122"/>
      <c r="V1" s="122"/>
      <c r="W1" s="122"/>
      <c r="X1" s="122"/>
      <c r="Y1" s="122"/>
      <c r="Z1" s="122"/>
      <c r="AA1" s="122"/>
      <c r="AB1" s="122"/>
      <c r="AC1" s="122"/>
      <c r="AD1" s="122"/>
      <c r="AE1" s="122"/>
      <c r="AF1" s="122"/>
      <c r="AG1" s="122"/>
      <c r="AH1" s="122"/>
      <c r="AI1" s="122"/>
      <c r="AJ1" s="122"/>
    </row>
    <row r="2" spans="1:36" s="75" customFormat="1" ht="60">
      <c r="A2" s="529" t="s">
        <v>267</v>
      </c>
      <c r="B2" s="41" t="s">
        <v>565</v>
      </c>
      <c r="C2" s="41" t="s">
        <v>191</v>
      </c>
      <c r="D2" s="355" t="s">
        <v>2731</v>
      </c>
      <c r="E2" s="42" t="s">
        <v>299</v>
      </c>
      <c r="F2" s="532" t="s">
        <v>302</v>
      </c>
      <c r="G2" s="532" t="s">
        <v>302</v>
      </c>
      <c r="H2" s="42" t="s">
        <v>24</v>
      </c>
      <c r="I2" s="43" t="s">
        <v>71</v>
      </c>
      <c r="J2" s="41" t="s">
        <v>566</v>
      </c>
      <c r="K2" s="535" t="s">
        <v>2487</v>
      </c>
      <c r="L2" s="65"/>
      <c r="M2" s="57"/>
      <c r="N2" s="57"/>
      <c r="O2" s="57"/>
    </row>
    <row r="3" spans="1:36" s="75" customFormat="1" ht="24">
      <c r="A3" s="530"/>
      <c r="B3" s="41" t="s">
        <v>567</v>
      </c>
      <c r="C3" s="41" t="s">
        <v>404</v>
      </c>
      <c r="D3" s="355" t="s">
        <v>2633</v>
      </c>
      <c r="E3" s="42" t="s">
        <v>299</v>
      </c>
      <c r="F3" s="533"/>
      <c r="G3" s="533"/>
      <c r="H3" s="42" t="s">
        <v>24</v>
      </c>
      <c r="I3" s="43" t="s">
        <v>406</v>
      </c>
      <c r="J3" s="339" t="s">
        <v>2632</v>
      </c>
      <c r="K3" s="535"/>
      <c r="L3" s="65"/>
      <c r="M3" s="57"/>
      <c r="N3" s="57"/>
      <c r="O3" s="57"/>
    </row>
    <row r="4" spans="1:36" s="75" customFormat="1" ht="24">
      <c r="A4" s="530"/>
      <c r="B4" s="41" t="s">
        <v>568</v>
      </c>
      <c r="C4" s="41" t="s">
        <v>410</v>
      </c>
      <c r="D4" s="355" t="s">
        <v>2732</v>
      </c>
      <c r="E4" s="42" t="s">
        <v>299</v>
      </c>
      <c r="F4" s="533"/>
      <c r="G4" s="533"/>
      <c r="H4" s="42" t="s">
        <v>24</v>
      </c>
      <c r="I4" s="43" t="s">
        <v>406</v>
      </c>
      <c r="J4" s="339" t="s">
        <v>2631</v>
      </c>
      <c r="K4" s="535"/>
      <c r="L4" s="65"/>
      <c r="M4" s="57"/>
      <c r="N4" s="57"/>
      <c r="O4" s="57"/>
    </row>
    <row r="5" spans="1:36" s="75" customFormat="1" ht="48">
      <c r="A5" s="530"/>
      <c r="B5" s="41" t="s">
        <v>569</v>
      </c>
      <c r="C5" s="41" t="s">
        <v>414</v>
      </c>
      <c r="D5" s="355" t="s">
        <v>2733</v>
      </c>
      <c r="E5" s="42" t="s">
        <v>299</v>
      </c>
      <c r="F5" s="533"/>
      <c r="G5" s="533"/>
      <c r="H5" s="42" t="s">
        <v>24</v>
      </c>
      <c r="I5" s="43" t="s">
        <v>406</v>
      </c>
      <c r="J5" s="339" t="s">
        <v>2630</v>
      </c>
      <c r="K5" s="535"/>
      <c r="L5" s="65"/>
      <c r="M5" s="57"/>
      <c r="N5" s="57"/>
      <c r="O5" s="57"/>
    </row>
    <row r="6" spans="1:36" s="75" customFormat="1">
      <c r="A6" s="530"/>
      <c r="B6" s="41" t="s">
        <v>570</v>
      </c>
      <c r="C6" s="41" t="s">
        <v>571</v>
      </c>
      <c r="D6" s="355" t="s">
        <v>2730</v>
      </c>
      <c r="E6" s="42" t="s">
        <v>299</v>
      </c>
      <c r="F6" s="533"/>
      <c r="G6" s="533"/>
      <c r="H6" s="42" t="s">
        <v>24</v>
      </c>
      <c r="I6" s="43" t="s">
        <v>2840</v>
      </c>
      <c r="J6" s="365" t="s">
        <v>1745</v>
      </c>
      <c r="K6" s="535"/>
      <c r="L6" s="65"/>
      <c r="M6" s="57"/>
      <c r="N6" s="57"/>
      <c r="O6" s="57"/>
    </row>
    <row r="7" spans="1:36" s="75" customFormat="1" ht="24">
      <c r="A7" s="531"/>
      <c r="B7" s="340" t="s">
        <v>572</v>
      </c>
      <c r="C7" s="41" t="s">
        <v>573</v>
      </c>
      <c r="D7" s="41" t="s">
        <v>574</v>
      </c>
      <c r="E7" s="42" t="s">
        <v>299</v>
      </c>
      <c r="F7" s="534"/>
      <c r="G7" s="534"/>
      <c r="H7" s="42" t="s">
        <v>24</v>
      </c>
      <c r="I7" s="215" t="s">
        <v>2391</v>
      </c>
      <c r="J7" s="428" t="s">
        <v>2397</v>
      </c>
      <c r="K7" s="535"/>
      <c r="L7" s="65"/>
      <c r="M7" s="57"/>
      <c r="N7" s="57"/>
      <c r="O7" s="57"/>
    </row>
  </sheetData>
  <mergeCells count="4">
    <mergeCell ref="A2:A7"/>
    <mergeCell ref="F2:F7"/>
    <mergeCell ref="G2:G7"/>
    <mergeCell ref="K2:K7"/>
  </mergeCells>
  <phoneticPr fontId="53" type="noConversion"/>
  <pageMargins left="0.69930555555555596" right="0.69930555555555596"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dimension ref="A1:L19"/>
  <sheetViews>
    <sheetView zoomScale="85" zoomScaleNormal="85" workbookViewId="0">
      <pane xSplit="1" ySplit="1" topLeftCell="B2" activePane="bottomRight" state="frozen"/>
      <selection pane="topRight"/>
      <selection pane="bottomLeft"/>
      <selection pane="bottomRight" sqref="A1:XFD1048576"/>
    </sheetView>
  </sheetViews>
  <sheetFormatPr defaultColWidth="43.36328125" defaultRowHeight="13"/>
  <cols>
    <col min="1" max="1" width="22.6328125" style="102" customWidth="1"/>
    <col min="2" max="2" width="83.453125" style="103" customWidth="1"/>
    <col min="3" max="3" width="9" style="103" customWidth="1"/>
    <col min="4" max="4" width="14.36328125" style="104" customWidth="1"/>
    <col min="5" max="5" width="4.6328125" style="105" customWidth="1"/>
    <col min="6" max="6" width="10.6328125" style="104" customWidth="1"/>
    <col min="7" max="7" width="14.90625" style="104" customWidth="1"/>
    <col min="8" max="8" width="12.6328125" style="104" customWidth="1"/>
    <col min="9" max="9" width="21.36328125" style="104" customWidth="1"/>
    <col min="10" max="10" width="43.36328125" style="104"/>
    <col min="11" max="11" width="41" style="106" customWidth="1"/>
    <col min="12" max="16384" width="43.36328125" style="105"/>
  </cols>
  <sheetData>
    <row r="1" spans="1:12" ht="24">
      <c r="A1" s="107" t="s">
        <v>287</v>
      </c>
      <c r="B1" s="107" t="s">
        <v>288</v>
      </c>
      <c r="C1" s="108" t="s">
        <v>289</v>
      </c>
      <c r="D1" s="108" t="s">
        <v>290</v>
      </c>
      <c r="E1" s="107" t="s">
        <v>291</v>
      </c>
      <c r="F1" s="109" t="s">
        <v>292</v>
      </c>
      <c r="G1" s="107" t="s">
        <v>293</v>
      </c>
      <c r="H1" s="107" t="s">
        <v>8</v>
      </c>
      <c r="I1" s="107" t="s">
        <v>6</v>
      </c>
      <c r="J1" s="107" t="s">
        <v>294</v>
      </c>
      <c r="K1" s="109" t="s">
        <v>241</v>
      </c>
      <c r="L1" s="109" t="s">
        <v>295</v>
      </c>
    </row>
    <row r="2" spans="1:12">
      <c r="A2" s="536" t="s">
        <v>575</v>
      </c>
      <c r="B2" s="22" t="s">
        <v>2879</v>
      </c>
      <c r="C2" s="31" t="s">
        <v>576</v>
      </c>
      <c r="D2" s="31" t="s">
        <v>576</v>
      </c>
      <c r="E2" s="32" t="s">
        <v>4217</v>
      </c>
      <c r="F2" s="438" t="s">
        <v>2793</v>
      </c>
      <c r="G2" s="438" t="s">
        <v>2793</v>
      </c>
      <c r="H2" s="32" t="s">
        <v>57</v>
      </c>
      <c r="I2" s="38" t="s">
        <v>2878</v>
      </c>
      <c r="J2" s="38" t="s">
        <v>302</v>
      </c>
      <c r="K2" s="32" t="s">
        <v>319</v>
      </c>
      <c r="L2" s="113" t="s">
        <v>578</v>
      </c>
    </row>
    <row r="3" spans="1:12" ht="24">
      <c r="A3" s="536"/>
      <c r="B3" s="22" t="s">
        <v>2564</v>
      </c>
      <c r="C3" s="31" t="s">
        <v>579</v>
      </c>
      <c r="D3" s="31" t="s">
        <v>580</v>
      </c>
      <c r="E3" s="32" t="s">
        <v>4217</v>
      </c>
      <c r="F3" s="438" t="s">
        <v>2793</v>
      </c>
      <c r="G3" s="438" t="s">
        <v>2793</v>
      </c>
      <c r="H3" s="116" t="s">
        <v>2627</v>
      </c>
      <c r="I3" s="38" t="s">
        <v>301</v>
      </c>
      <c r="J3" s="17" t="s">
        <v>3600</v>
      </c>
      <c r="K3" s="32" t="s">
        <v>319</v>
      </c>
      <c r="L3" s="113" t="s">
        <v>578</v>
      </c>
    </row>
    <row r="4" spans="1:12" ht="24">
      <c r="A4" s="536"/>
      <c r="B4" s="22" t="s">
        <v>2617</v>
      </c>
      <c r="C4" s="31" t="s">
        <v>581</v>
      </c>
      <c r="D4" s="31" t="s">
        <v>581</v>
      </c>
      <c r="E4" s="32" t="s">
        <v>4217</v>
      </c>
      <c r="F4" s="438" t="s">
        <v>2793</v>
      </c>
      <c r="G4" s="438" t="s">
        <v>2793</v>
      </c>
      <c r="H4" s="116" t="s">
        <v>2620</v>
      </c>
      <c r="I4" s="116" t="s">
        <v>582</v>
      </c>
      <c r="J4" s="17" t="s">
        <v>3600</v>
      </c>
      <c r="K4" s="32" t="s">
        <v>319</v>
      </c>
      <c r="L4" s="113"/>
    </row>
    <row r="5" spans="1:12" ht="24">
      <c r="A5" s="536"/>
      <c r="B5" s="22" t="s">
        <v>2618</v>
      </c>
      <c r="C5" s="31" t="s">
        <v>583</v>
      </c>
      <c r="D5" s="31" t="s">
        <v>583</v>
      </c>
      <c r="E5" s="32" t="s">
        <v>4217</v>
      </c>
      <c r="F5" s="438" t="s">
        <v>2793</v>
      </c>
      <c r="G5" s="438" t="s">
        <v>2793</v>
      </c>
      <c r="H5" s="116" t="s">
        <v>2620</v>
      </c>
      <c r="I5" s="116" t="s">
        <v>584</v>
      </c>
      <c r="J5" s="17" t="s">
        <v>3600</v>
      </c>
      <c r="K5" s="32" t="s">
        <v>319</v>
      </c>
      <c r="L5" s="113"/>
    </row>
    <row r="6" spans="1:12" ht="24">
      <c r="A6" s="536"/>
      <c r="B6" s="22" t="s">
        <v>2619</v>
      </c>
      <c r="C6" s="31" t="s">
        <v>585</v>
      </c>
      <c r="D6" s="31" t="s">
        <v>585</v>
      </c>
      <c r="E6" s="32" t="s">
        <v>4217</v>
      </c>
      <c r="F6" s="438" t="s">
        <v>2793</v>
      </c>
      <c r="G6" s="438" t="s">
        <v>2793</v>
      </c>
      <c r="H6" s="116" t="s">
        <v>2620</v>
      </c>
      <c r="I6" s="116" t="s">
        <v>301</v>
      </c>
      <c r="J6" s="17" t="s">
        <v>3600</v>
      </c>
      <c r="K6" s="32"/>
      <c r="L6" s="113"/>
    </row>
    <row r="7" spans="1:12" ht="24">
      <c r="A7" s="536"/>
      <c r="B7" s="22" t="s">
        <v>2563</v>
      </c>
      <c r="C7" s="31" t="s">
        <v>586</v>
      </c>
      <c r="D7" s="31" t="s">
        <v>586</v>
      </c>
      <c r="E7" s="32" t="s">
        <v>4217</v>
      </c>
      <c r="F7" s="438" t="s">
        <v>2793</v>
      </c>
      <c r="G7" s="438" t="s">
        <v>2793</v>
      </c>
      <c r="H7" s="32" t="s">
        <v>57</v>
      </c>
      <c r="I7" s="116" t="s">
        <v>587</v>
      </c>
      <c r="J7" s="38" t="s">
        <v>302</v>
      </c>
      <c r="K7" s="32" t="s">
        <v>319</v>
      </c>
      <c r="L7" s="113"/>
    </row>
    <row r="8" spans="1:12" ht="24">
      <c r="A8" s="536"/>
      <c r="B8" s="22" t="s">
        <v>4121</v>
      </c>
      <c r="C8" s="31" t="s">
        <v>588</v>
      </c>
      <c r="D8" s="31" t="s">
        <v>588</v>
      </c>
      <c r="E8" s="32" t="s">
        <v>4217</v>
      </c>
      <c r="F8" s="438" t="s">
        <v>2793</v>
      </c>
      <c r="G8" s="438" t="s">
        <v>2793</v>
      </c>
      <c r="H8" s="116" t="s">
        <v>24</v>
      </c>
      <c r="I8" s="116" t="s">
        <v>310</v>
      </c>
      <c r="J8" s="17" t="s">
        <v>3600</v>
      </c>
      <c r="K8" s="32" t="s">
        <v>319</v>
      </c>
      <c r="L8" s="113"/>
    </row>
    <row r="9" spans="1:12" ht="24">
      <c r="A9" s="536"/>
      <c r="B9" s="22" t="s">
        <v>2740</v>
      </c>
      <c r="C9" s="31" t="s">
        <v>589</v>
      </c>
      <c r="D9" s="31" t="s">
        <v>589</v>
      </c>
      <c r="E9" s="32" t="s">
        <v>4217</v>
      </c>
      <c r="F9" s="438" t="s">
        <v>2793</v>
      </c>
      <c r="G9" s="438" t="s">
        <v>2793</v>
      </c>
      <c r="H9" s="116" t="s">
        <v>24</v>
      </c>
      <c r="I9" s="116" t="s">
        <v>310</v>
      </c>
      <c r="J9" s="17" t="s">
        <v>3601</v>
      </c>
      <c r="K9" s="32" t="s">
        <v>319</v>
      </c>
      <c r="L9" s="113"/>
    </row>
    <row r="10" spans="1:12" s="79" customFormat="1" ht="15" customHeight="1">
      <c r="A10" s="537" t="s">
        <v>2902</v>
      </c>
      <c r="B10" s="22" t="s">
        <v>2899</v>
      </c>
      <c r="C10" s="31" t="s">
        <v>591</v>
      </c>
      <c r="D10" s="31" t="s">
        <v>592</v>
      </c>
      <c r="E10" s="32" t="s">
        <v>299</v>
      </c>
      <c r="F10" s="438" t="s">
        <v>2793</v>
      </c>
      <c r="G10" s="438" t="s">
        <v>2793</v>
      </c>
      <c r="H10" s="32" t="s">
        <v>2626</v>
      </c>
      <c r="I10" s="32" t="s">
        <v>593</v>
      </c>
      <c r="J10" s="32" t="s">
        <v>2900</v>
      </c>
      <c r="K10" s="32" t="s">
        <v>2901</v>
      </c>
      <c r="L10" s="113"/>
    </row>
    <row r="11" spans="1:12" s="79" customFormat="1" ht="15" customHeight="1">
      <c r="A11" s="537"/>
      <c r="B11" s="22" t="s">
        <v>4006</v>
      </c>
      <c r="C11" s="31" t="s">
        <v>579</v>
      </c>
      <c r="D11" s="31" t="s">
        <v>579</v>
      </c>
      <c r="E11" s="32" t="s">
        <v>299</v>
      </c>
      <c r="F11" s="438" t="s">
        <v>2793</v>
      </c>
      <c r="G11" s="438" t="s">
        <v>2793</v>
      </c>
      <c r="H11" s="32" t="s">
        <v>2464</v>
      </c>
      <c r="I11" s="32" t="s">
        <v>301</v>
      </c>
      <c r="J11" s="32" t="s">
        <v>302</v>
      </c>
      <c r="K11" s="32" t="s">
        <v>2901</v>
      </c>
      <c r="L11" s="113"/>
    </row>
    <row r="12" spans="1:12" s="79" customFormat="1" ht="15" customHeight="1">
      <c r="A12" s="537"/>
      <c r="B12" s="22" t="s">
        <v>2531</v>
      </c>
      <c r="C12" s="31" t="s">
        <v>594</v>
      </c>
      <c r="D12" s="31" t="s">
        <v>594</v>
      </c>
      <c r="E12" s="32" t="s">
        <v>299</v>
      </c>
      <c r="F12" s="438" t="s">
        <v>2793</v>
      </c>
      <c r="G12" s="438" t="s">
        <v>2793</v>
      </c>
      <c r="H12" s="32" t="s">
        <v>24</v>
      </c>
      <c r="I12" s="32" t="s">
        <v>28</v>
      </c>
      <c r="J12" s="32" t="s">
        <v>302</v>
      </c>
      <c r="K12" s="31"/>
      <c r="L12" s="113"/>
    </row>
    <row r="13" spans="1:12" s="79" customFormat="1" ht="15" customHeight="1">
      <c r="A13" s="537"/>
      <c r="B13" s="22" t="s">
        <v>2882</v>
      </c>
      <c r="C13" s="31" t="s">
        <v>2881</v>
      </c>
      <c r="D13" s="31" t="s">
        <v>595</v>
      </c>
      <c r="E13" s="32" t="s">
        <v>299</v>
      </c>
      <c r="F13" s="438" t="s">
        <v>2793</v>
      </c>
      <c r="G13" s="438" t="s">
        <v>2793</v>
      </c>
      <c r="H13" s="32" t="s">
        <v>24</v>
      </c>
      <c r="I13" s="32" t="s">
        <v>310</v>
      </c>
      <c r="J13" s="32" t="s">
        <v>302</v>
      </c>
      <c r="K13" s="32" t="s">
        <v>319</v>
      </c>
      <c r="L13" s="113"/>
    </row>
    <row r="14" spans="1:12" s="79" customFormat="1" ht="15" customHeight="1">
      <c r="A14" s="537"/>
      <c r="B14" s="22" t="s">
        <v>2886</v>
      </c>
      <c r="C14" s="31" t="s">
        <v>596</v>
      </c>
      <c r="D14" s="31" t="s">
        <v>597</v>
      </c>
      <c r="E14" s="32" t="s">
        <v>299</v>
      </c>
      <c r="F14" s="438" t="s">
        <v>2793</v>
      </c>
      <c r="G14" s="438" t="s">
        <v>2793</v>
      </c>
      <c r="H14" s="32" t="s">
        <v>2883</v>
      </c>
      <c r="I14" s="32" t="s">
        <v>310</v>
      </c>
      <c r="J14" s="32" t="s">
        <v>302</v>
      </c>
      <c r="K14" s="32" t="s">
        <v>319</v>
      </c>
      <c r="L14" s="113" t="s">
        <v>598</v>
      </c>
    </row>
    <row r="15" spans="1:12" s="79" customFormat="1" ht="15" customHeight="1">
      <c r="A15" s="537"/>
      <c r="B15" s="22" t="s">
        <v>2885</v>
      </c>
      <c r="C15" s="31" t="s">
        <v>2884</v>
      </c>
      <c r="D15" s="31" t="s">
        <v>599</v>
      </c>
      <c r="E15" s="32" t="s">
        <v>299</v>
      </c>
      <c r="F15" s="438" t="s">
        <v>2793</v>
      </c>
      <c r="G15" s="438" t="s">
        <v>2793</v>
      </c>
      <c r="H15" s="32" t="s">
        <v>2883</v>
      </c>
      <c r="I15" s="32" t="s">
        <v>310</v>
      </c>
      <c r="J15" s="32" t="s">
        <v>302</v>
      </c>
      <c r="K15" s="32" t="s">
        <v>319</v>
      </c>
      <c r="L15" s="22"/>
    </row>
    <row r="16" spans="1:12" ht="24">
      <c r="A16" s="538" t="s">
        <v>3145</v>
      </c>
      <c r="B16" s="22" t="s">
        <v>3147</v>
      </c>
      <c r="C16" s="86" t="s">
        <v>2771</v>
      </c>
      <c r="D16" s="86" t="s">
        <v>2772</v>
      </c>
      <c r="E16" s="98" t="s">
        <v>1858</v>
      </c>
      <c r="F16" s="438" t="s">
        <v>3340</v>
      </c>
      <c r="G16" s="438" t="s">
        <v>3341</v>
      </c>
      <c r="H16" s="98" t="s">
        <v>2405</v>
      </c>
      <c r="I16" s="258" t="s">
        <v>3143</v>
      </c>
      <c r="J16" s="86" t="s">
        <v>2772</v>
      </c>
      <c r="K16" s="97" t="s">
        <v>3144</v>
      </c>
      <c r="L16" s="255" t="s">
        <v>2773</v>
      </c>
    </row>
    <row r="17" spans="1:12" ht="48">
      <c r="A17" s="539"/>
      <c r="B17" s="22" t="s">
        <v>4115</v>
      </c>
      <c r="C17" s="255" t="s">
        <v>652</v>
      </c>
      <c r="D17" s="255" t="s">
        <v>2515</v>
      </c>
      <c r="E17" s="98" t="s">
        <v>299</v>
      </c>
      <c r="F17" s="438" t="s">
        <v>3340</v>
      </c>
      <c r="G17" s="438" t="s">
        <v>3342</v>
      </c>
      <c r="H17" s="98" t="s">
        <v>24</v>
      </c>
      <c r="I17" s="98" t="s">
        <v>2558</v>
      </c>
      <c r="J17" s="97" t="s">
        <v>2516</v>
      </c>
      <c r="K17" s="61" t="s">
        <v>2557</v>
      </c>
      <c r="L17" s="255" t="s">
        <v>2556</v>
      </c>
    </row>
    <row r="18" spans="1:12">
      <c r="A18" s="539"/>
      <c r="B18" s="22" t="s">
        <v>3148</v>
      </c>
      <c r="C18" s="255" t="s">
        <v>653</v>
      </c>
      <c r="D18" s="255" t="s">
        <v>654</v>
      </c>
      <c r="E18" s="98" t="s">
        <v>299</v>
      </c>
      <c r="F18" s="465" t="s">
        <v>3638</v>
      </c>
      <c r="G18" s="465" t="s">
        <v>3639</v>
      </c>
      <c r="H18" s="98" t="s">
        <v>3611</v>
      </c>
      <c r="I18" s="98" t="s">
        <v>655</v>
      </c>
      <c r="J18" s="97" t="s">
        <v>654</v>
      </c>
      <c r="K18" s="61" t="s">
        <v>393</v>
      </c>
      <c r="L18" s="388"/>
    </row>
    <row r="19" spans="1:12" s="97" customFormat="1" ht="24">
      <c r="A19" s="516"/>
      <c r="B19" s="97" t="s">
        <v>3628</v>
      </c>
      <c r="C19" s="97" t="s">
        <v>3630</v>
      </c>
      <c r="D19" s="97" t="s">
        <v>3635</v>
      </c>
      <c r="E19" s="98" t="s">
        <v>3631</v>
      </c>
      <c r="F19" s="98" t="s">
        <v>3632</v>
      </c>
      <c r="G19" s="98" t="s">
        <v>3615</v>
      </c>
      <c r="H19" s="98" t="s">
        <v>3611</v>
      </c>
      <c r="I19" s="98" t="s">
        <v>3633</v>
      </c>
      <c r="J19" s="97" t="s">
        <v>3634</v>
      </c>
      <c r="K19" s="97" t="s">
        <v>4185</v>
      </c>
    </row>
  </sheetData>
  <mergeCells count="3">
    <mergeCell ref="A2:A9"/>
    <mergeCell ref="A10:A15"/>
    <mergeCell ref="A16:A19"/>
  </mergeCells>
  <phoneticPr fontId="53" type="noConversion"/>
  <pageMargins left="0.69930555555555596" right="0.69930555555555596"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dimension ref="A1:AC38"/>
  <sheetViews>
    <sheetView zoomScale="85" zoomScaleNormal="85" workbookViewId="0">
      <pane xSplit="1" ySplit="1" topLeftCell="B2" activePane="bottomRight" state="frozen"/>
      <selection pane="topRight"/>
      <selection pane="bottomLeft"/>
      <selection pane="bottomRight" sqref="A1:XFD1048576"/>
    </sheetView>
  </sheetViews>
  <sheetFormatPr defaultColWidth="9" defaultRowHeight="14"/>
  <cols>
    <col min="1" max="1" width="10.6328125" style="83" customWidth="1"/>
    <col min="2" max="2" width="95.453125" style="83" customWidth="1"/>
    <col min="3" max="3" width="24.90625" style="83" customWidth="1"/>
    <col min="4" max="4" width="23" style="247" customWidth="1"/>
    <col min="5" max="5" width="10.36328125" style="83" customWidth="1"/>
    <col min="6" max="6" width="13.08984375" style="80" customWidth="1"/>
    <col min="7" max="7" width="18.26953125" style="80" customWidth="1"/>
    <col min="8" max="8" width="15.36328125" style="80" customWidth="1"/>
    <col min="9" max="9" width="17.26953125" style="80" customWidth="1"/>
    <col min="10" max="10" width="54.6328125" style="83" customWidth="1"/>
    <col min="11" max="11" width="13" style="83" customWidth="1"/>
    <col min="12" max="12" width="39.36328125" style="83" customWidth="1"/>
    <col min="13" max="13" width="15.6328125" style="83" customWidth="1"/>
    <col min="14" max="16384" width="9" style="83"/>
  </cols>
  <sheetData>
    <row r="1" spans="1:12" s="105" customFormat="1" ht="13">
      <c r="A1" s="107" t="s">
        <v>287</v>
      </c>
      <c r="B1" s="107" t="s">
        <v>288</v>
      </c>
      <c r="C1" s="108" t="s">
        <v>289</v>
      </c>
      <c r="D1" s="108" t="s">
        <v>3</v>
      </c>
      <c r="E1" s="107" t="s">
        <v>291</v>
      </c>
      <c r="F1" s="109" t="s">
        <v>1578</v>
      </c>
      <c r="G1" s="107" t="s">
        <v>293</v>
      </c>
      <c r="H1" s="107" t="s">
        <v>8</v>
      </c>
      <c r="I1" s="107" t="s">
        <v>6</v>
      </c>
      <c r="J1" s="107" t="s">
        <v>294</v>
      </c>
      <c r="K1" s="109" t="s">
        <v>241</v>
      </c>
      <c r="L1" s="109" t="s">
        <v>295</v>
      </c>
    </row>
    <row r="2" spans="1:12" s="236" customFormat="1" ht="13">
      <c r="A2" s="540" t="s">
        <v>278</v>
      </c>
      <c r="B2" s="8" t="s">
        <v>1579</v>
      </c>
      <c r="C2" s="8" t="s">
        <v>1580</v>
      </c>
      <c r="D2" s="237" t="s">
        <v>1581</v>
      </c>
      <c r="E2" s="233" t="s">
        <v>1844</v>
      </c>
      <c r="F2" s="436" t="s">
        <v>3343</v>
      </c>
      <c r="G2" s="436" t="s">
        <v>302</v>
      </c>
      <c r="H2" s="448" t="s">
        <v>24</v>
      </c>
      <c r="I2" s="234" t="s">
        <v>350</v>
      </c>
      <c r="J2" s="8" t="s">
        <v>1582</v>
      </c>
      <c r="K2" s="541" t="s">
        <v>319</v>
      </c>
      <c r="L2" s="235"/>
    </row>
    <row r="3" spans="1:12" s="236" customFormat="1" ht="48">
      <c r="A3" s="540"/>
      <c r="B3" s="8" t="s">
        <v>1583</v>
      </c>
      <c r="C3" s="8" t="s">
        <v>1584</v>
      </c>
      <c r="D3" s="237" t="s">
        <v>1585</v>
      </c>
      <c r="E3" s="233" t="s">
        <v>1844</v>
      </c>
      <c r="F3" s="436" t="s">
        <v>3343</v>
      </c>
      <c r="G3" s="436" t="s">
        <v>302</v>
      </c>
      <c r="H3" s="448" t="s">
        <v>24</v>
      </c>
      <c r="I3" s="234" t="s">
        <v>350</v>
      </c>
      <c r="J3" s="8" t="s">
        <v>1586</v>
      </c>
      <c r="K3" s="541"/>
      <c r="L3" s="235"/>
    </row>
    <row r="4" spans="1:12" s="236" customFormat="1" ht="13">
      <c r="A4" s="540"/>
      <c r="B4" s="8" t="s">
        <v>3415</v>
      </c>
      <c r="C4" s="8" t="s">
        <v>2787</v>
      </c>
      <c r="D4" s="237" t="s">
        <v>3291</v>
      </c>
      <c r="E4" s="452" t="s">
        <v>1864</v>
      </c>
      <c r="F4" s="452" t="s">
        <v>3343</v>
      </c>
      <c r="G4" s="452" t="s">
        <v>302</v>
      </c>
      <c r="H4" s="452" t="s">
        <v>24</v>
      </c>
      <c r="I4" s="234" t="s">
        <v>71</v>
      </c>
      <c r="J4" s="8" t="s">
        <v>3292</v>
      </c>
      <c r="K4" s="541"/>
      <c r="L4" s="235" t="s">
        <v>3427</v>
      </c>
    </row>
    <row r="5" spans="1:12" s="236" customFormat="1" ht="13">
      <c r="A5" s="540"/>
      <c r="B5" s="8" t="s">
        <v>1587</v>
      </c>
      <c r="C5" s="8" t="s">
        <v>1588</v>
      </c>
      <c r="D5" s="237" t="s">
        <v>3412</v>
      </c>
      <c r="E5" s="452" t="s">
        <v>1844</v>
      </c>
      <c r="F5" s="452" t="s">
        <v>3343</v>
      </c>
      <c r="G5" s="452" t="s">
        <v>302</v>
      </c>
      <c r="H5" s="452" t="s">
        <v>24</v>
      </c>
      <c r="I5" s="234" t="s">
        <v>71</v>
      </c>
      <c r="J5" s="8" t="s">
        <v>1589</v>
      </c>
      <c r="K5" s="541"/>
      <c r="L5" s="235"/>
    </row>
    <row r="6" spans="1:12" s="236" customFormat="1" ht="13">
      <c r="A6" s="540"/>
      <c r="B6" s="8" t="s">
        <v>2742</v>
      </c>
      <c r="C6" s="8" t="s">
        <v>1590</v>
      </c>
      <c r="D6" s="237" t="s">
        <v>2519</v>
      </c>
      <c r="E6" s="452" t="s">
        <v>1844</v>
      </c>
      <c r="F6" s="452" t="s">
        <v>3343</v>
      </c>
      <c r="G6" s="452" t="s">
        <v>302</v>
      </c>
      <c r="H6" s="452" t="s">
        <v>24</v>
      </c>
      <c r="I6" s="234" t="s">
        <v>28</v>
      </c>
      <c r="J6" s="8" t="s">
        <v>1591</v>
      </c>
      <c r="K6" s="541"/>
      <c r="L6" s="235"/>
    </row>
    <row r="7" spans="1:12" s="236" customFormat="1" ht="13">
      <c r="A7" s="540"/>
      <c r="B7" s="8" t="s">
        <v>3492</v>
      </c>
      <c r="C7" s="8" t="s">
        <v>1592</v>
      </c>
      <c r="D7" s="237" t="s">
        <v>1593</v>
      </c>
      <c r="E7" s="452" t="s">
        <v>1844</v>
      </c>
      <c r="F7" s="452" t="s">
        <v>3343</v>
      </c>
      <c r="G7" s="452" t="s">
        <v>302</v>
      </c>
      <c r="H7" s="452" t="s">
        <v>24</v>
      </c>
      <c r="I7" s="234" t="s">
        <v>310</v>
      </c>
      <c r="J7" s="8" t="s">
        <v>3493</v>
      </c>
      <c r="K7" s="541"/>
      <c r="L7" s="235"/>
    </row>
    <row r="8" spans="1:12" s="236" customFormat="1" ht="13">
      <c r="A8" s="540"/>
      <c r="B8" s="8" t="s">
        <v>1594</v>
      </c>
      <c r="C8" s="8" t="s">
        <v>1595</v>
      </c>
      <c r="D8" s="237" t="s">
        <v>1596</v>
      </c>
      <c r="E8" s="452" t="s">
        <v>1844</v>
      </c>
      <c r="F8" s="452" t="s">
        <v>3343</v>
      </c>
      <c r="G8" s="452" t="s">
        <v>302</v>
      </c>
      <c r="H8" s="452" t="s">
        <v>24</v>
      </c>
      <c r="I8" s="234" t="s">
        <v>310</v>
      </c>
      <c r="J8" s="8" t="s">
        <v>1596</v>
      </c>
      <c r="K8" s="541"/>
      <c r="L8" s="235"/>
    </row>
    <row r="9" spans="1:12" s="236" customFormat="1" ht="13">
      <c r="A9" s="540"/>
      <c r="B9" s="8" t="s">
        <v>3416</v>
      </c>
      <c r="C9" s="8" t="s">
        <v>3418</v>
      </c>
      <c r="D9" s="237" t="s">
        <v>2520</v>
      </c>
      <c r="E9" s="452" t="s">
        <v>1858</v>
      </c>
      <c r="F9" s="452" t="s">
        <v>3343</v>
      </c>
      <c r="G9" s="452" t="s">
        <v>302</v>
      </c>
      <c r="H9" s="452" t="s">
        <v>24</v>
      </c>
      <c r="I9" s="234" t="s">
        <v>71</v>
      </c>
      <c r="J9" s="8" t="s">
        <v>1597</v>
      </c>
      <c r="K9" s="541"/>
      <c r="L9" s="235" t="s">
        <v>3427</v>
      </c>
    </row>
    <row r="10" spans="1:12" s="236" customFormat="1" ht="13">
      <c r="A10" s="540"/>
      <c r="B10" s="8" t="s">
        <v>3417</v>
      </c>
      <c r="C10" s="8" t="s">
        <v>3419</v>
      </c>
      <c r="D10" s="237" t="s">
        <v>1598</v>
      </c>
      <c r="E10" s="452" t="s">
        <v>1858</v>
      </c>
      <c r="F10" s="452" t="s">
        <v>3343</v>
      </c>
      <c r="G10" s="452" t="s">
        <v>302</v>
      </c>
      <c r="H10" s="452" t="s">
        <v>24</v>
      </c>
      <c r="I10" s="234" t="s">
        <v>71</v>
      </c>
      <c r="J10" s="8" t="s">
        <v>1599</v>
      </c>
      <c r="K10" s="541"/>
      <c r="L10" s="235" t="s">
        <v>3427</v>
      </c>
    </row>
    <row r="11" spans="1:12" s="236" customFormat="1" ht="13">
      <c r="A11" s="540"/>
      <c r="B11" s="8" t="s">
        <v>3496</v>
      </c>
      <c r="C11" s="8" t="s">
        <v>3497</v>
      </c>
      <c r="D11" s="392" t="s">
        <v>3424</v>
      </c>
      <c r="E11" s="455" t="s">
        <v>1858</v>
      </c>
      <c r="F11" s="454"/>
      <c r="G11" s="454"/>
      <c r="H11" s="455" t="s">
        <v>3425</v>
      </c>
      <c r="I11" s="455" t="s">
        <v>3498</v>
      </c>
      <c r="J11" s="70" t="s">
        <v>3499</v>
      </c>
      <c r="K11" s="541"/>
      <c r="L11" s="235" t="s">
        <v>3427</v>
      </c>
    </row>
    <row r="12" spans="1:12" s="236" customFormat="1" ht="13">
      <c r="A12" s="540"/>
      <c r="B12" s="8" t="s">
        <v>3486</v>
      </c>
      <c r="C12" s="8" t="s">
        <v>3420</v>
      </c>
      <c r="D12" s="237" t="s">
        <v>1600</v>
      </c>
      <c r="E12" s="452" t="s">
        <v>1858</v>
      </c>
      <c r="F12" s="452" t="s">
        <v>3343</v>
      </c>
      <c r="G12" s="452" t="s">
        <v>302</v>
      </c>
      <c r="H12" s="452" t="s">
        <v>24</v>
      </c>
      <c r="I12" s="234" t="s">
        <v>71</v>
      </c>
      <c r="J12" s="8" t="s">
        <v>3428</v>
      </c>
      <c r="K12" s="541"/>
      <c r="L12" s="235" t="s">
        <v>3427</v>
      </c>
    </row>
    <row r="13" spans="1:12" s="236" customFormat="1" ht="13">
      <c r="A13" s="540"/>
      <c r="B13" s="8" t="s">
        <v>3470</v>
      </c>
      <c r="C13" s="8" t="s">
        <v>3421</v>
      </c>
      <c r="D13" s="237" t="s">
        <v>3413</v>
      </c>
      <c r="E13" s="452" t="s">
        <v>1858</v>
      </c>
      <c r="F13" s="452" t="s">
        <v>2870</v>
      </c>
      <c r="G13" s="452" t="s">
        <v>302</v>
      </c>
      <c r="H13" s="452" t="s">
        <v>24</v>
      </c>
      <c r="I13" s="234" t="s">
        <v>71</v>
      </c>
      <c r="J13" s="8" t="s">
        <v>3414</v>
      </c>
      <c r="K13" s="541"/>
      <c r="L13" s="235" t="s">
        <v>3427</v>
      </c>
    </row>
    <row r="14" spans="1:12" s="236" customFormat="1" ht="24">
      <c r="A14" s="540"/>
      <c r="B14" s="8" t="s">
        <v>3490</v>
      </c>
      <c r="C14" s="8" t="s">
        <v>3491</v>
      </c>
      <c r="D14" s="237" t="s">
        <v>3426</v>
      </c>
      <c r="E14" s="452" t="s">
        <v>1858</v>
      </c>
      <c r="F14" s="452" t="s">
        <v>2390</v>
      </c>
      <c r="G14" s="452" t="s">
        <v>302</v>
      </c>
      <c r="H14" s="452" t="s">
        <v>24</v>
      </c>
      <c r="I14" s="234" t="s">
        <v>71</v>
      </c>
      <c r="J14" s="8" t="s">
        <v>3429</v>
      </c>
      <c r="K14" s="541"/>
      <c r="L14" s="235" t="s">
        <v>3427</v>
      </c>
    </row>
    <row r="15" spans="1:12" s="236" customFormat="1" ht="13">
      <c r="A15" s="540"/>
      <c r="B15" s="8" t="s">
        <v>3507</v>
      </c>
      <c r="C15" s="8" t="s">
        <v>3502</v>
      </c>
      <c r="D15" s="237" t="s">
        <v>3472</v>
      </c>
      <c r="E15" s="452" t="s">
        <v>1858</v>
      </c>
      <c r="F15" s="452" t="s">
        <v>2390</v>
      </c>
      <c r="G15" s="452" t="s">
        <v>302</v>
      </c>
      <c r="H15" s="452" t="s">
        <v>24</v>
      </c>
      <c r="I15" s="392" t="s">
        <v>806</v>
      </c>
      <c r="J15" s="70" t="s">
        <v>3506</v>
      </c>
      <c r="K15" s="541"/>
      <c r="L15" s="235" t="s">
        <v>3427</v>
      </c>
    </row>
    <row r="16" spans="1:12" s="236" customFormat="1" ht="13">
      <c r="A16" s="540"/>
      <c r="B16" s="8" t="s">
        <v>3504</v>
      </c>
      <c r="C16" s="8" t="s">
        <v>3505</v>
      </c>
      <c r="D16" s="237" t="s">
        <v>3471</v>
      </c>
      <c r="E16" s="452" t="s">
        <v>1858</v>
      </c>
      <c r="F16" s="452" t="s">
        <v>2390</v>
      </c>
      <c r="G16" s="452" t="s">
        <v>302</v>
      </c>
      <c r="H16" s="452" t="s">
        <v>24</v>
      </c>
      <c r="I16" s="392" t="s">
        <v>806</v>
      </c>
      <c r="J16" s="70" t="s">
        <v>3503</v>
      </c>
      <c r="K16" s="541"/>
      <c r="L16" s="235" t="s">
        <v>3427</v>
      </c>
    </row>
    <row r="17" spans="1:29" s="236" customFormat="1" ht="16" customHeight="1">
      <c r="A17" s="540"/>
      <c r="B17" s="8" t="s">
        <v>3430</v>
      </c>
      <c r="C17" s="8" t="s">
        <v>3431</v>
      </c>
      <c r="D17" s="237" t="s">
        <v>3432</v>
      </c>
      <c r="E17" s="452" t="s">
        <v>1858</v>
      </c>
      <c r="F17" s="452" t="s">
        <v>2390</v>
      </c>
      <c r="G17" s="452" t="s">
        <v>302</v>
      </c>
      <c r="H17" s="452" t="s">
        <v>24</v>
      </c>
      <c r="I17" s="234" t="s">
        <v>3447</v>
      </c>
      <c r="J17" s="8" t="s">
        <v>3434</v>
      </c>
      <c r="K17" s="541"/>
      <c r="L17" s="235" t="s">
        <v>3427</v>
      </c>
    </row>
    <row r="18" spans="1:29" s="236" customFormat="1" ht="13">
      <c r="A18" s="540"/>
      <c r="B18" s="8" t="s">
        <v>3422</v>
      </c>
      <c r="C18" s="8" t="s">
        <v>3435</v>
      </c>
      <c r="D18" s="237" t="s">
        <v>3442</v>
      </c>
      <c r="E18" s="452" t="s">
        <v>1858</v>
      </c>
      <c r="F18" s="452" t="s">
        <v>2390</v>
      </c>
      <c r="G18" s="452" t="s">
        <v>302</v>
      </c>
      <c r="H18" s="452" t="s">
        <v>24</v>
      </c>
      <c r="I18" s="234" t="s">
        <v>71</v>
      </c>
      <c r="J18" s="8" t="s">
        <v>3479</v>
      </c>
      <c r="K18" s="541"/>
      <c r="L18" s="235" t="s">
        <v>3452</v>
      </c>
    </row>
    <row r="19" spans="1:29" s="236" customFormat="1" ht="24">
      <c r="A19" s="540"/>
      <c r="B19" s="8" t="s">
        <v>3480</v>
      </c>
      <c r="C19" s="8" t="s">
        <v>3481</v>
      </c>
      <c r="D19" s="237" t="s">
        <v>3454</v>
      </c>
      <c r="E19" s="452" t="s">
        <v>1858</v>
      </c>
      <c r="F19" s="452" t="s">
        <v>3455</v>
      </c>
      <c r="G19" s="452" t="s">
        <v>3455</v>
      </c>
      <c r="H19" s="452" t="s">
        <v>3425</v>
      </c>
      <c r="I19" s="234" t="s">
        <v>3433</v>
      </c>
      <c r="J19" s="8" t="s">
        <v>3456</v>
      </c>
      <c r="K19" s="541"/>
      <c r="L19" s="235" t="s">
        <v>3452</v>
      </c>
    </row>
    <row r="20" spans="1:29" s="236" customFormat="1" ht="36">
      <c r="A20" s="540"/>
      <c r="B20" s="8" t="s">
        <v>3482</v>
      </c>
      <c r="C20" s="8" t="s">
        <v>3483</v>
      </c>
      <c r="D20" s="237" t="s">
        <v>3457</v>
      </c>
      <c r="E20" s="452" t="s">
        <v>1858</v>
      </c>
      <c r="F20" s="452" t="s">
        <v>3455</v>
      </c>
      <c r="G20" s="452" t="s">
        <v>3455</v>
      </c>
      <c r="H20" s="452" t="s">
        <v>24</v>
      </c>
      <c r="I20" s="234" t="s">
        <v>3484</v>
      </c>
      <c r="J20" s="8" t="s">
        <v>3485</v>
      </c>
      <c r="K20" s="541"/>
      <c r="L20" s="235" t="s">
        <v>3452</v>
      </c>
    </row>
    <row r="21" spans="1:29" s="236" customFormat="1" ht="13">
      <c r="A21" s="540"/>
      <c r="B21" s="8" t="s">
        <v>3436</v>
      </c>
      <c r="C21" s="8" t="s">
        <v>3437</v>
      </c>
      <c r="D21" s="237" t="s">
        <v>3443</v>
      </c>
      <c r="E21" s="452" t="s">
        <v>1858</v>
      </c>
      <c r="F21" s="452" t="s">
        <v>2390</v>
      </c>
      <c r="G21" s="452" t="s">
        <v>302</v>
      </c>
      <c r="H21" s="452" t="s">
        <v>24</v>
      </c>
      <c r="I21" s="234" t="s">
        <v>71</v>
      </c>
      <c r="J21" s="8" t="s">
        <v>3446</v>
      </c>
      <c r="K21" s="541"/>
      <c r="L21" s="235" t="s">
        <v>3427</v>
      </c>
    </row>
    <row r="22" spans="1:29" s="236" customFormat="1" ht="13">
      <c r="A22" s="540"/>
      <c r="B22" s="8" t="s">
        <v>3438</v>
      </c>
      <c r="C22" s="8" t="s">
        <v>3439</v>
      </c>
      <c r="D22" s="237" t="s">
        <v>3444</v>
      </c>
      <c r="E22" s="452" t="s">
        <v>1858</v>
      </c>
      <c r="F22" s="452" t="s">
        <v>2390</v>
      </c>
      <c r="G22" s="452" t="s">
        <v>302</v>
      </c>
      <c r="H22" s="452" t="s">
        <v>24</v>
      </c>
      <c r="I22" s="234" t="s">
        <v>3433</v>
      </c>
      <c r="J22" s="8" t="s">
        <v>3448</v>
      </c>
      <c r="K22" s="541"/>
      <c r="L22" s="235" t="s">
        <v>3427</v>
      </c>
    </row>
    <row r="23" spans="1:29" s="236" customFormat="1" ht="14" customHeight="1">
      <c r="A23" s="540"/>
      <c r="B23" s="8" t="s">
        <v>3440</v>
      </c>
      <c r="C23" s="8" t="s">
        <v>3441</v>
      </c>
      <c r="D23" s="237" t="s">
        <v>3445</v>
      </c>
      <c r="E23" s="452" t="s">
        <v>1858</v>
      </c>
      <c r="F23" s="452" t="s">
        <v>2390</v>
      </c>
      <c r="G23" s="452" t="s">
        <v>302</v>
      </c>
      <c r="H23" s="452" t="s">
        <v>24</v>
      </c>
      <c r="I23" s="234" t="s">
        <v>3433</v>
      </c>
      <c r="J23" s="8" t="s">
        <v>3449</v>
      </c>
      <c r="K23" s="541"/>
      <c r="L23" s="235" t="s">
        <v>3427</v>
      </c>
    </row>
    <row r="24" spans="1:29" s="236" customFormat="1" ht="13">
      <c r="A24" s="540"/>
      <c r="B24" s="8" t="s">
        <v>1601</v>
      </c>
      <c r="C24" s="237" t="s">
        <v>1602</v>
      </c>
      <c r="D24" s="237" t="s">
        <v>1603</v>
      </c>
      <c r="E24" s="446" t="s">
        <v>1841</v>
      </c>
      <c r="F24" s="436" t="s">
        <v>3343</v>
      </c>
      <c r="G24" s="436" t="s">
        <v>302</v>
      </c>
      <c r="H24" s="448" t="s">
        <v>24</v>
      </c>
      <c r="I24" s="234" t="s">
        <v>71</v>
      </c>
      <c r="J24" s="8" t="s">
        <v>1604</v>
      </c>
      <c r="K24" s="541"/>
      <c r="L24" s="235" t="s">
        <v>3602</v>
      </c>
    </row>
    <row r="25" spans="1:29" s="236" customFormat="1" ht="13">
      <c r="A25" s="540"/>
      <c r="B25" s="8" t="s">
        <v>1605</v>
      </c>
      <c r="C25" s="8" t="s">
        <v>1606</v>
      </c>
      <c r="D25" s="237" t="s">
        <v>1607</v>
      </c>
      <c r="E25" s="233" t="s">
        <v>1844</v>
      </c>
      <c r="F25" s="436" t="s">
        <v>3343</v>
      </c>
      <c r="G25" s="436" t="s">
        <v>302</v>
      </c>
      <c r="H25" s="448" t="s">
        <v>24</v>
      </c>
      <c r="I25" s="234" t="s">
        <v>28</v>
      </c>
      <c r="J25" s="8" t="s">
        <v>1607</v>
      </c>
      <c r="K25" s="541"/>
      <c r="L25" s="235"/>
    </row>
    <row r="26" spans="1:29" s="236" customFormat="1" ht="13">
      <c r="A26" s="540"/>
      <c r="B26" s="8" t="s">
        <v>1608</v>
      </c>
      <c r="C26" s="8" t="s">
        <v>1609</v>
      </c>
      <c r="D26" s="237" t="s">
        <v>1610</v>
      </c>
      <c r="E26" s="233" t="s">
        <v>1844</v>
      </c>
      <c r="F26" s="436" t="s">
        <v>3343</v>
      </c>
      <c r="G26" s="436" t="s">
        <v>302</v>
      </c>
      <c r="H26" s="448" t="s">
        <v>24</v>
      </c>
      <c r="I26" s="234" t="s">
        <v>28</v>
      </c>
      <c r="J26" s="8" t="s">
        <v>1610</v>
      </c>
      <c r="K26" s="541"/>
      <c r="L26" s="235"/>
    </row>
    <row r="27" spans="1:29" s="238" customFormat="1" ht="24">
      <c r="A27" s="540"/>
      <c r="B27" s="8" t="s">
        <v>1611</v>
      </c>
      <c r="C27" s="8" t="s">
        <v>1612</v>
      </c>
      <c r="D27" s="237" t="s">
        <v>1613</v>
      </c>
      <c r="E27" s="233" t="s">
        <v>1844</v>
      </c>
      <c r="F27" s="436" t="s">
        <v>3343</v>
      </c>
      <c r="G27" s="436" t="s">
        <v>302</v>
      </c>
      <c r="H27" s="448" t="s">
        <v>24</v>
      </c>
      <c r="I27" s="234" t="s">
        <v>71</v>
      </c>
      <c r="J27" s="8" t="s">
        <v>1614</v>
      </c>
      <c r="K27" s="541"/>
      <c r="L27" s="235"/>
    </row>
    <row r="28" spans="1:29" s="238" customFormat="1" ht="13">
      <c r="A28" s="540"/>
      <c r="B28" s="8" t="s">
        <v>1615</v>
      </c>
      <c r="C28" s="8" t="s">
        <v>1616</v>
      </c>
      <c r="D28" s="237" t="s">
        <v>1617</v>
      </c>
      <c r="E28" s="233" t="s">
        <v>1844</v>
      </c>
      <c r="F28" s="436" t="s">
        <v>3343</v>
      </c>
      <c r="G28" s="436" t="s">
        <v>302</v>
      </c>
      <c r="H28" s="448" t="s">
        <v>24</v>
      </c>
      <c r="I28" s="234" t="s">
        <v>71</v>
      </c>
      <c r="J28" s="8" t="s">
        <v>1618</v>
      </c>
      <c r="K28" s="541"/>
      <c r="L28" s="235"/>
    </row>
    <row r="29" spans="1:29" s="239" customFormat="1" ht="24">
      <c r="A29" s="540"/>
      <c r="B29" s="8" t="s">
        <v>1619</v>
      </c>
      <c r="C29" s="8" t="s">
        <v>1620</v>
      </c>
      <c r="D29" s="237" t="s">
        <v>1621</v>
      </c>
      <c r="E29" s="233" t="s">
        <v>1844</v>
      </c>
      <c r="F29" s="436" t="s">
        <v>3343</v>
      </c>
      <c r="G29" s="436" t="s">
        <v>302</v>
      </c>
      <c r="H29" s="448" t="s">
        <v>24</v>
      </c>
      <c r="I29" s="234" t="s">
        <v>310</v>
      </c>
      <c r="J29" s="8" t="s">
        <v>1622</v>
      </c>
      <c r="K29" s="541"/>
      <c r="L29" s="235"/>
      <c r="M29" s="238"/>
      <c r="N29" s="238"/>
      <c r="O29" s="238"/>
      <c r="P29" s="238"/>
      <c r="Q29" s="238"/>
      <c r="R29" s="238"/>
      <c r="S29" s="238"/>
      <c r="T29" s="238"/>
      <c r="U29" s="238"/>
      <c r="V29" s="238"/>
      <c r="W29" s="238"/>
      <c r="X29" s="238"/>
      <c r="Y29" s="238"/>
      <c r="Z29" s="238"/>
      <c r="AA29" s="238"/>
      <c r="AB29" s="238"/>
      <c r="AC29" s="238"/>
    </row>
    <row r="30" spans="1:29" s="239" customFormat="1" ht="24">
      <c r="A30" s="540"/>
      <c r="B30" s="8" t="s">
        <v>2741</v>
      </c>
      <c r="C30" s="8" t="s">
        <v>1623</v>
      </c>
      <c r="D30" s="237" t="s">
        <v>1624</v>
      </c>
      <c r="E30" s="233" t="s">
        <v>1844</v>
      </c>
      <c r="F30" s="436" t="s">
        <v>3343</v>
      </c>
      <c r="G30" s="436" t="s">
        <v>302</v>
      </c>
      <c r="H30" s="448" t="s">
        <v>24</v>
      </c>
      <c r="I30" s="234" t="s">
        <v>310</v>
      </c>
      <c r="J30" s="8" t="s">
        <v>3494</v>
      </c>
      <c r="K30" s="541"/>
      <c r="L30" s="235" t="s">
        <v>3602</v>
      </c>
      <c r="M30" s="238"/>
      <c r="N30" s="238"/>
      <c r="O30" s="238"/>
      <c r="P30" s="238"/>
      <c r="Q30" s="238"/>
      <c r="R30" s="238"/>
      <c r="S30" s="238"/>
      <c r="T30" s="238"/>
      <c r="U30" s="238"/>
      <c r="V30" s="238"/>
      <c r="W30" s="238"/>
      <c r="X30" s="238"/>
      <c r="Y30" s="238"/>
      <c r="Z30" s="238"/>
      <c r="AA30" s="238"/>
      <c r="AB30" s="238"/>
      <c r="AC30" s="238"/>
    </row>
    <row r="31" spans="1:29" s="236" customFormat="1" ht="24">
      <c r="A31" s="540"/>
      <c r="B31" s="8" t="s">
        <v>1625</v>
      </c>
      <c r="C31" s="8" t="s">
        <v>1626</v>
      </c>
      <c r="D31" s="237" t="s">
        <v>1627</v>
      </c>
      <c r="E31" s="233" t="s">
        <v>1844</v>
      </c>
      <c r="F31" s="436" t="s">
        <v>3343</v>
      </c>
      <c r="G31" s="436" t="s">
        <v>302</v>
      </c>
      <c r="H31" s="448" t="s">
        <v>24</v>
      </c>
      <c r="I31" s="234" t="s">
        <v>310</v>
      </c>
      <c r="J31" s="8" t="s">
        <v>3495</v>
      </c>
      <c r="K31" s="541"/>
      <c r="L31" s="235"/>
    </row>
    <row r="32" spans="1:29" s="236" customFormat="1" ht="24">
      <c r="A32" s="540"/>
      <c r="B32" s="8" t="s">
        <v>1628</v>
      </c>
      <c r="C32" s="8" t="s">
        <v>1629</v>
      </c>
      <c r="D32" s="237" t="s">
        <v>1630</v>
      </c>
      <c r="E32" s="233" t="s">
        <v>1844</v>
      </c>
      <c r="F32" s="436" t="s">
        <v>3343</v>
      </c>
      <c r="G32" s="436" t="s">
        <v>302</v>
      </c>
      <c r="H32" s="448" t="s">
        <v>24</v>
      </c>
      <c r="I32" s="234" t="s">
        <v>310</v>
      </c>
      <c r="J32" s="8" t="s">
        <v>1631</v>
      </c>
      <c r="K32" s="541"/>
      <c r="L32" s="235" t="s">
        <v>3602</v>
      </c>
    </row>
    <row r="33" spans="1:12" s="3" customFormat="1">
      <c r="A33" s="540"/>
      <c r="B33" s="8" t="s">
        <v>3300</v>
      </c>
      <c r="C33" s="8" t="s">
        <v>1632</v>
      </c>
      <c r="D33" s="237" t="s">
        <v>1633</v>
      </c>
      <c r="E33" s="233" t="s">
        <v>1844</v>
      </c>
      <c r="F33" s="436" t="s">
        <v>3343</v>
      </c>
      <c r="G33" s="436" t="s">
        <v>302</v>
      </c>
      <c r="H33" s="448" t="s">
        <v>24</v>
      </c>
      <c r="I33" s="448" t="s">
        <v>71</v>
      </c>
      <c r="J33" s="8" t="s">
        <v>1633</v>
      </c>
      <c r="K33" s="541"/>
      <c r="L33" s="235"/>
    </row>
    <row r="34" spans="1:12" s="3" customFormat="1">
      <c r="A34" s="540"/>
      <c r="B34" s="8" t="s">
        <v>1634</v>
      </c>
      <c r="C34" s="8" t="s">
        <v>1635</v>
      </c>
      <c r="D34" s="237" t="s">
        <v>1636</v>
      </c>
      <c r="E34" s="233" t="s">
        <v>1844</v>
      </c>
      <c r="F34" s="436" t="s">
        <v>3343</v>
      </c>
      <c r="G34" s="436" t="s">
        <v>302</v>
      </c>
      <c r="H34" s="448" t="s">
        <v>24</v>
      </c>
      <c r="I34" s="448" t="s">
        <v>71</v>
      </c>
      <c r="J34" s="8" t="s">
        <v>1636</v>
      </c>
      <c r="K34" s="541"/>
      <c r="L34" s="235"/>
    </row>
    <row r="35" spans="1:12" s="3" customFormat="1" ht="60">
      <c r="A35" s="540"/>
      <c r="B35" s="356" t="s">
        <v>2743</v>
      </c>
      <c r="C35" s="207" t="s">
        <v>1637</v>
      </c>
      <c r="D35" s="424" t="s">
        <v>1638</v>
      </c>
      <c r="E35" s="233" t="s">
        <v>1844</v>
      </c>
      <c r="F35" s="436" t="s">
        <v>3343</v>
      </c>
      <c r="G35" s="436" t="s">
        <v>302</v>
      </c>
      <c r="H35" s="449" t="s">
        <v>57</v>
      </c>
      <c r="I35" s="449" t="s">
        <v>310</v>
      </c>
      <c r="J35" s="207" t="s">
        <v>1639</v>
      </c>
      <c r="K35" s="208" t="s">
        <v>393</v>
      </c>
      <c r="L35" s="240"/>
    </row>
    <row r="36" spans="1:12" s="3" customFormat="1" ht="48">
      <c r="A36" s="416" t="s">
        <v>3177</v>
      </c>
      <c r="B36" s="143" t="s">
        <v>3302</v>
      </c>
      <c r="C36" s="143" t="s">
        <v>356</v>
      </c>
      <c r="D36" s="37" t="s">
        <v>3178</v>
      </c>
      <c r="E36" s="413" t="s">
        <v>3192</v>
      </c>
      <c r="F36" s="436" t="s">
        <v>3343</v>
      </c>
      <c r="G36" s="436" t="s">
        <v>302</v>
      </c>
      <c r="H36" s="156" t="s">
        <v>57</v>
      </c>
      <c r="I36" s="156" t="s">
        <v>354</v>
      </c>
      <c r="J36" s="155" t="s">
        <v>3179</v>
      </c>
      <c r="K36" s="409"/>
      <c r="L36" s="417"/>
    </row>
    <row r="37" spans="1:12" ht="24">
      <c r="A37" s="542" t="s">
        <v>3180</v>
      </c>
      <c r="B37" s="143" t="s">
        <v>3301</v>
      </c>
      <c r="C37" s="155" t="s">
        <v>352</v>
      </c>
      <c r="D37" s="37" t="s">
        <v>3181</v>
      </c>
      <c r="E37" s="413" t="s">
        <v>3192</v>
      </c>
      <c r="F37" s="436" t="s">
        <v>3343</v>
      </c>
      <c r="G37" s="436" t="s">
        <v>302</v>
      </c>
      <c r="H37" s="156" t="s">
        <v>57</v>
      </c>
      <c r="I37" s="156" t="s">
        <v>3182</v>
      </c>
      <c r="J37" s="155" t="s">
        <v>3183</v>
      </c>
      <c r="K37" s="271"/>
      <c r="L37" s="271"/>
    </row>
    <row r="38" spans="1:12">
      <c r="A38" s="542"/>
      <c r="B38" s="143" t="s">
        <v>3298</v>
      </c>
      <c r="C38" s="155" t="s">
        <v>3297</v>
      </c>
      <c r="D38" s="37" t="s">
        <v>3184</v>
      </c>
      <c r="E38" s="413" t="s">
        <v>3192</v>
      </c>
      <c r="F38" s="436" t="s">
        <v>3343</v>
      </c>
      <c r="G38" s="436" t="s">
        <v>302</v>
      </c>
      <c r="H38" s="156" t="s">
        <v>57</v>
      </c>
      <c r="I38" s="156" t="s">
        <v>519</v>
      </c>
      <c r="J38" s="155" t="s">
        <v>3185</v>
      </c>
      <c r="K38" s="409"/>
      <c r="L38" s="271"/>
    </row>
  </sheetData>
  <mergeCells count="3">
    <mergeCell ref="A2:A35"/>
    <mergeCell ref="K2:K34"/>
    <mergeCell ref="A37:A38"/>
  </mergeCells>
  <phoneticPr fontId="53" type="noConversion"/>
  <pageMargins left="0.69930555555555596" right="0.69930555555555596"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dimension ref="A1:K38"/>
  <sheetViews>
    <sheetView zoomScale="85" zoomScaleNormal="85" workbookViewId="0">
      <selection activeCell="B19" sqref="A1:K38"/>
    </sheetView>
  </sheetViews>
  <sheetFormatPr defaultColWidth="9" defaultRowHeight="14"/>
  <cols>
    <col min="1" max="1" width="19.453125" style="26" customWidth="1"/>
    <col min="2" max="2" width="102.08984375" style="26" customWidth="1"/>
    <col min="3" max="3" width="13.453125" style="26" customWidth="1"/>
    <col min="4" max="4" width="15.36328125" style="26" customWidth="1"/>
    <col min="5" max="5" width="7.36328125" style="27" customWidth="1"/>
    <col min="6" max="6" width="8.7265625" style="27" customWidth="1"/>
    <col min="7" max="7" width="9.36328125" style="27" customWidth="1"/>
    <col min="8" max="8" width="7.26953125" style="27" customWidth="1"/>
    <col min="9" max="9" width="15.453125" style="27" customWidth="1"/>
    <col min="10" max="10" width="23.08984375" style="28" customWidth="1"/>
    <col min="11" max="11" width="16.90625" style="26" customWidth="1"/>
    <col min="12" max="16384" width="9" style="26"/>
  </cols>
  <sheetData>
    <row r="1" spans="1:11" ht="24">
      <c r="A1" s="15" t="s">
        <v>287</v>
      </c>
      <c r="B1" s="16" t="s">
        <v>288</v>
      </c>
      <c r="C1" s="19" t="s">
        <v>289</v>
      </c>
      <c r="D1" s="16" t="s">
        <v>290</v>
      </c>
      <c r="E1" s="16" t="s">
        <v>291</v>
      </c>
      <c r="F1" s="16" t="s">
        <v>1694</v>
      </c>
      <c r="G1" s="16" t="s">
        <v>293</v>
      </c>
      <c r="H1" s="16" t="s">
        <v>8</v>
      </c>
      <c r="I1" s="16" t="s">
        <v>6</v>
      </c>
      <c r="J1" s="34" t="s">
        <v>294</v>
      </c>
      <c r="K1" s="20" t="s">
        <v>241</v>
      </c>
    </row>
    <row r="2" spans="1:11" s="24" customFormat="1" ht="24">
      <c r="A2" s="414" t="s">
        <v>3127</v>
      </c>
      <c r="B2" s="29" t="s">
        <v>1748</v>
      </c>
      <c r="C2" s="29" t="s">
        <v>675</v>
      </c>
      <c r="D2" s="29" t="s">
        <v>1749</v>
      </c>
      <c r="E2" s="30" t="s">
        <v>3234</v>
      </c>
      <c r="F2" s="30" t="s">
        <v>302</v>
      </c>
      <c r="G2" s="30" t="s">
        <v>302</v>
      </c>
      <c r="H2" s="30" t="s">
        <v>24</v>
      </c>
      <c r="I2" s="30" t="s">
        <v>71</v>
      </c>
      <c r="J2" s="35" t="s">
        <v>385</v>
      </c>
      <c r="K2" s="36"/>
    </row>
    <row r="3" spans="1:11" s="24" customFormat="1" ht="24" customHeight="1">
      <c r="A3" s="546" t="s">
        <v>3128</v>
      </c>
      <c r="B3" s="29" t="s">
        <v>2648</v>
      </c>
      <c r="C3" s="29" t="s">
        <v>675</v>
      </c>
      <c r="D3" s="29" t="s">
        <v>1750</v>
      </c>
      <c r="E3" s="30" t="s">
        <v>3234</v>
      </c>
      <c r="F3" s="30" t="s">
        <v>302</v>
      </c>
      <c r="G3" s="30" t="s">
        <v>302</v>
      </c>
      <c r="H3" s="30" t="s">
        <v>24</v>
      </c>
      <c r="I3" s="30" t="s">
        <v>71</v>
      </c>
      <c r="J3" s="35" t="s">
        <v>385</v>
      </c>
      <c r="K3" s="36"/>
    </row>
    <row r="4" spans="1:11" s="24" customFormat="1" ht="24">
      <c r="A4" s="547"/>
      <c r="B4" s="29" t="s">
        <v>2897</v>
      </c>
      <c r="C4" s="29" t="s">
        <v>2868</v>
      </c>
      <c r="D4" s="29" t="s">
        <v>2869</v>
      </c>
      <c r="E4" s="30" t="s">
        <v>3234</v>
      </c>
      <c r="F4" s="30" t="s">
        <v>2870</v>
      </c>
      <c r="G4" s="30" t="s">
        <v>2870</v>
      </c>
      <c r="H4" s="30" t="s">
        <v>2871</v>
      </c>
      <c r="I4" s="30" t="s">
        <v>2873</v>
      </c>
      <c r="J4" s="35" t="s">
        <v>2874</v>
      </c>
      <c r="K4" s="36"/>
    </row>
    <row r="5" spans="1:11" s="24" customFormat="1">
      <c r="A5" s="547"/>
      <c r="B5" s="29" t="s">
        <v>2496</v>
      </c>
      <c r="C5" s="29" t="s">
        <v>1751</v>
      </c>
      <c r="D5" s="29" t="s">
        <v>1752</v>
      </c>
      <c r="E5" s="30" t="s">
        <v>3234</v>
      </c>
      <c r="F5" s="30" t="s">
        <v>302</v>
      </c>
      <c r="G5" s="30" t="s">
        <v>302</v>
      </c>
      <c r="H5" s="30" t="s">
        <v>24</v>
      </c>
      <c r="I5" s="30" t="s">
        <v>2702</v>
      </c>
      <c r="J5" s="35" t="s">
        <v>302</v>
      </c>
      <c r="K5" s="36"/>
    </row>
    <row r="6" spans="1:11" s="24" customFormat="1">
      <c r="A6" s="547"/>
      <c r="B6" s="29" t="s">
        <v>1753</v>
      </c>
      <c r="C6" s="29" t="s">
        <v>1754</v>
      </c>
      <c r="D6" s="29" t="s">
        <v>1755</v>
      </c>
      <c r="E6" s="30" t="s">
        <v>3234</v>
      </c>
      <c r="F6" s="30" t="s">
        <v>302</v>
      </c>
      <c r="G6" s="30" t="s">
        <v>302</v>
      </c>
      <c r="H6" s="30" t="s">
        <v>24</v>
      </c>
      <c r="I6" s="30" t="s">
        <v>1653</v>
      </c>
      <c r="J6" s="35" t="s">
        <v>302</v>
      </c>
      <c r="K6" s="36"/>
    </row>
    <row r="7" spans="1:11" s="380" customFormat="1">
      <c r="A7" s="547"/>
      <c r="B7" s="378" t="s">
        <v>2846</v>
      </c>
      <c r="C7" s="378" t="s">
        <v>3997</v>
      </c>
      <c r="D7" s="378" t="s">
        <v>2847</v>
      </c>
      <c r="E7" s="30" t="s">
        <v>3234</v>
      </c>
      <c r="F7" s="379" t="s">
        <v>302</v>
      </c>
      <c r="G7" s="379" t="s">
        <v>302</v>
      </c>
      <c r="H7" s="379" t="s">
        <v>24</v>
      </c>
      <c r="I7" s="363" t="s">
        <v>310</v>
      </c>
      <c r="J7" s="37" t="s">
        <v>2793</v>
      </c>
      <c r="K7" s="62"/>
    </row>
    <row r="8" spans="1:11" s="380" customFormat="1" ht="24">
      <c r="A8" s="547"/>
      <c r="B8" s="378" t="s">
        <v>3998</v>
      </c>
      <c r="C8" s="378" t="s">
        <v>3999</v>
      </c>
      <c r="D8" s="378" t="s">
        <v>2848</v>
      </c>
      <c r="E8" s="30" t="s">
        <v>3234</v>
      </c>
      <c r="F8" s="379" t="s">
        <v>302</v>
      </c>
      <c r="G8" s="379" t="s">
        <v>302</v>
      </c>
      <c r="H8" s="379" t="s">
        <v>24</v>
      </c>
      <c r="I8" s="363" t="s">
        <v>3133</v>
      </c>
      <c r="J8" s="37" t="s">
        <v>2793</v>
      </c>
      <c r="K8" s="62"/>
    </row>
    <row r="9" spans="1:11" s="24" customFormat="1">
      <c r="A9" s="547"/>
      <c r="B9" s="29" t="s">
        <v>1756</v>
      </c>
      <c r="C9" s="29" t="s">
        <v>1757</v>
      </c>
      <c r="D9" s="29" t="s">
        <v>1758</v>
      </c>
      <c r="E9" s="30" t="s">
        <v>3234</v>
      </c>
      <c r="F9" s="30" t="s">
        <v>302</v>
      </c>
      <c r="G9" s="30" t="s">
        <v>302</v>
      </c>
      <c r="H9" s="30" t="s">
        <v>24</v>
      </c>
      <c r="I9" s="30" t="s">
        <v>350</v>
      </c>
      <c r="J9" s="35" t="s">
        <v>302</v>
      </c>
      <c r="K9" s="36"/>
    </row>
    <row r="10" spans="1:11" s="24" customFormat="1">
      <c r="A10" s="547"/>
      <c r="B10" s="29" t="s">
        <v>1759</v>
      </c>
      <c r="C10" s="29" t="s">
        <v>1760</v>
      </c>
      <c r="D10" s="29" t="s">
        <v>1761</v>
      </c>
      <c r="E10" s="30" t="s">
        <v>3234</v>
      </c>
      <c r="F10" s="30" t="s">
        <v>302</v>
      </c>
      <c r="G10" s="30" t="s">
        <v>302</v>
      </c>
      <c r="H10" s="30" t="s">
        <v>24</v>
      </c>
      <c r="I10" s="30" t="s">
        <v>1653</v>
      </c>
      <c r="J10" s="35" t="s">
        <v>302</v>
      </c>
      <c r="K10" s="36"/>
    </row>
    <row r="11" spans="1:11" s="24" customFormat="1">
      <c r="A11" s="547"/>
      <c r="B11" s="29" t="s">
        <v>1762</v>
      </c>
      <c r="C11" s="29" t="s">
        <v>1763</v>
      </c>
      <c r="D11" s="29" t="s">
        <v>1764</v>
      </c>
      <c r="E11" s="30" t="s">
        <v>3234</v>
      </c>
      <c r="F11" s="30" t="s">
        <v>302</v>
      </c>
      <c r="G11" s="30" t="s">
        <v>302</v>
      </c>
      <c r="H11" s="30" t="s">
        <v>24</v>
      </c>
      <c r="I11" s="30" t="s">
        <v>1653</v>
      </c>
      <c r="J11" s="35" t="s">
        <v>302</v>
      </c>
      <c r="K11" s="36"/>
    </row>
    <row r="12" spans="1:11" s="380" customFormat="1">
      <c r="A12" s="547"/>
      <c r="B12" s="378" t="s">
        <v>4000</v>
      </c>
      <c r="C12" s="378" t="s">
        <v>4001</v>
      </c>
      <c r="D12" s="378" t="s">
        <v>2850</v>
      </c>
      <c r="E12" s="30" t="s">
        <v>3234</v>
      </c>
      <c r="F12" s="379" t="s">
        <v>302</v>
      </c>
      <c r="G12" s="379" t="s">
        <v>302</v>
      </c>
      <c r="H12" s="379" t="s">
        <v>24</v>
      </c>
      <c r="I12" s="363" t="s">
        <v>310</v>
      </c>
      <c r="J12" s="37" t="s">
        <v>302</v>
      </c>
      <c r="K12" s="62"/>
    </row>
    <row r="13" spans="1:11" s="380" customFormat="1" ht="24">
      <c r="A13" s="547"/>
      <c r="B13" s="378" t="s">
        <v>4002</v>
      </c>
      <c r="C13" s="378" t="s">
        <v>4003</v>
      </c>
      <c r="D13" s="378" t="s">
        <v>2851</v>
      </c>
      <c r="E13" s="30" t="s">
        <v>3234</v>
      </c>
      <c r="F13" s="379" t="s">
        <v>302</v>
      </c>
      <c r="G13" s="379" t="s">
        <v>302</v>
      </c>
      <c r="H13" s="379" t="s">
        <v>24</v>
      </c>
      <c r="I13" s="363" t="s">
        <v>2849</v>
      </c>
      <c r="J13" s="37" t="s">
        <v>302</v>
      </c>
      <c r="K13" s="62"/>
    </row>
    <row r="14" spans="1:11" s="24" customFormat="1">
      <c r="A14" s="547"/>
      <c r="B14" s="29" t="s">
        <v>1765</v>
      </c>
      <c r="C14" s="29" t="s">
        <v>1766</v>
      </c>
      <c r="D14" s="29" t="s">
        <v>1767</v>
      </c>
      <c r="E14" s="30" t="s">
        <v>3234</v>
      </c>
      <c r="F14" s="30" t="s">
        <v>302</v>
      </c>
      <c r="G14" s="30" t="s">
        <v>302</v>
      </c>
      <c r="H14" s="30" t="s">
        <v>24</v>
      </c>
      <c r="I14" s="30" t="s">
        <v>350</v>
      </c>
      <c r="J14" s="35" t="s">
        <v>302</v>
      </c>
      <c r="K14" s="36"/>
    </row>
    <row r="15" spans="1:11" s="24" customFormat="1">
      <c r="A15" s="548"/>
      <c r="B15" s="29" t="s">
        <v>1768</v>
      </c>
      <c r="C15" s="29" t="s">
        <v>1769</v>
      </c>
      <c r="D15" s="29" t="s">
        <v>1770</v>
      </c>
      <c r="E15" s="30" t="s">
        <v>3234</v>
      </c>
      <c r="F15" s="30" t="s">
        <v>302</v>
      </c>
      <c r="G15" s="30" t="s">
        <v>302</v>
      </c>
      <c r="H15" s="30" t="s">
        <v>24</v>
      </c>
      <c r="I15" s="30" t="s">
        <v>350</v>
      </c>
      <c r="J15" s="37" t="s">
        <v>302</v>
      </c>
      <c r="K15" s="36"/>
    </row>
    <row r="16" spans="1:11" s="24" customFormat="1" ht="24" customHeight="1">
      <c r="A16" s="546" t="s">
        <v>3129</v>
      </c>
      <c r="B16" s="29" t="s">
        <v>3134</v>
      </c>
      <c r="C16" s="29" t="s">
        <v>675</v>
      </c>
      <c r="D16" s="29" t="s">
        <v>1771</v>
      </c>
      <c r="E16" s="30" t="s">
        <v>3234</v>
      </c>
      <c r="F16" s="30" t="s">
        <v>302</v>
      </c>
      <c r="G16" s="30" t="s">
        <v>302</v>
      </c>
      <c r="H16" s="30" t="s">
        <v>24</v>
      </c>
      <c r="I16" s="30" t="s">
        <v>71</v>
      </c>
      <c r="J16" s="35" t="s">
        <v>385</v>
      </c>
      <c r="K16" s="36"/>
    </row>
    <row r="17" spans="1:11" s="24" customFormat="1">
      <c r="A17" s="547"/>
      <c r="B17" s="29" t="s">
        <v>2565</v>
      </c>
      <c r="C17" s="29" t="s">
        <v>1772</v>
      </c>
      <c r="D17" s="29" t="s">
        <v>1773</v>
      </c>
      <c r="E17" s="30" t="s">
        <v>3234</v>
      </c>
      <c r="F17" s="30" t="s">
        <v>302</v>
      </c>
      <c r="G17" s="30" t="s">
        <v>302</v>
      </c>
      <c r="H17" s="30" t="s">
        <v>24</v>
      </c>
      <c r="I17" s="30" t="s">
        <v>502</v>
      </c>
      <c r="J17" s="37" t="s">
        <v>302</v>
      </c>
      <c r="K17" s="36"/>
    </row>
    <row r="18" spans="1:11" s="24" customFormat="1">
      <c r="A18" s="548"/>
      <c r="B18" s="29" t="s">
        <v>2499</v>
      </c>
      <c r="C18" s="29" t="s">
        <v>1774</v>
      </c>
      <c r="D18" s="29" t="s">
        <v>1775</v>
      </c>
      <c r="E18" s="30" t="s">
        <v>3234</v>
      </c>
      <c r="F18" s="30" t="s">
        <v>302</v>
      </c>
      <c r="G18" s="30" t="s">
        <v>302</v>
      </c>
      <c r="H18" s="30" t="s">
        <v>24</v>
      </c>
      <c r="I18" s="30" t="s">
        <v>1776</v>
      </c>
      <c r="J18" s="37" t="s">
        <v>302</v>
      </c>
      <c r="K18" s="36"/>
    </row>
    <row r="19" spans="1:11" s="24" customFormat="1" ht="24" customHeight="1">
      <c r="A19" s="546" t="s">
        <v>3130</v>
      </c>
      <c r="B19" s="29" t="s">
        <v>3135</v>
      </c>
      <c r="C19" s="29" t="s">
        <v>675</v>
      </c>
      <c r="D19" s="29" t="s">
        <v>1777</v>
      </c>
      <c r="E19" s="30" t="s">
        <v>3234</v>
      </c>
      <c r="F19" s="30" t="s">
        <v>302</v>
      </c>
      <c r="G19" s="30" t="s">
        <v>302</v>
      </c>
      <c r="H19" s="30" t="s">
        <v>24</v>
      </c>
      <c r="I19" s="30" t="s">
        <v>71</v>
      </c>
      <c r="J19" s="35" t="s">
        <v>385</v>
      </c>
      <c r="K19" s="36"/>
    </row>
    <row r="20" spans="1:11" s="24" customFormat="1" ht="36">
      <c r="A20" s="548"/>
      <c r="B20" s="29" t="s">
        <v>2503</v>
      </c>
      <c r="C20" s="31" t="s">
        <v>579</v>
      </c>
      <c r="D20" s="31" t="s">
        <v>618</v>
      </c>
      <c r="E20" s="30" t="s">
        <v>3234</v>
      </c>
      <c r="F20" s="30" t="s">
        <v>3102</v>
      </c>
      <c r="G20" s="32" t="s">
        <v>619</v>
      </c>
      <c r="H20" s="32" t="s">
        <v>24</v>
      </c>
      <c r="I20" s="38" t="s">
        <v>301</v>
      </c>
      <c r="J20" s="31" t="s">
        <v>620</v>
      </c>
      <c r="K20" s="403" t="s">
        <v>602</v>
      </c>
    </row>
    <row r="21" spans="1:11" s="24" customFormat="1" ht="24" customHeight="1">
      <c r="A21" s="546" t="s">
        <v>3131</v>
      </c>
      <c r="B21" s="29" t="s">
        <v>3136</v>
      </c>
      <c r="C21" s="29" t="s">
        <v>675</v>
      </c>
      <c r="D21" s="29" t="s">
        <v>1778</v>
      </c>
      <c r="E21" s="30" t="s">
        <v>3234</v>
      </c>
      <c r="F21" s="30" t="s">
        <v>3102</v>
      </c>
      <c r="G21" s="30" t="s">
        <v>302</v>
      </c>
      <c r="H21" s="30" t="s">
        <v>24</v>
      </c>
      <c r="I21" s="30" t="s">
        <v>71</v>
      </c>
      <c r="J21" s="35" t="s">
        <v>385</v>
      </c>
      <c r="K21" s="36"/>
    </row>
    <row r="22" spans="1:11" s="24" customFormat="1" ht="36">
      <c r="A22" s="548"/>
      <c r="B22" s="29" t="s">
        <v>2505</v>
      </c>
      <c r="C22" s="31" t="s">
        <v>666</v>
      </c>
      <c r="D22" s="31" t="s">
        <v>666</v>
      </c>
      <c r="E22" s="30" t="s">
        <v>3234</v>
      </c>
      <c r="F22" s="30" t="s">
        <v>3102</v>
      </c>
      <c r="G22" s="32" t="s">
        <v>666</v>
      </c>
      <c r="H22" s="32" t="s">
        <v>24</v>
      </c>
      <c r="I22" s="32" t="s">
        <v>2558</v>
      </c>
      <c r="J22" s="31" t="s">
        <v>2697</v>
      </c>
      <c r="K22" s="403" t="s">
        <v>602</v>
      </c>
    </row>
    <row r="23" spans="1:11" s="24" customFormat="1" ht="48">
      <c r="A23" s="546" t="s">
        <v>3132</v>
      </c>
      <c r="B23" s="29" t="s">
        <v>3154</v>
      </c>
      <c r="C23" s="31" t="s">
        <v>3099</v>
      </c>
      <c r="D23" s="31" t="s">
        <v>3100</v>
      </c>
      <c r="E23" s="30" t="s">
        <v>3234</v>
      </c>
      <c r="F23" s="30" t="s">
        <v>3102</v>
      </c>
      <c r="G23" s="31" t="s">
        <v>3099</v>
      </c>
      <c r="H23" s="32" t="s">
        <v>24</v>
      </c>
      <c r="I23" s="32" t="s">
        <v>3101</v>
      </c>
      <c r="J23" s="31" t="s">
        <v>3102</v>
      </c>
      <c r="K23" s="403" t="s">
        <v>3103</v>
      </c>
    </row>
    <row r="24" spans="1:11" s="24" customFormat="1" ht="48">
      <c r="A24" s="547"/>
      <c r="B24" s="29" t="s">
        <v>3122</v>
      </c>
      <c r="C24" s="31" t="s">
        <v>3124</v>
      </c>
      <c r="D24" s="31" t="s">
        <v>3104</v>
      </c>
      <c r="E24" s="30" t="s">
        <v>3234</v>
      </c>
      <c r="F24" s="30" t="s">
        <v>3102</v>
      </c>
      <c r="G24" s="31" t="s">
        <v>3124</v>
      </c>
      <c r="H24" s="32" t="s">
        <v>24</v>
      </c>
      <c r="I24" s="32" t="s">
        <v>3107</v>
      </c>
      <c r="J24" s="31" t="s">
        <v>3105</v>
      </c>
      <c r="K24" s="403" t="s">
        <v>3103</v>
      </c>
    </row>
    <row r="25" spans="1:11" s="24" customFormat="1" ht="48">
      <c r="A25" s="547"/>
      <c r="B25" s="29" t="s">
        <v>3123</v>
      </c>
      <c r="C25" s="31" t="s">
        <v>3125</v>
      </c>
      <c r="D25" s="31" t="s">
        <v>3106</v>
      </c>
      <c r="E25" s="30" t="s">
        <v>3234</v>
      </c>
      <c r="F25" s="30" t="s">
        <v>3102</v>
      </c>
      <c r="G25" s="31" t="s">
        <v>3125</v>
      </c>
      <c r="H25" s="32" t="s">
        <v>24</v>
      </c>
      <c r="I25" s="32" t="s">
        <v>3107</v>
      </c>
      <c r="J25" s="31" t="s">
        <v>3105</v>
      </c>
      <c r="K25" s="403" t="s">
        <v>3103</v>
      </c>
    </row>
    <row r="26" spans="1:11" s="24" customFormat="1" ht="48">
      <c r="A26" s="547"/>
      <c r="B26" s="29" t="s">
        <v>3113</v>
      </c>
      <c r="C26" s="31" t="s">
        <v>3109</v>
      </c>
      <c r="D26" s="31" t="s">
        <v>3108</v>
      </c>
      <c r="E26" s="30" t="s">
        <v>3234</v>
      </c>
      <c r="F26" s="30" t="s">
        <v>3102</v>
      </c>
      <c r="G26" s="32" t="s">
        <v>3110</v>
      </c>
      <c r="H26" s="32" t="s">
        <v>24</v>
      </c>
      <c r="I26" s="32" t="s">
        <v>3111</v>
      </c>
      <c r="J26" s="31" t="s">
        <v>3112</v>
      </c>
      <c r="K26" s="403" t="s">
        <v>3103</v>
      </c>
    </row>
    <row r="27" spans="1:11" s="24" customFormat="1" ht="48">
      <c r="A27" s="547"/>
      <c r="B27" s="29" t="s">
        <v>3118</v>
      </c>
      <c r="C27" s="31" t="s">
        <v>3115</v>
      </c>
      <c r="D27" s="31" t="s">
        <v>3119</v>
      </c>
      <c r="E27" s="30" t="s">
        <v>3234</v>
      </c>
      <c r="F27" s="30" t="s">
        <v>3102</v>
      </c>
      <c r="G27" s="32" t="s">
        <v>3114</v>
      </c>
      <c r="H27" s="32" t="s">
        <v>3116</v>
      </c>
      <c r="I27" s="32" t="s">
        <v>3117</v>
      </c>
      <c r="J27" s="31" t="s">
        <v>3411</v>
      </c>
      <c r="K27" s="403" t="s">
        <v>3103</v>
      </c>
    </row>
    <row r="28" spans="1:11" s="24" customFormat="1" ht="48">
      <c r="A28" s="548"/>
      <c r="B28" s="29" t="s">
        <v>3121</v>
      </c>
      <c r="C28" s="31" t="s">
        <v>3995</v>
      </c>
      <c r="D28" s="31" t="s">
        <v>3120</v>
      </c>
      <c r="E28" s="30" t="s">
        <v>3234</v>
      </c>
      <c r="F28" s="30" t="s">
        <v>3102</v>
      </c>
      <c r="G28" s="32" t="s">
        <v>3996</v>
      </c>
      <c r="H28" s="32" t="s">
        <v>3116</v>
      </c>
      <c r="I28" s="32" t="s">
        <v>3117</v>
      </c>
      <c r="J28" s="31" t="s">
        <v>3410</v>
      </c>
      <c r="K28" s="403" t="s">
        <v>3103</v>
      </c>
    </row>
    <row r="29" spans="1:11" s="24" customFormat="1" ht="48">
      <c r="A29" s="546" t="s">
        <v>3137</v>
      </c>
      <c r="B29" s="29" t="s">
        <v>3156</v>
      </c>
      <c r="C29" s="29" t="s">
        <v>3139</v>
      </c>
      <c r="D29" s="29" t="s">
        <v>3140</v>
      </c>
      <c r="E29" s="30" t="s">
        <v>3234</v>
      </c>
      <c r="F29" s="30" t="s">
        <v>302</v>
      </c>
      <c r="G29" s="30" t="s">
        <v>302</v>
      </c>
      <c r="H29" s="30" t="s">
        <v>3202</v>
      </c>
      <c r="I29" s="30" t="s">
        <v>2391</v>
      </c>
      <c r="J29" s="35" t="s">
        <v>3206</v>
      </c>
      <c r="K29" s="403" t="s">
        <v>3103</v>
      </c>
    </row>
    <row r="30" spans="1:11" s="24" customFormat="1" ht="48">
      <c r="A30" s="547"/>
      <c r="B30" s="29" t="s">
        <v>3238</v>
      </c>
      <c r="C30" s="29" t="s">
        <v>2647</v>
      </c>
      <c r="D30" s="29" t="s">
        <v>2649</v>
      </c>
      <c r="E30" s="30" t="s">
        <v>3234</v>
      </c>
      <c r="F30" s="30" t="s">
        <v>3102</v>
      </c>
      <c r="G30" s="30" t="s">
        <v>2647</v>
      </c>
      <c r="H30" s="30" t="s">
        <v>2405</v>
      </c>
      <c r="I30" s="30" t="s">
        <v>2469</v>
      </c>
      <c r="J30" s="35" t="s">
        <v>3126</v>
      </c>
      <c r="K30" s="403" t="s">
        <v>3103</v>
      </c>
    </row>
    <row r="31" spans="1:11" s="24" customFormat="1" ht="48">
      <c r="A31" s="547"/>
      <c r="B31" s="29" t="s">
        <v>3158</v>
      </c>
      <c r="C31" s="29" t="s">
        <v>1772</v>
      </c>
      <c r="D31" s="29" t="s">
        <v>1773</v>
      </c>
      <c r="E31" s="30" t="s">
        <v>3234</v>
      </c>
      <c r="F31" s="30" t="s">
        <v>302</v>
      </c>
      <c r="G31" s="30" t="s">
        <v>302</v>
      </c>
      <c r="H31" s="30" t="s">
        <v>3202</v>
      </c>
      <c r="I31" s="30" t="s">
        <v>502</v>
      </c>
      <c r="J31" s="37" t="s">
        <v>3205</v>
      </c>
      <c r="K31" s="403" t="s">
        <v>3103</v>
      </c>
    </row>
    <row r="32" spans="1:11" s="24" customFormat="1" ht="48">
      <c r="A32" s="547"/>
      <c r="B32" s="29" t="s">
        <v>3138</v>
      </c>
      <c r="C32" s="29" t="s">
        <v>1774</v>
      </c>
      <c r="D32" s="29" t="s">
        <v>1775</v>
      </c>
      <c r="E32" s="30" t="s">
        <v>3234</v>
      </c>
      <c r="F32" s="30" t="s">
        <v>302</v>
      </c>
      <c r="G32" s="30" t="s">
        <v>302</v>
      </c>
      <c r="H32" s="30" t="s">
        <v>3202</v>
      </c>
      <c r="I32" s="30" t="s">
        <v>2391</v>
      </c>
      <c r="J32" s="37" t="s">
        <v>3204</v>
      </c>
      <c r="K32" s="403" t="s">
        <v>3103</v>
      </c>
    </row>
    <row r="33" spans="1:11" s="24" customFormat="1" ht="48">
      <c r="A33" s="547"/>
      <c r="B33" s="29" t="s">
        <v>3237</v>
      </c>
      <c r="C33" s="29" t="s">
        <v>2647</v>
      </c>
      <c r="D33" s="29" t="s">
        <v>2649</v>
      </c>
      <c r="E33" s="30" t="s">
        <v>3234</v>
      </c>
      <c r="F33" s="30" t="s">
        <v>3102</v>
      </c>
      <c r="G33" s="30" t="s">
        <v>2647</v>
      </c>
      <c r="H33" s="30" t="s">
        <v>2405</v>
      </c>
      <c r="I33" s="30" t="s">
        <v>2469</v>
      </c>
      <c r="J33" s="35" t="s">
        <v>3126</v>
      </c>
      <c r="K33" s="403" t="s">
        <v>3103</v>
      </c>
    </row>
    <row r="34" spans="1:11" s="24" customFormat="1" ht="48">
      <c r="A34" s="547"/>
      <c r="B34" s="29" t="s">
        <v>3160</v>
      </c>
      <c r="C34" s="31" t="s">
        <v>579</v>
      </c>
      <c r="D34" s="31" t="s">
        <v>618</v>
      </c>
      <c r="E34" s="30" t="s">
        <v>3234</v>
      </c>
      <c r="F34" s="30" t="s">
        <v>3102</v>
      </c>
      <c r="G34" s="32" t="s">
        <v>619</v>
      </c>
      <c r="H34" s="32" t="s">
        <v>3202</v>
      </c>
      <c r="I34" s="38" t="s">
        <v>301</v>
      </c>
      <c r="J34" s="31" t="s">
        <v>3203</v>
      </c>
      <c r="K34" s="403" t="s">
        <v>3103</v>
      </c>
    </row>
    <row r="35" spans="1:11" s="24" customFormat="1" ht="48">
      <c r="A35" s="547"/>
      <c r="B35" s="29" t="s">
        <v>3235</v>
      </c>
      <c r="C35" s="29" t="s">
        <v>2647</v>
      </c>
      <c r="D35" s="29" t="s">
        <v>2649</v>
      </c>
      <c r="E35" s="30" t="s">
        <v>3234</v>
      </c>
      <c r="F35" s="30" t="s">
        <v>3102</v>
      </c>
      <c r="G35" s="30" t="s">
        <v>2647</v>
      </c>
      <c r="H35" s="30" t="s">
        <v>2405</v>
      </c>
      <c r="I35" s="30" t="s">
        <v>2469</v>
      </c>
      <c r="J35" s="35" t="s">
        <v>3126</v>
      </c>
      <c r="K35" s="403" t="s">
        <v>3103</v>
      </c>
    </row>
    <row r="36" spans="1:11" s="24" customFormat="1" ht="48">
      <c r="A36" s="547"/>
      <c r="B36" s="29" t="s">
        <v>3162</v>
      </c>
      <c r="C36" s="31" t="s">
        <v>666</v>
      </c>
      <c r="D36" s="31" t="s">
        <v>666</v>
      </c>
      <c r="E36" s="30" t="s">
        <v>3234</v>
      </c>
      <c r="F36" s="30" t="s">
        <v>3102</v>
      </c>
      <c r="G36" s="32" t="s">
        <v>666</v>
      </c>
      <c r="H36" s="32" t="s">
        <v>3202</v>
      </c>
      <c r="I36" s="32" t="s">
        <v>2558</v>
      </c>
      <c r="J36" s="31" t="s">
        <v>3207</v>
      </c>
      <c r="K36" s="403" t="s">
        <v>3103</v>
      </c>
    </row>
    <row r="37" spans="1:11" s="24" customFormat="1" ht="48">
      <c r="A37" s="548"/>
      <c r="B37" s="29" t="s">
        <v>3236</v>
      </c>
      <c r="C37" s="29" t="s">
        <v>2647</v>
      </c>
      <c r="D37" s="29" t="s">
        <v>2649</v>
      </c>
      <c r="E37" s="30" t="s">
        <v>3234</v>
      </c>
      <c r="F37" s="30" t="s">
        <v>3102</v>
      </c>
      <c r="G37" s="30" t="s">
        <v>2647</v>
      </c>
      <c r="H37" s="30" t="s">
        <v>2405</v>
      </c>
      <c r="I37" s="30" t="s">
        <v>2469</v>
      </c>
      <c r="J37" s="35" t="s">
        <v>3126</v>
      </c>
      <c r="K37" s="403" t="s">
        <v>3103</v>
      </c>
    </row>
    <row r="38" spans="1:11" s="25" customFormat="1" ht="30" customHeight="1">
      <c r="A38" s="33" t="s">
        <v>3230</v>
      </c>
      <c r="B38" s="543" t="s">
        <v>3603</v>
      </c>
      <c r="C38" s="543"/>
      <c r="D38" s="543"/>
      <c r="E38" s="543"/>
      <c r="F38" s="544"/>
      <c r="G38" s="544"/>
      <c r="H38" s="544"/>
      <c r="I38" s="544"/>
      <c r="J38" s="544"/>
      <c r="K38" s="545"/>
    </row>
  </sheetData>
  <mergeCells count="7">
    <mergeCell ref="B38:K38"/>
    <mergeCell ref="A3:A15"/>
    <mergeCell ref="A16:A18"/>
    <mergeCell ref="A19:A20"/>
    <mergeCell ref="A21:A22"/>
    <mergeCell ref="A23:A28"/>
    <mergeCell ref="A29:A37"/>
  </mergeCells>
  <phoneticPr fontId="53" type="noConversion"/>
  <pageMargins left="0.69930555555555596" right="0.69930555555555596"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dimension ref="A1:L2"/>
  <sheetViews>
    <sheetView zoomScale="85" zoomScaleNormal="85" workbookViewId="0">
      <pane xSplit="1" ySplit="1" topLeftCell="B2" activePane="bottomRight" state="frozen"/>
      <selection pane="topRight"/>
      <selection pane="bottomLeft"/>
      <selection pane="bottomRight" activeCell="B20" sqref="A1:XFD1048576"/>
    </sheetView>
  </sheetViews>
  <sheetFormatPr defaultColWidth="43.36328125" defaultRowHeight="13"/>
  <cols>
    <col min="1" max="1" width="22.6328125" style="102" customWidth="1"/>
    <col min="2" max="2" width="77.90625" style="103" customWidth="1"/>
    <col min="3" max="3" width="9" style="103" customWidth="1"/>
    <col min="4" max="4" width="14.36328125" style="104" customWidth="1"/>
    <col min="5" max="5" width="4.6328125" style="105" customWidth="1"/>
    <col min="6" max="6" width="10.6328125" style="104" customWidth="1"/>
    <col min="7" max="7" width="14.90625" style="104" customWidth="1"/>
    <col min="8" max="8" width="12.6328125" style="104" customWidth="1"/>
    <col min="9" max="9" width="21.36328125" style="104" customWidth="1"/>
    <col min="10" max="10" width="43.36328125" style="104"/>
    <col min="11" max="11" width="41" style="106" customWidth="1"/>
    <col min="12" max="16384" width="43.36328125" style="105"/>
  </cols>
  <sheetData>
    <row r="1" spans="1:12" ht="24">
      <c r="A1" s="107" t="s">
        <v>287</v>
      </c>
      <c r="B1" s="107" t="s">
        <v>288</v>
      </c>
      <c r="C1" s="108" t="s">
        <v>289</v>
      </c>
      <c r="D1" s="108" t="s">
        <v>290</v>
      </c>
      <c r="E1" s="107" t="s">
        <v>291</v>
      </c>
      <c r="F1" s="109" t="s">
        <v>292</v>
      </c>
      <c r="G1" s="107" t="s">
        <v>293</v>
      </c>
      <c r="H1" s="107" t="s">
        <v>8</v>
      </c>
      <c r="I1" s="107" t="s">
        <v>6</v>
      </c>
      <c r="J1" s="107" t="s">
        <v>294</v>
      </c>
      <c r="K1" s="109" t="s">
        <v>241</v>
      </c>
      <c r="L1" s="109" t="s">
        <v>295</v>
      </c>
    </row>
    <row r="2" spans="1:12" ht="24">
      <c r="A2" s="110" t="s">
        <v>600</v>
      </c>
      <c r="B2" s="22" t="s">
        <v>2637</v>
      </c>
      <c r="C2" s="31" t="s">
        <v>601</v>
      </c>
      <c r="D2" s="31" t="s">
        <v>3559</v>
      </c>
      <c r="E2" s="32" t="s">
        <v>299</v>
      </c>
      <c r="F2" s="112" t="s">
        <v>3313</v>
      </c>
      <c r="G2" s="32" t="s">
        <v>3313</v>
      </c>
      <c r="H2" s="32" t="s">
        <v>3558</v>
      </c>
      <c r="I2" s="38" t="s">
        <v>2828</v>
      </c>
      <c r="J2" s="114" t="s">
        <v>3384</v>
      </c>
      <c r="K2" s="18" t="s">
        <v>602</v>
      </c>
      <c r="L2" s="113"/>
    </row>
  </sheetData>
  <phoneticPr fontId="53" type="noConversion"/>
  <pageMargins left="0.69930555555555596" right="0.69930555555555596"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dimension ref="A1:Q65"/>
  <sheetViews>
    <sheetView zoomScale="85" zoomScaleNormal="85" workbookViewId="0">
      <pane xSplit="1" ySplit="1" topLeftCell="D50" activePane="bottomRight" state="frozen"/>
      <selection pane="topRight"/>
      <selection pane="bottomLeft"/>
      <selection pane="bottomRight" activeCell="H50" sqref="H50"/>
    </sheetView>
  </sheetViews>
  <sheetFormatPr defaultColWidth="43.36328125" defaultRowHeight="13"/>
  <cols>
    <col min="1" max="1" width="22.6328125" style="102" customWidth="1"/>
    <col min="2" max="2" width="83.7265625" style="103" customWidth="1"/>
    <col min="3" max="3" width="10.08984375" style="103" customWidth="1"/>
    <col min="4" max="4" width="14.36328125" style="385" customWidth="1"/>
    <col min="5" max="5" width="4.6328125" style="105" customWidth="1"/>
    <col min="6" max="6" width="10.6328125" style="104" customWidth="1"/>
    <col min="7" max="7" width="14.90625" style="104" customWidth="1"/>
    <col min="8" max="8" width="12.6328125" style="104" customWidth="1"/>
    <col min="9" max="9" width="21.36328125" style="104" customWidth="1"/>
    <col min="10" max="10" width="43.36328125" style="385"/>
    <col min="11" max="11" width="41" style="387" customWidth="1"/>
    <col min="12" max="12" width="43.36328125" style="103"/>
    <col min="13" max="16384" width="43.36328125" style="105"/>
  </cols>
  <sheetData>
    <row r="1" spans="1:12" s="254" customFormat="1" ht="24">
      <c r="A1" s="15" t="s">
        <v>287</v>
      </c>
      <c r="B1" s="15" t="s">
        <v>288</v>
      </c>
      <c r="C1" s="253" t="s">
        <v>289</v>
      </c>
      <c r="D1" s="431" t="s">
        <v>290</v>
      </c>
      <c r="E1" s="15" t="s">
        <v>291</v>
      </c>
      <c r="F1" s="20" t="s">
        <v>292</v>
      </c>
      <c r="G1" s="15" t="s">
        <v>293</v>
      </c>
      <c r="H1" s="15" t="s">
        <v>8</v>
      </c>
      <c r="I1" s="15" t="s">
        <v>6</v>
      </c>
      <c r="J1" s="15" t="s">
        <v>294</v>
      </c>
      <c r="K1" s="20" t="s">
        <v>241</v>
      </c>
      <c r="L1" s="20" t="s">
        <v>295</v>
      </c>
    </row>
    <row r="2" spans="1:12" s="254" customFormat="1" ht="24">
      <c r="A2" s="463" t="s">
        <v>3581</v>
      </c>
      <c r="B2" s="97" t="s">
        <v>3579</v>
      </c>
      <c r="C2" s="255" t="s">
        <v>611</v>
      </c>
      <c r="D2" s="97" t="s">
        <v>611</v>
      </c>
      <c r="E2" s="98" t="s">
        <v>299</v>
      </c>
      <c r="F2" s="256" t="s">
        <v>3312</v>
      </c>
      <c r="G2" s="98" t="s">
        <v>302</v>
      </c>
      <c r="H2" s="98" t="s">
        <v>24</v>
      </c>
      <c r="I2" s="257" t="s">
        <v>612</v>
      </c>
      <c r="J2" s="97" t="s">
        <v>613</v>
      </c>
      <c r="K2" s="61" t="s">
        <v>590</v>
      </c>
      <c r="L2" s="388" t="s">
        <v>608</v>
      </c>
    </row>
    <row r="3" spans="1:12" s="254" customFormat="1" ht="48">
      <c r="A3" s="203" t="s">
        <v>616</v>
      </c>
      <c r="B3" s="97" t="s">
        <v>2670</v>
      </c>
      <c r="C3" s="255" t="s">
        <v>617</v>
      </c>
      <c r="D3" s="97" t="s">
        <v>616</v>
      </c>
      <c r="E3" s="98" t="s">
        <v>299</v>
      </c>
      <c r="F3" s="98" t="s">
        <v>3312</v>
      </c>
      <c r="G3" s="98" t="s">
        <v>3312</v>
      </c>
      <c r="H3" s="98" t="s">
        <v>24</v>
      </c>
      <c r="I3" s="98" t="s">
        <v>71</v>
      </c>
      <c r="J3" s="97" t="s">
        <v>2669</v>
      </c>
      <c r="K3" s="97" t="s">
        <v>319</v>
      </c>
      <c r="L3" s="255" t="s">
        <v>3605</v>
      </c>
    </row>
    <row r="4" spans="1:12" ht="17.25" customHeight="1">
      <c r="A4" s="330" t="s">
        <v>2530</v>
      </c>
      <c r="B4" s="22" t="s">
        <v>2696</v>
      </c>
      <c r="C4" s="22" t="s">
        <v>3629</v>
      </c>
      <c r="D4" s="22" t="s">
        <v>2639</v>
      </c>
      <c r="E4" s="32" t="s">
        <v>577</v>
      </c>
      <c r="F4" s="98" t="s">
        <v>2390</v>
      </c>
      <c r="G4" s="98" t="s">
        <v>2390</v>
      </c>
      <c r="H4" s="32" t="s">
        <v>24</v>
      </c>
      <c r="I4" s="38" t="s">
        <v>2828</v>
      </c>
      <c r="J4" s="22" t="s">
        <v>2829</v>
      </c>
      <c r="K4" s="17" t="s">
        <v>2513</v>
      </c>
      <c r="L4" s="31" t="s">
        <v>3604</v>
      </c>
    </row>
    <row r="5" spans="1:12" s="368" customFormat="1" ht="36">
      <c r="A5" s="369" t="s">
        <v>2837</v>
      </c>
      <c r="B5" s="488" t="s">
        <v>2836</v>
      </c>
      <c r="C5" s="364" t="s">
        <v>2830</v>
      </c>
      <c r="D5" s="427" t="s">
        <v>2831</v>
      </c>
      <c r="E5" s="132" t="s">
        <v>2832</v>
      </c>
      <c r="F5" s="98" t="s">
        <v>300</v>
      </c>
      <c r="G5" s="132" t="s">
        <v>3304</v>
      </c>
      <c r="H5" s="132" t="s">
        <v>2838</v>
      </c>
      <c r="I5" s="366" t="s">
        <v>1904</v>
      </c>
      <c r="J5" s="373" t="s">
        <v>2833</v>
      </c>
      <c r="K5" s="377" t="s">
        <v>2834</v>
      </c>
      <c r="L5" s="367" t="s">
        <v>3375</v>
      </c>
    </row>
    <row r="6" spans="1:12" s="254" customFormat="1" ht="36">
      <c r="A6" s="552" t="s">
        <v>623</v>
      </c>
      <c r="B6" s="97" t="s">
        <v>3580</v>
      </c>
      <c r="C6" s="255" t="s">
        <v>621</v>
      </c>
      <c r="D6" s="97" t="s">
        <v>622</v>
      </c>
      <c r="E6" s="98" t="s">
        <v>299</v>
      </c>
      <c r="F6" s="256" t="s">
        <v>3312</v>
      </c>
      <c r="G6" s="98" t="s">
        <v>302</v>
      </c>
      <c r="H6" s="98" t="s">
        <v>24</v>
      </c>
      <c r="I6" s="257" t="s">
        <v>71</v>
      </c>
      <c r="J6" s="97" t="s">
        <v>2893</v>
      </c>
      <c r="K6" s="61" t="s">
        <v>602</v>
      </c>
      <c r="L6" s="388"/>
    </row>
    <row r="7" spans="1:12" s="254" customFormat="1" ht="24">
      <c r="A7" s="553"/>
      <c r="B7" s="97" t="s">
        <v>2892</v>
      </c>
      <c r="C7" s="255" t="s">
        <v>624</v>
      </c>
      <c r="D7" s="97" t="s">
        <v>625</v>
      </c>
      <c r="E7" s="98" t="s">
        <v>577</v>
      </c>
      <c r="F7" s="256" t="s">
        <v>3312</v>
      </c>
      <c r="G7" s="98" t="s">
        <v>302</v>
      </c>
      <c r="H7" s="98" t="s">
        <v>24</v>
      </c>
      <c r="I7" s="98" t="s">
        <v>626</v>
      </c>
      <c r="J7" s="382" t="s">
        <v>302</v>
      </c>
      <c r="K7" s="61" t="s">
        <v>319</v>
      </c>
      <c r="L7" s="255" t="s">
        <v>3344</v>
      </c>
    </row>
    <row r="8" spans="1:12" s="254" customFormat="1" ht="24">
      <c r="A8" s="554"/>
      <c r="B8" s="97" t="s">
        <v>2891</v>
      </c>
      <c r="C8" s="255" t="s">
        <v>627</v>
      </c>
      <c r="D8" s="97" t="s">
        <v>628</v>
      </c>
      <c r="E8" s="98" t="s">
        <v>577</v>
      </c>
      <c r="F8" s="256" t="s">
        <v>3312</v>
      </c>
      <c r="G8" s="98" t="s">
        <v>302</v>
      </c>
      <c r="H8" s="98" t="s">
        <v>24</v>
      </c>
      <c r="I8" s="98" t="s">
        <v>629</v>
      </c>
      <c r="J8" s="97" t="s">
        <v>302</v>
      </c>
      <c r="K8" s="61" t="s">
        <v>319</v>
      </c>
      <c r="L8" s="388"/>
    </row>
    <row r="9" spans="1:12" s="254" customFormat="1" ht="24">
      <c r="A9" s="552" t="s">
        <v>630</v>
      </c>
      <c r="B9" s="97" t="s">
        <v>4031</v>
      </c>
      <c r="C9" s="255" t="s">
        <v>4032</v>
      </c>
      <c r="D9" s="97" t="s">
        <v>4026</v>
      </c>
      <c r="E9" s="98" t="s">
        <v>4024</v>
      </c>
      <c r="F9" s="256" t="s">
        <v>4029</v>
      </c>
      <c r="G9" s="98" t="s">
        <v>4030</v>
      </c>
      <c r="H9" s="98" t="s">
        <v>4025</v>
      </c>
      <c r="I9" s="98" t="s">
        <v>4027</v>
      </c>
      <c r="J9" s="97" t="s">
        <v>4028</v>
      </c>
      <c r="K9" s="61" t="s">
        <v>319</v>
      </c>
      <c r="L9" s="388" t="s">
        <v>4184</v>
      </c>
    </row>
    <row r="10" spans="1:12" s="254" customFormat="1">
      <c r="A10" s="553"/>
      <c r="B10" s="97" t="s">
        <v>4023</v>
      </c>
      <c r="C10" s="255" t="s">
        <v>3934</v>
      </c>
      <c r="D10" s="97" t="s">
        <v>631</v>
      </c>
      <c r="E10" s="98" t="s">
        <v>299</v>
      </c>
      <c r="F10" s="256" t="s">
        <v>3312</v>
      </c>
      <c r="G10" s="98" t="s">
        <v>302</v>
      </c>
      <c r="H10" s="98" t="s">
        <v>24</v>
      </c>
      <c r="I10" s="257" t="s">
        <v>3542</v>
      </c>
      <c r="J10" s="97" t="s">
        <v>4035</v>
      </c>
      <c r="K10" s="61" t="s">
        <v>602</v>
      </c>
      <c r="L10" s="388" t="s">
        <v>608</v>
      </c>
    </row>
    <row r="11" spans="1:12" s="254" customFormat="1">
      <c r="A11" s="553"/>
      <c r="B11" s="97" t="s">
        <v>2810</v>
      </c>
      <c r="C11" s="255" t="s">
        <v>632</v>
      </c>
      <c r="D11" s="97" t="s">
        <v>633</v>
      </c>
      <c r="E11" s="98" t="s">
        <v>299</v>
      </c>
      <c r="F11" s="256" t="s">
        <v>3305</v>
      </c>
      <c r="G11" s="98" t="s">
        <v>3306</v>
      </c>
      <c r="H11" s="98" t="s">
        <v>24</v>
      </c>
      <c r="I11" s="257" t="s">
        <v>2984</v>
      </c>
      <c r="J11" s="97" t="s">
        <v>633</v>
      </c>
      <c r="K11" s="61" t="s">
        <v>602</v>
      </c>
      <c r="L11" s="388" t="s">
        <v>635</v>
      </c>
    </row>
    <row r="12" spans="1:12" s="254" customFormat="1" ht="36">
      <c r="A12" s="553"/>
      <c r="B12" s="97" t="s">
        <v>2989</v>
      </c>
      <c r="C12" s="255" t="s">
        <v>636</v>
      </c>
      <c r="D12" s="97" t="s">
        <v>637</v>
      </c>
      <c r="E12" s="98" t="s">
        <v>299</v>
      </c>
      <c r="F12" s="256" t="s">
        <v>3312</v>
      </c>
      <c r="G12" s="256" t="s">
        <v>3312</v>
      </c>
      <c r="H12" s="98" t="s">
        <v>24</v>
      </c>
      <c r="I12" s="257" t="s">
        <v>2985</v>
      </c>
      <c r="J12" s="97" t="s">
        <v>2987</v>
      </c>
      <c r="K12" s="61" t="s">
        <v>602</v>
      </c>
      <c r="L12" s="388" t="s">
        <v>608</v>
      </c>
    </row>
    <row r="13" spans="1:12" s="254" customFormat="1" ht="36">
      <c r="A13" s="553"/>
      <c r="B13" s="97" t="s">
        <v>2769</v>
      </c>
      <c r="C13" s="255" t="s">
        <v>638</v>
      </c>
      <c r="D13" s="97" t="s">
        <v>639</v>
      </c>
      <c r="E13" s="98" t="s">
        <v>299</v>
      </c>
      <c r="F13" s="256" t="s">
        <v>3312</v>
      </c>
      <c r="G13" s="256" t="s">
        <v>3312</v>
      </c>
      <c r="H13" s="98" t="s">
        <v>24</v>
      </c>
      <c r="I13" s="257" t="s">
        <v>2985</v>
      </c>
      <c r="J13" s="97" t="s">
        <v>2986</v>
      </c>
      <c r="K13" s="61" t="s">
        <v>590</v>
      </c>
      <c r="L13" s="388" t="s">
        <v>608</v>
      </c>
    </row>
    <row r="14" spans="1:12" s="254" customFormat="1" ht="112.5" customHeight="1">
      <c r="A14" s="553"/>
      <c r="B14" s="97" t="s">
        <v>3194</v>
      </c>
      <c r="C14" s="255" t="s">
        <v>640</v>
      </c>
      <c r="D14" s="97" t="s">
        <v>641</v>
      </c>
      <c r="E14" s="98" t="s">
        <v>299</v>
      </c>
      <c r="F14" s="256" t="s">
        <v>3312</v>
      </c>
      <c r="G14" s="256" t="s">
        <v>3312</v>
      </c>
      <c r="H14" s="98" t="s">
        <v>24</v>
      </c>
      <c r="I14" s="257" t="s">
        <v>519</v>
      </c>
      <c r="J14" s="97" t="s">
        <v>642</v>
      </c>
      <c r="K14" s="61" t="s">
        <v>590</v>
      </c>
      <c r="L14" s="388"/>
    </row>
    <row r="15" spans="1:12" s="254" customFormat="1">
      <c r="A15" s="553"/>
      <c r="B15" s="97" t="s">
        <v>2890</v>
      </c>
      <c r="C15" s="255" t="s">
        <v>643</v>
      </c>
      <c r="D15" s="97" t="s">
        <v>644</v>
      </c>
      <c r="E15" s="98" t="s">
        <v>299</v>
      </c>
      <c r="F15" s="256" t="s">
        <v>3312</v>
      </c>
      <c r="G15" s="256" t="s">
        <v>3312</v>
      </c>
      <c r="H15" s="98" t="s">
        <v>24</v>
      </c>
      <c r="I15" s="257" t="s">
        <v>3542</v>
      </c>
      <c r="J15" s="97" t="s">
        <v>4036</v>
      </c>
      <c r="K15" s="61" t="s">
        <v>590</v>
      </c>
      <c r="L15" s="388" t="s">
        <v>608</v>
      </c>
    </row>
    <row r="16" spans="1:12" s="254" customFormat="1" ht="36">
      <c r="A16" s="553"/>
      <c r="B16" s="97" t="s">
        <v>1855</v>
      </c>
      <c r="C16" s="255" t="s">
        <v>645</v>
      </c>
      <c r="D16" s="97" t="s">
        <v>646</v>
      </c>
      <c r="E16" s="98" t="s">
        <v>299</v>
      </c>
      <c r="F16" s="256" t="s">
        <v>3312</v>
      </c>
      <c r="G16" s="256" t="s">
        <v>3312</v>
      </c>
      <c r="H16" s="98" t="s">
        <v>24</v>
      </c>
      <c r="I16" s="98" t="s">
        <v>626</v>
      </c>
      <c r="J16" s="97" t="s">
        <v>646</v>
      </c>
      <c r="K16" s="61" t="s">
        <v>602</v>
      </c>
      <c r="L16" s="255" t="s">
        <v>647</v>
      </c>
    </row>
    <row r="17" spans="1:17" s="254" customFormat="1" ht="24">
      <c r="A17" s="553"/>
      <c r="B17" s="97" t="s">
        <v>3423</v>
      </c>
      <c r="C17" s="375" t="s">
        <v>998</v>
      </c>
      <c r="D17" s="392" t="s">
        <v>3424</v>
      </c>
      <c r="E17" s="376" t="s">
        <v>1858</v>
      </c>
      <c r="F17" s="430"/>
      <c r="G17" s="430"/>
      <c r="H17" s="449" t="s">
        <v>3425</v>
      </c>
      <c r="I17" s="474" t="s">
        <v>721</v>
      </c>
      <c r="J17" s="70" t="s">
        <v>2889</v>
      </c>
      <c r="K17" s="374" t="s">
        <v>706</v>
      </c>
      <c r="L17" s="389"/>
    </row>
    <row r="18" spans="1:17" s="254" customFormat="1" ht="24">
      <c r="A18" s="554"/>
      <c r="B18" s="97" t="s">
        <v>2770</v>
      </c>
      <c r="C18" s="86" t="s">
        <v>648</v>
      </c>
      <c r="D18" s="86" t="s">
        <v>649</v>
      </c>
      <c r="E18" s="98" t="s">
        <v>299</v>
      </c>
      <c r="F18" s="256" t="s">
        <v>3307</v>
      </c>
      <c r="G18" s="256" t="s">
        <v>3926</v>
      </c>
      <c r="H18" s="98" t="s">
        <v>2405</v>
      </c>
      <c r="I18" s="258" t="s">
        <v>650</v>
      </c>
      <c r="J18" s="86" t="s">
        <v>649</v>
      </c>
      <c r="K18" s="97"/>
      <c r="L18" s="255" t="s">
        <v>651</v>
      </c>
    </row>
    <row r="19" spans="1:17" s="254" customFormat="1" ht="72">
      <c r="A19" s="552" t="s">
        <v>3146</v>
      </c>
      <c r="B19" s="97" t="s">
        <v>3965</v>
      </c>
      <c r="C19" s="86" t="s">
        <v>3962</v>
      </c>
      <c r="D19" s="428" t="s">
        <v>3961</v>
      </c>
      <c r="E19" s="468" t="s">
        <v>1858</v>
      </c>
      <c r="F19" s="468" t="s">
        <v>3624</v>
      </c>
      <c r="G19" s="428" t="s">
        <v>3962</v>
      </c>
      <c r="H19" s="468" t="s">
        <v>2405</v>
      </c>
      <c r="I19" s="475" t="s">
        <v>2469</v>
      </c>
      <c r="J19" s="428" t="s">
        <v>4040</v>
      </c>
      <c r="K19" s="428" t="s">
        <v>4184</v>
      </c>
      <c r="L19" s="428"/>
    </row>
    <row r="20" spans="1:17" s="260" customFormat="1" ht="14.5">
      <c r="A20" s="553"/>
      <c r="B20" s="97" t="s">
        <v>3964</v>
      </c>
      <c r="C20" s="255" t="s">
        <v>656</v>
      </c>
      <c r="D20" s="97" t="s">
        <v>657</v>
      </c>
      <c r="E20" s="98" t="s">
        <v>299</v>
      </c>
      <c r="F20" s="98" t="s">
        <v>3312</v>
      </c>
      <c r="G20" s="98" t="s">
        <v>3312</v>
      </c>
      <c r="H20" s="98" t="s">
        <v>57</v>
      </c>
      <c r="I20" s="98" t="s">
        <v>2392</v>
      </c>
      <c r="J20" s="97" t="s">
        <v>2398</v>
      </c>
      <c r="K20" s="61" t="s">
        <v>393</v>
      </c>
      <c r="L20" s="388"/>
      <c r="M20" s="259"/>
      <c r="N20" s="259"/>
      <c r="O20" s="259"/>
      <c r="P20" s="259"/>
      <c r="Q20" s="259"/>
    </row>
    <row r="21" spans="1:17" s="261" customFormat="1" ht="36">
      <c r="A21" s="553"/>
      <c r="B21" s="97" t="s">
        <v>3582</v>
      </c>
      <c r="C21" s="255" t="s">
        <v>1856</v>
      </c>
      <c r="D21" s="97" t="s">
        <v>658</v>
      </c>
      <c r="E21" s="98" t="s">
        <v>299</v>
      </c>
      <c r="F21" s="98" t="s">
        <v>3312</v>
      </c>
      <c r="G21" s="98" t="s">
        <v>3312</v>
      </c>
      <c r="H21" s="98" t="s">
        <v>24</v>
      </c>
      <c r="I21" s="257" t="s">
        <v>71</v>
      </c>
      <c r="J21" s="97" t="s">
        <v>3383</v>
      </c>
      <c r="K21" s="61" t="s">
        <v>602</v>
      </c>
      <c r="L21" s="388"/>
      <c r="M21" s="259"/>
      <c r="N21" s="259"/>
      <c r="O21" s="259"/>
      <c r="P21" s="259"/>
      <c r="Q21" s="259"/>
    </row>
    <row r="22" spans="1:17" s="261" customFormat="1" ht="24">
      <c r="A22" s="553"/>
      <c r="B22" s="97" t="s">
        <v>3583</v>
      </c>
      <c r="C22" s="255" t="s">
        <v>591</v>
      </c>
      <c r="D22" s="97" t="s">
        <v>592</v>
      </c>
      <c r="E22" s="98" t="s">
        <v>299</v>
      </c>
      <c r="F22" s="256" t="s">
        <v>3305</v>
      </c>
      <c r="G22" s="98" t="s">
        <v>3308</v>
      </c>
      <c r="H22" s="98" t="s">
        <v>24</v>
      </c>
      <c r="I22" s="257" t="s">
        <v>614</v>
      </c>
      <c r="J22" s="97" t="s">
        <v>615</v>
      </c>
      <c r="K22" s="61" t="s">
        <v>602</v>
      </c>
      <c r="L22" s="255" t="s">
        <v>659</v>
      </c>
      <c r="M22" s="259"/>
      <c r="N22" s="259"/>
      <c r="O22" s="259"/>
      <c r="P22" s="259"/>
      <c r="Q22" s="259"/>
    </row>
    <row r="23" spans="1:17" s="261" customFormat="1" ht="24">
      <c r="A23" s="553"/>
      <c r="B23" s="97" t="s">
        <v>3584</v>
      </c>
      <c r="C23" s="255" t="s">
        <v>1857</v>
      </c>
      <c r="D23" s="97" t="s">
        <v>660</v>
      </c>
      <c r="E23" s="98" t="s">
        <v>299</v>
      </c>
      <c r="F23" s="98" t="s">
        <v>3312</v>
      </c>
      <c r="G23" s="98" t="s">
        <v>3312</v>
      </c>
      <c r="H23" s="98" t="s">
        <v>24</v>
      </c>
      <c r="I23" s="257" t="s">
        <v>661</v>
      </c>
      <c r="J23" s="97" t="s">
        <v>660</v>
      </c>
      <c r="K23" s="61" t="s">
        <v>602</v>
      </c>
      <c r="L23" s="255" t="s">
        <v>662</v>
      </c>
      <c r="M23" s="259"/>
      <c r="N23" s="259"/>
      <c r="O23" s="259"/>
      <c r="P23" s="259"/>
      <c r="Q23" s="259"/>
    </row>
    <row r="24" spans="1:17" s="261" customFormat="1" ht="24">
      <c r="A24" s="553"/>
      <c r="B24" s="97" t="s">
        <v>4034</v>
      </c>
      <c r="C24" s="255" t="s">
        <v>663</v>
      </c>
      <c r="D24" s="97" t="s">
        <v>664</v>
      </c>
      <c r="E24" s="98" t="s">
        <v>299</v>
      </c>
      <c r="F24" s="98" t="s">
        <v>3309</v>
      </c>
      <c r="G24" s="98" t="s">
        <v>3310</v>
      </c>
      <c r="H24" s="98" t="s">
        <v>24</v>
      </c>
      <c r="I24" s="257" t="s">
        <v>2992</v>
      </c>
      <c r="J24" s="97" t="s">
        <v>4033</v>
      </c>
      <c r="K24" s="61" t="s">
        <v>602</v>
      </c>
      <c r="L24" s="255" t="s">
        <v>4022</v>
      </c>
      <c r="M24" s="259"/>
      <c r="N24" s="259"/>
      <c r="O24" s="259"/>
      <c r="P24" s="259"/>
      <c r="Q24" s="259"/>
    </row>
    <row r="25" spans="1:17" s="261" customFormat="1" ht="36">
      <c r="A25" s="553"/>
      <c r="B25" s="97" t="s">
        <v>3585</v>
      </c>
      <c r="C25" s="255" t="s">
        <v>621</v>
      </c>
      <c r="D25" s="97" t="s">
        <v>665</v>
      </c>
      <c r="E25" s="98" t="s">
        <v>299</v>
      </c>
      <c r="F25" s="98" t="s">
        <v>302</v>
      </c>
      <c r="G25" s="98" t="s">
        <v>3312</v>
      </c>
      <c r="H25" s="98" t="s">
        <v>24</v>
      </c>
      <c r="I25" s="257" t="s">
        <v>71</v>
      </c>
      <c r="J25" s="97" t="s">
        <v>2399</v>
      </c>
      <c r="K25" s="61" t="s">
        <v>602</v>
      </c>
      <c r="L25" s="388"/>
      <c r="M25" s="259"/>
      <c r="N25" s="259"/>
      <c r="O25" s="259"/>
      <c r="P25" s="259"/>
      <c r="Q25" s="259"/>
    </row>
    <row r="26" spans="1:17" s="261" customFormat="1" ht="13" customHeight="1">
      <c r="A26" s="553"/>
      <c r="B26" s="97" t="s">
        <v>3586</v>
      </c>
      <c r="C26" s="255" t="s">
        <v>579</v>
      </c>
      <c r="D26" s="97" t="s">
        <v>618</v>
      </c>
      <c r="E26" s="98" t="s">
        <v>299</v>
      </c>
      <c r="F26" s="98" t="s">
        <v>3311</v>
      </c>
      <c r="G26" s="98" t="s">
        <v>619</v>
      </c>
      <c r="H26" s="98" t="s">
        <v>24</v>
      </c>
      <c r="I26" s="257" t="s">
        <v>301</v>
      </c>
      <c r="J26" s="97" t="s">
        <v>3510</v>
      </c>
      <c r="K26" s="61" t="s">
        <v>602</v>
      </c>
      <c r="L26" s="388"/>
      <c r="M26" s="259"/>
      <c r="N26" s="259"/>
      <c r="O26" s="259"/>
      <c r="P26" s="259"/>
      <c r="Q26" s="259"/>
    </row>
    <row r="27" spans="1:17" s="261" customFormat="1" ht="192">
      <c r="A27" s="554"/>
      <c r="B27" s="97" t="s">
        <v>3587</v>
      </c>
      <c r="C27" s="255" t="s">
        <v>666</v>
      </c>
      <c r="D27" s="97" t="s">
        <v>666</v>
      </c>
      <c r="E27" s="98" t="s">
        <v>299</v>
      </c>
      <c r="F27" s="98" t="s">
        <v>3312</v>
      </c>
      <c r="G27" s="98" t="s">
        <v>3312</v>
      </c>
      <c r="H27" s="98" t="s">
        <v>24</v>
      </c>
      <c r="I27" s="98" t="s">
        <v>2991</v>
      </c>
      <c r="J27" s="97" t="s">
        <v>667</v>
      </c>
      <c r="K27" s="61" t="s">
        <v>602</v>
      </c>
      <c r="L27" s="255" t="s">
        <v>2990</v>
      </c>
      <c r="M27" s="259"/>
      <c r="N27" s="259"/>
      <c r="O27" s="259"/>
      <c r="P27" s="259"/>
      <c r="Q27" s="259"/>
    </row>
    <row r="28" spans="1:17" s="261" customFormat="1" ht="24">
      <c r="A28" s="556" t="s">
        <v>668</v>
      </c>
      <c r="B28" s="97" t="s">
        <v>3275</v>
      </c>
      <c r="C28" s="255" t="s">
        <v>2928</v>
      </c>
      <c r="D28" s="97" t="s">
        <v>2929</v>
      </c>
      <c r="E28" s="98" t="s">
        <v>299</v>
      </c>
      <c r="F28" s="98" t="s">
        <v>3312</v>
      </c>
      <c r="G28" s="98" t="s">
        <v>3312</v>
      </c>
      <c r="H28" s="98" t="s">
        <v>2931</v>
      </c>
      <c r="I28" s="98" t="s">
        <v>2932</v>
      </c>
      <c r="J28" s="97" t="s">
        <v>2933</v>
      </c>
      <c r="K28" s="61" t="s">
        <v>2934</v>
      </c>
      <c r="L28" s="255"/>
      <c r="M28" s="259"/>
      <c r="N28" s="259"/>
      <c r="O28" s="259"/>
      <c r="P28" s="259"/>
      <c r="Q28" s="259"/>
    </row>
    <row r="29" spans="1:17" s="261" customFormat="1">
      <c r="A29" s="557"/>
      <c r="B29" s="97" t="s">
        <v>3276</v>
      </c>
      <c r="C29" s="255" t="s">
        <v>3270</v>
      </c>
      <c r="D29" s="255" t="s">
        <v>3271</v>
      </c>
      <c r="E29" s="98" t="s">
        <v>299</v>
      </c>
      <c r="F29" s="98" t="s">
        <v>3312</v>
      </c>
      <c r="G29" s="98" t="s">
        <v>3312</v>
      </c>
      <c r="H29" s="98" t="s">
        <v>3272</v>
      </c>
      <c r="I29" s="257" t="s">
        <v>71</v>
      </c>
      <c r="J29" s="255" t="s">
        <v>3274</v>
      </c>
      <c r="K29" s="255" t="s">
        <v>3273</v>
      </c>
      <c r="L29" s="255"/>
      <c r="M29" s="259"/>
      <c r="N29" s="259"/>
      <c r="O29" s="259"/>
      <c r="P29" s="259"/>
      <c r="Q29" s="259"/>
    </row>
    <row r="30" spans="1:17" s="259" customFormat="1" ht="24">
      <c r="A30" s="558"/>
      <c r="B30" s="97" t="s">
        <v>3640</v>
      </c>
      <c r="C30" s="255" t="s">
        <v>669</v>
      </c>
      <c r="D30" s="97" t="s">
        <v>670</v>
      </c>
      <c r="E30" s="98" t="s">
        <v>299</v>
      </c>
      <c r="F30" s="98" t="s">
        <v>3312</v>
      </c>
      <c r="G30" s="98" t="s">
        <v>3312</v>
      </c>
      <c r="H30" s="98" t="s">
        <v>24</v>
      </c>
      <c r="I30" s="257" t="s">
        <v>310</v>
      </c>
      <c r="J30" s="97" t="s">
        <v>671</v>
      </c>
      <c r="K30" s="61" t="s">
        <v>319</v>
      </c>
      <c r="L30" s="388"/>
    </row>
    <row r="31" spans="1:17" s="259" customFormat="1" ht="24">
      <c r="A31" s="559"/>
      <c r="B31" s="97" t="s">
        <v>3277</v>
      </c>
      <c r="C31" s="255" t="s">
        <v>672</v>
      </c>
      <c r="D31" s="97" t="s">
        <v>673</v>
      </c>
      <c r="E31" s="98" t="s">
        <v>577</v>
      </c>
      <c r="F31" s="98" t="s">
        <v>3312</v>
      </c>
      <c r="G31" s="98" t="s">
        <v>3312</v>
      </c>
      <c r="H31" s="98" t="s">
        <v>24</v>
      </c>
      <c r="I31" s="257" t="s">
        <v>310</v>
      </c>
      <c r="J31" s="97" t="s">
        <v>674</v>
      </c>
      <c r="K31" s="61" t="s">
        <v>319</v>
      </c>
      <c r="L31" s="388"/>
    </row>
    <row r="32" spans="1:17" ht="24">
      <c r="A32" s="555" t="s">
        <v>603</v>
      </c>
      <c r="B32" s="90" t="s">
        <v>2895</v>
      </c>
      <c r="C32" s="88" t="s">
        <v>604</v>
      </c>
      <c r="D32" s="90" t="s">
        <v>605</v>
      </c>
      <c r="E32" s="89" t="s">
        <v>299</v>
      </c>
      <c r="F32" s="98" t="s">
        <v>3312</v>
      </c>
      <c r="G32" s="98" t="s">
        <v>3312</v>
      </c>
      <c r="H32" s="89" t="s">
        <v>24</v>
      </c>
      <c r="I32" s="91" t="s">
        <v>2894</v>
      </c>
      <c r="J32" s="383" t="s">
        <v>302</v>
      </c>
      <c r="K32" s="386" t="s">
        <v>319</v>
      </c>
      <c r="L32" s="390"/>
    </row>
    <row r="33" spans="1:12" ht="24">
      <c r="A33" s="537"/>
      <c r="B33" s="22" t="s">
        <v>2636</v>
      </c>
      <c r="C33" s="31" t="s">
        <v>606</v>
      </c>
      <c r="D33" s="22" t="s">
        <v>607</v>
      </c>
      <c r="E33" s="32" t="s">
        <v>299</v>
      </c>
      <c r="F33" s="98" t="s">
        <v>3312</v>
      </c>
      <c r="G33" s="98" t="s">
        <v>3312</v>
      </c>
      <c r="H33" s="32" t="s">
        <v>57</v>
      </c>
      <c r="I33" s="38" t="s">
        <v>2974</v>
      </c>
      <c r="J33" s="384" t="s">
        <v>302</v>
      </c>
      <c r="K33" s="17" t="s">
        <v>602</v>
      </c>
      <c r="L33" s="391" t="s">
        <v>608</v>
      </c>
    </row>
    <row r="34" spans="1:12" ht="36">
      <c r="A34" s="537"/>
      <c r="B34" s="22" t="s">
        <v>2835</v>
      </c>
      <c r="C34" s="31" t="s">
        <v>609</v>
      </c>
      <c r="D34" s="22" t="s">
        <v>610</v>
      </c>
      <c r="E34" s="32" t="s">
        <v>299</v>
      </c>
      <c r="F34" s="98" t="s">
        <v>3312</v>
      </c>
      <c r="G34" s="98" t="s">
        <v>3312</v>
      </c>
      <c r="H34" s="32" t="s">
        <v>57</v>
      </c>
      <c r="I34" s="38" t="s">
        <v>469</v>
      </c>
      <c r="J34" s="384" t="s">
        <v>302</v>
      </c>
      <c r="K34" s="17" t="s">
        <v>319</v>
      </c>
      <c r="L34" s="391"/>
    </row>
    <row r="35" spans="1:12" ht="46" customHeight="1">
      <c r="A35" s="555" t="s">
        <v>2981</v>
      </c>
      <c r="B35" s="22" t="s">
        <v>2977</v>
      </c>
      <c r="C35" s="17" t="s">
        <v>1727</v>
      </c>
      <c r="D35" s="17" t="s">
        <v>1728</v>
      </c>
      <c r="E35" s="393" t="s">
        <v>369</v>
      </c>
      <c r="F35" s="98" t="s">
        <v>3312</v>
      </c>
      <c r="G35" s="98" t="s">
        <v>3312</v>
      </c>
      <c r="H35" s="450" t="s">
        <v>2405</v>
      </c>
      <c r="I35" s="457" t="s">
        <v>350</v>
      </c>
      <c r="J35" s="22" t="s">
        <v>4181</v>
      </c>
      <c r="K35" s="384"/>
      <c r="L35" s="396"/>
    </row>
    <row r="36" spans="1:12">
      <c r="A36" s="537"/>
      <c r="B36" s="22" t="s">
        <v>2975</v>
      </c>
      <c r="C36" s="17" t="s">
        <v>2978</v>
      </c>
      <c r="D36" s="17" t="s">
        <v>2979</v>
      </c>
      <c r="E36" s="393" t="s">
        <v>2980</v>
      </c>
      <c r="F36" s="98" t="s">
        <v>3312</v>
      </c>
      <c r="G36" s="98" t="s">
        <v>3312</v>
      </c>
      <c r="H36" s="393" t="s">
        <v>2931</v>
      </c>
      <c r="I36" s="457" t="s">
        <v>2469</v>
      </c>
      <c r="J36" s="17" t="s">
        <v>2930</v>
      </c>
      <c r="K36" s="17"/>
      <c r="L36" s="17" t="s">
        <v>3071</v>
      </c>
    </row>
    <row r="37" spans="1:12" s="83" customFormat="1" ht="48">
      <c r="A37" s="518" t="s">
        <v>3186</v>
      </c>
      <c r="B37" s="155" t="s">
        <v>3299</v>
      </c>
      <c r="C37" s="155" t="s">
        <v>3187</v>
      </c>
      <c r="D37" s="155" t="s">
        <v>3188</v>
      </c>
      <c r="E37" s="426" t="s">
        <v>3192</v>
      </c>
      <c r="F37" s="156" t="s">
        <v>302</v>
      </c>
      <c r="G37" s="156" t="s">
        <v>302</v>
      </c>
      <c r="H37" s="156" t="s">
        <v>3272</v>
      </c>
      <c r="I37" s="156" t="s">
        <v>519</v>
      </c>
      <c r="J37" s="255" t="s">
        <v>3189</v>
      </c>
      <c r="K37" s="155"/>
      <c r="L37" s="155"/>
    </row>
    <row r="38" spans="1:12" s="83" customFormat="1" ht="24">
      <c r="A38" s="520"/>
      <c r="B38" s="418" t="s">
        <v>3198</v>
      </c>
      <c r="C38" s="418" t="s">
        <v>3190</v>
      </c>
      <c r="D38" s="418" t="s">
        <v>3191</v>
      </c>
      <c r="E38" s="426" t="s">
        <v>3192</v>
      </c>
      <c r="F38" s="419" t="s">
        <v>302</v>
      </c>
      <c r="G38" s="419" t="s">
        <v>302</v>
      </c>
      <c r="H38" s="419" t="s">
        <v>3272</v>
      </c>
      <c r="I38" s="419" t="s">
        <v>519</v>
      </c>
      <c r="J38" s="418" t="s">
        <v>3195</v>
      </c>
      <c r="K38" s="418"/>
      <c r="L38" s="420"/>
    </row>
    <row r="39" spans="1:12" ht="24">
      <c r="A39" s="411" t="s">
        <v>3197</v>
      </c>
      <c r="B39" s="418" t="s">
        <v>3196</v>
      </c>
      <c r="C39" s="155" t="s">
        <v>382</v>
      </c>
      <c r="D39" s="155" t="s">
        <v>383</v>
      </c>
      <c r="E39" s="156" t="s">
        <v>299</v>
      </c>
      <c r="F39" s="156" t="s">
        <v>302</v>
      </c>
      <c r="G39" s="156" t="s">
        <v>302</v>
      </c>
      <c r="H39" s="156" t="s">
        <v>2405</v>
      </c>
      <c r="I39" s="156" t="s">
        <v>3098</v>
      </c>
      <c r="J39" s="156" t="s">
        <v>2677</v>
      </c>
      <c r="K39" s="155"/>
      <c r="L39" s="281"/>
    </row>
    <row r="40" spans="1:12" ht="36">
      <c r="A40" s="552" t="s">
        <v>3264</v>
      </c>
      <c r="B40" s="155" t="s">
        <v>3246</v>
      </c>
      <c r="C40" s="155" t="s">
        <v>3247</v>
      </c>
      <c r="D40" s="155" t="s">
        <v>3248</v>
      </c>
      <c r="E40" s="156" t="s">
        <v>299</v>
      </c>
      <c r="F40" s="156" t="s">
        <v>302</v>
      </c>
      <c r="G40" s="156" t="s">
        <v>302</v>
      </c>
      <c r="H40" s="156" t="s">
        <v>24</v>
      </c>
      <c r="I40" s="156" t="s">
        <v>3281</v>
      </c>
      <c r="J40" s="428" t="s">
        <v>3249</v>
      </c>
      <c r="K40" s="155"/>
      <c r="L40" s="281"/>
    </row>
    <row r="41" spans="1:12" ht="24">
      <c r="A41" s="560"/>
      <c r="B41" s="155" t="s">
        <v>3250</v>
      </c>
      <c r="C41" s="155" t="s">
        <v>3251</v>
      </c>
      <c r="D41" s="155" t="s">
        <v>3252</v>
      </c>
      <c r="E41" s="156" t="s">
        <v>299</v>
      </c>
      <c r="F41" s="156" t="s">
        <v>302</v>
      </c>
      <c r="G41" s="156" t="s">
        <v>302</v>
      </c>
      <c r="H41" s="156" t="s">
        <v>24</v>
      </c>
      <c r="I41" s="156" t="s">
        <v>310</v>
      </c>
      <c r="J41" s="428" t="s">
        <v>3253</v>
      </c>
      <c r="K41" s="155"/>
      <c r="L41" s="281"/>
    </row>
    <row r="42" spans="1:12" ht="24.5" thickBot="1">
      <c r="A42" s="560"/>
      <c r="B42" s="155" t="s">
        <v>3254</v>
      </c>
      <c r="C42" s="155" t="s">
        <v>3255</v>
      </c>
      <c r="D42" s="155" t="s">
        <v>3256</v>
      </c>
      <c r="E42" s="156" t="s">
        <v>299</v>
      </c>
      <c r="F42" s="156" t="s">
        <v>302</v>
      </c>
      <c r="G42" s="156" t="s">
        <v>302</v>
      </c>
      <c r="H42" s="156" t="s">
        <v>24</v>
      </c>
      <c r="I42" s="419" t="s">
        <v>3543</v>
      </c>
      <c r="J42" s="428" t="s">
        <v>3257</v>
      </c>
      <c r="K42" s="155"/>
      <c r="L42" s="281"/>
    </row>
    <row r="43" spans="1:12" ht="14" customHeight="1" thickBot="1">
      <c r="A43" s="560"/>
      <c r="B43" s="491" t="s">
        <v>4213</v>
      </c>
      <c r="C43" s="492" t="s">
        <v>4214</v>
      </c>
      <c r="D43" s="492" t="s">
        <v>4215</v>
      </c>
      <c r="E43" s="493" t="s">
        <v>299</v>
      </c>
      <c r="F43" s="493" t="s">
        <v>302</v>
      </c>
      <c r="G43" s="493" t="s">
        <v>302</v>
      </c>
      <c r="H43" s="493" t="s">
        <v>57</v>
      </c>
      <c r="I43" s="494" t="s">
        <v>354</v>
      </c>
      <c r="J43" s="428" t="s">
        <v>4216</v>
      </c>
      <c r="K43" s="155"/>
      <c r="L43" s="281"/>
    </row>
    <row r="44" spans="1:12" ht="24">
      <c r="A44" s="560"/>
      <c r="B44" s="155" t="s">
        <v>3258</v>
      </c>
      <c r="C44" s="155" t="s">
        <v>3259</v>
      </c>
      <c r="D44" s="155" t="s">
        <v>3265</v>
      </c>
      <c r="E44" s="156" t="s">
        <v>299</v>
      </c>
      <c r="F44" s="156" t="s">
        <v>302</v>
      </c>
      <c r="G44" s="156" t="s">
        <v>302</v>
      </c>
      <c r="H44" s="419" t="s">
        <v>24</v>
      </c>
      <c r="I44" s="419" t="s">
        <v>4218</v>
      </c>
      <c r="J44" s="428" t="s">
        <v>4219</v>
      </c>
      <c r="K44" s="155"/>
      <c r="L44" s="281"/>
    </row>
    <row r="45" spans="1:12" ht="24">
      <c r="A45" s="561"/>
      <c r="B45" s="155" t="s">
        <v>3260</v>
      </c>
      <c r="C45" s="155" t="s">
        <v>3261</v>
      </c>
      <c r="D45" s="155" t="s">
        <v>3262</v>
      </c>
      <c r="E45" s="156" t="s">
        <v>299</v>
      </c>
      <c r="F45" s="156" t="s">
        <v>302</v>
      </c>
      <c r="G45" s="156" t="s">
        <v>302</v>
      </c>
      <c r="H45" s="419" t="s">
        <v>24</v>
      </c>
      <c r="I45" s="419" t="s">
        <v>3543</v>
      </c>
      <c r="J45" s="428" t="s">
        <v>3263</v>
      </c>
      <c r="K45" s="155"/>
      <c r="L45" s="281"/>
    </row>
    <row r="46" spans="1:12" ht="24">
      <c r="A46" s="555" t="s">
        <v>3239</v>
      </c>
      <c r="B46" s="22" t="s">
        <v>3682</v>
      </c>
      <c r="C46" s="22" t="s">
        <v>3289</v>
      </c>
      <c r="D46" s="22" t="s">
        <v>3289</v>
      </c>
      <c r="E46" s="32" t="s">
        <v>3240</v>
      </c>
      <c r="F46" s="156" t="s">
        <v>302</v>
      </c>
      <c r="G46" s="156" t="s">
        <v>302</v>
      </c>
      <c r="H46" s="32" t="s">
        <v>1869</v>
      </c>
      <c r="I46" s="32" t="s">
        <v>3544</v>
      </c>
      <c r="J46" s="22" t="s">
        <v>3290</v>
      </c>
      <c r="K46" s="22"/>
      <c r="L46" s="22" t="s">
        <v>3241</v>
      </c>
    </row>
    <row r="47" spans="1:12" ht="24">
      <c r="A47" s="537"/>
      <c r="B47" s="22" t="s">
        <v>3683</v>
      </c>
      <c r="C47" s="22" t="s">
        <v>3242</v>
      </c>
      <c r="D47" s="22" t="s">
        <v>3243</v>
      </c>
      <c r="E47" s="32" t="s">
        <v>3240</v>
      </c>
      <c r="F47" s="156" t="s">
        <v>302</v>
      </c>
      <c r="G47" s="156" t="s">
        <v>302</v>
      </c>
      <c r="H47" s="32" t="s">
        <v>1869</v>
      </c>
      <c r="I47" s="32" t="s">
        <v>2804</v>
      </c>
      <c r="J47" s="22" t="s">
        <v>3244</v>
      </c>
      <c r="K47" s="22"/>
      <c r="L47" s="22" t="s">
        <v>3241</v>
      </c>
    </row>
    <row r="48" spans="1:12" ht="24">
      <c r="A48" s="538" t="s">
        <v>3658</v>
      </c>
      <c r="B48" s="22" t="s">
        <v>3684</v>
      </c>
      <c r="C48" s="22" t="s">
        <v>3665</v>
      </c>
      <c r="D48" s="22" t="s">
        <v>3669</v>
      </c>
      <c r="E48" s="32" t="s">
        <v>3661</v>
      </c>
      <c r="F48" s="32" t="s">
        <v>3662</v>
      </c>
      <c r="G48" s="32" t="s">
        <v>3660</v>
      </c>
      <c r="H48" s="32" t="s">
        <v>1869</v>
      </c>
      <c r="I48" s="32" t="s">
        <v>3663</v>
      </c>
      <c r="J48" s="22" t="s">
        <v>3664</v>
      </c>
      <c r="K48" s="22"/>
      <c r="L48" s="22" t="s">
        <v>3241</v>
      </c>
    </row>
    <row r="49" spans="1:12" ht="24">
      <c r="A49" s="539"/>
      <c r="B49" s="22" t="s">
        <v>3685</v>
      </c>
      <c r="C49" s="22" t="s">
        <v>3666</v>
      </c>
      <c r="D49" s="22" t="s">
        <v>3670</v>
      </c>
      <c r="E49" s="32" t="s">
        <v>3661</v>
      </c>
      <c r="F49" s="32" t="s">
        <v>3662</v>
      </c>
      <c r="G49" s="32" t="s">
        <v>3660</v>
      </c>
      <c r="H49" s="32" t="s">
        <v>1869</v>
      </c>
      <c r="I49" s="32" t="s">
        <v>3663</v>
      </c>
      <c r="J49" s="22" t="s">
        <v>3664</v>
      </c>
      <c r="K49" s="22"/>
      <c r="L49" s="22" t="s">
        <v>3241</v>
      </c>
    </row>
    <row r="50" spans="1:12" ht="24">
      <c r="A50" s="539"/>
      <c r="B50" s="22" t="s">
        <v>3686</v>
      </c>
      <c r="C50" s="22" t="s">
        <v>3667</v>
      </c>
      <c r="D50" s="22" t="s">
        <v>3671</v>
      </c>
      <c r="E50" s="32" t="s">
        <v>3661</v>
      </c>
      <c r="F50" s="32" t="s">
        <v>3662</v>
      </c>
      <c r="G50" s="32" t="s">
        <v>3660</v>
      </c>
      <c r="H50" s="32" t="s">
        <v>1869</v>
      </c>
      <c r="I50" s="32" t="s">
        <v>3663</v>
      </c>
      <c r="J50" s="22" t="s">
        <v>3664</v>
      </c>
      <c r="K50" s="22"/>
      <c r="L50" s="22" t="s">
        <v>3241</v>
      </c>
    </row>
    <row r="51" spans="1:12" ht="24">
      <c r="A51" s="539"/>
      <c r="B51" s="22" t="s">
        <v>3687</v>
      </c>
      <c r="C51" s="22" t="s">
        <v>3668</v>
      </c>
      <c r="D51" s="22" t="s">
        <v>3672</v>
      </c>
      <c r="E51" s="32" t="s">
        <v>3661</v>
      </c>
      <c r="F51" s="32" t="s">
        <v>3662</v>
      </c>
      <c r="G51" s="32" t="s">
        <v>3660</v>
      </c>
      <c r="H51" s="32" t="s">
        <v>1869</v>
      </c>
      <c r="I51" s="32" t="s">
        <v>3663</v>
      </c>
      <c r="J51" s="22" t="s">
        <v>3664</v>
      </c>
      <c r="K51" s="22"/>
      <c r="L51" s="22" t="s">
        <v>3241</v>
      </c>
    </row>
    <row r="52" spans="1:12" ht="24">
      <c r="A52" s="539"/>
      <c r="B52" s="22" t="s">
        <v>3688</v>
      </c>
      <c r="C52" s="22" t="s">
        <v>3673</v>
      </c>
      <c r="D52" s="22" t="s">
        <v>3677</v>
      </c>
      <c r="E52" s="32" t="s">
        <v>3661</v>
      </c>
      <c r="F52" s="32" t="s">
        <v>3662</v>
      </c>
      <c r="G52" s="32" t="s">
        <v>3659</v>
      </c>
      <c r="H52" s="32" t="s">
        <v>1869</v>
      </c>
      <c r="I52" s="32" t="s">
        <v>3663</v>
      </c>
      <c r="J52" s="22" t="s">
        <v>3664</v>
      </c>
      <c r="K52" s="22"/>
      <c r="L52" s="22" t="s">
        <v>3241</v>
      </c>
    </row>
    <row r="53" spans="1:12" ht="24">
      <c r="A53" s="550"/>
      <c r="B53" s="22" t="s">
        <v>3689</v>
      </c>
      <c r="C53" s="22" t="s">
        <v>3674</v>
      </c>
      <c r="D53" s="22" t="s">
        <v>3678</v>
      </c>
      <c r="E53" s="32" t="s">
        <v>3661</v>
      </c>
      <c r="F53" s="32" t="s">
        <v>3662</v>
      </c>
      <c r="G53" s="32" t="s">
        <v>3659</v>
      </c>
      <c r="H53" s="32" t="s">
        <v>1869</v>
      </c>
      <c r="I53" s="32" t="s">
        <v>3663</v>
      </c>
      <c r="J53" s="22" t="s">
        <v>3664</v>
      </c>
      <c r="K53" s="22"/>
      <c r="L53" s="22" t="s">
        <v>3241</v>
      </c>
    </row>
    <row r="54" spans="1:12" ht="24">
      <c r="A54" s="550"/>
      <c r="B54" s="22" t="s">
        <v>3690</v>
      </c>
      <c r="C54" s="22" t="s">
        <v>3675</v>
      </c>
      <c r="D54" s="22" t="s">
        <v>3679</v>
      </c>
      <c r="E54" s="32" t="s">
        <v>3661</v>
      </c>
      <c r="F54" s="32" t="s">
        <v>3662</v>
      </c>
      <c r="G54" s="32" t="s">
        <v>3659</v>
      </c>
      <c r="H54" s="32" t="s">
        <v>1869</v>
      </c>
      <c r="I54" s="32" t="s">
        <v>3663</v>
      </c>
      <c r="J54" s="22" t="s">
        <v>3664</v>
      </c>
      <c r="K54" s="22"/>
      <c r="L54" s="22" t="s">
        <v>3241</v>
      </c>
    </row>
    <row r="55" spans="1:12" ht="24">
      <c r="A55" s="551"/>
      <c r="B55" s="22" t="s">
        <v>3691</v>
      </c>
      <c r="C55" s="22" t="s">
        <v>3676</v>
      </c>
      <c r="D55" s="22" t="s">
        <v>3680</v>
      </c>
      <c r="E55" s="32" t="s">
        <v>3661</v>
      </c>
      <c r="F55" s="32" t="s">
        <v>3662</v>
      </c>
      <c r="G55" s="32" t="s">
        <v>3659</v>
      </c>
      <c r="H55" s="32" t="s">
        <v>1869</v>
      </c>
      <c r="I55" s="32" t="s">
        <v>3663</v>
      </c>
      <c r="J55" s="22" t="s">
        <v>3664</v>
      </c>
      <c r="K55" s="22"/>
      <c r="L55" s="22" t="s">
        <v>3241</v>
      </c>
    </row>
    <row r="56" spans="1:12" ht="24">
      <c r="A56" s="549" t="s">
        <v>3681</v>
      </c>
      <c r="B56" s="283" t="s">
        <v>4021</v>
      </c>
      <c r="C56" s="283" t="s">
        <v>3698</v>
      </c>
      <c r="D56" s="283" t="s">
        <v>3692</v>
      </c>
      <c r="E56" s="91" t="s">
        <v>1858</v>
      </c>
      <c r="F56" s="91" t="s">
        <v>3695</v>
      </c>
      <c r="G56" s="91" t="s">
        <v>3696</v>
      </c>
      <c r="H56" s="91" t="s">
        <v>2405</v>
      </c>
      <c r="I56" s="91" t="s">
        <v>2532</v>
      </c>
      <c r="J56" s="283" t="s">
        <v>3692</v>
      </c>
      <c r="K56" s="283"/>
      <c r="L56" s="283" t="s">
        <v>4185</v>
      </c>
    </row>
    <row r="57" spans="1:12" ht="24">
      <c r="A57" s="550"/>
      <c r="B57" s="283" t="s">
        <v>3990</v>
      </c>
      <c r="C57" s="90" t="s">
        <v>3795</v>
      </c>
      <c r="D57" s="90" t="s">
        <v>3797</v>
      </c>
      <c r="E57" s="89" t="s">
        <v>3734</v>
      </c>
      <c r="F57" s="89" t="s">
        <v>3796</v>
      </c>
      <c r="G57" s="89" t="s">
        <v>3795</v>
      </c>
      <c r="H57" s="32" t="s">
        <v>1869</v>
      </c>
      <c r="I57" s="32" t="s">
        <v>2828</v>
      </c>
      <c r="J57" s="22" t="s">
        <v>3798</v>
      </c>
      <c r="K57" s="90"/>
      <c r="L57" s="283" t="s">
        <v>4185</v>
      </c>
    </row>
    <row r="58" spans="1:12" ht="13" customHeight="1">
      <c r="A58" s="550"/>
      <c r="B58" s="283" t="s">
        <v>4128</v>
      </c>
      <c r="C58" s="283" t="s">
        <v>3693</v>
      </c>
      <c r="D58" s="283" t="s">
        <v>3694</v>
      </c>
      <c r="E58" s="91" t="s">
        <v>1858</v>
      </c>
      <c r="F58" s="91" t="s">
        <v>3695</v>
      </c>
      <c r="G58" s="91" t="s">
        <v>3696</v>
      </c>
      <c r="H58" s="91" t="s">
        <v>2405</v>
      </c>
      <c r="I58" s="91" t="s">
        <v>3697</v>
      </c>
      <c r="J58" s="283" t="s">
        <v>3510</v>
      </c>
      <c r="K58" s="283"/>
      <c r="L58" s="283" t="s">
        <v>4185</v>
      </c>
    </row>
    <row r="59" spans="1:12" ht="72">
      <c r="A59" s="550"/>
      <c r="B59" s="283" t="s">
        <v>3992</v>
      </c>
      <c r="C59" s="283" t="s">
        <v>3696</v>
      </c>
      <c r="D59" s="283" t="s">
        <v>3699</v>
      </c>
      <c r="E59" s="91" t="s">
        <v>1858</v>
      </c>
      <c r="F59" s="91" t="s">
        <v>3695</v>
      </c>
      <c r="G59" s="91" t="s">
        <v>3696</v>
      </c>
      <c r="H59" s="91" t="s">
        <v>2405</v>
      </c>
      <c r="I59" s="91" t="s">
        <v>2469</v>
      </c>
      <c r="J59" s="283" t="s">
        <v>3700</v>
      </c>
      <c r="K59" s="283"/>
      <c r="L59" s="283" t="s">
        <v>4185</v>
      </c>
    </row>
    <row r="60" spans="1:12" ht="169">
      <c r="A60" s="550"/>
      <c r="B60" s="283" t="s">
        <v>3991</v>
      </c>
      <c r="C60" s="283" t="s">
        <v>3805</v>
      </c>
      <c r="D60" s="470" t="s">
        <v>3807</v>
      </c>
      <c r="E60" s="91" t="s">
        <v>1858</v>
      </c>
      <c r="F60" s="91" t="s">
        <v>3770</v>
      </c>
      <c r="G60" s="283" t="s">
        <v>3805</v>
      </c>
      <c r="H60" s="91" t="s">
        <v>2405</v>
      </c>
      <c r="I60" s="91" t="s">
        <v>2469</v>
      </c>
      <c r="J60" s="470" t="s">
        <v>3809</v>
      </c>
      <c r="K60" s="283"/>
      <c r="L60" s="283" t="s">
        <v>4185</v>
      </c>
    </row>
    <row r="61" spans="1:12" ht="78">
      <c r="A61" s="551"/>
      <c r="B61" s="283" t="s">
        <v>3993</v>
      </c>
      <c r="C61" s="283" t="s">
        <v>3806</v>
      </c>
      <c r="D61" s="470" t="s">
        <v>3808</v>
      </c>
      <c r="E61" s="91" t="s">
        <v>1858</v>
      </c>
      <c r="F61" s="91" t="s">
        <v>3770</v>
      </c>
      <c r="G61" s="283" t="s">
        <v>3806</v>
      </c>
      <c r="H61" s="91" t="s">
        <v>2405</v>
      </c>
      <c r="I61" s="91" t="s">
        <v>2469</v>
      </c>
      <c r="J61" s="470" t="s">
        <v>3810</v>
      </c>
      <c r="K61" s="283"/>
      <c r="L61" s="283" t="s">
        <v>4185</v>
      </c>
    </row>
    <row r="62" spans="1:12" s="3" customFormat="1" ht="13" customHeight="1">
      <c r="A62" s="549" t="s">
        <v>3988</v>
      </c>
      <c r="B62" s="432" t="s">
        <v>3987</v>
      </c>
      <c r="C62" s="433" t="s">
        <v>3284</v>
      </c>
      <c r="D62" s="433" t="s">
        <v>3278</v>
      </c>
      <c r="E62" s="434" t="s">
        <v>3279</v>
      </c>
      <c r="F62" s="434" t="s">
        <v>3307</v>
      </c>
      <c r="G62" s="434" t="s">
        <v>3920</v>
      </c>
      <c r="H62" s="434" t="s">
        <v>3280</v>
      </c>
      <c r="I62" s="156" t="s">
        <v>3282</v>
      </c>
      <c r="J62" s="433" t="s">
        <v>3283</v>
      </c>
      <c r="K62" s="469" t="s">
        <v>706</v>
      </c>
      <c r="L62" s="220"/>
    </row>
    <row r="63" spans="1:12" s="3" customFormat="1" ht="13" customHeight="1">
      <c r="A63" s="550"/>
      <c r="B63" s="111" t="s">
        <v>4018</v>
      </c>
      <c r="C63" s="111" t="s">
        <v>4019</v>
      </c>
      <c r="D63" s="73" t="s">
        <v>4020</v>
      </c>
      <c r="E63" s="434" t="s">
        <v>3279</v>
      </c>
      <c r="F63" s="434" t="s">
        <v>3307</v>
      </c>
      <c r="G63" s="115" t="s">
        <v>3285</v>
      </c>
      <c r="H63" s="434" t="s">
        <v>3280</v>
      </c>
      <c r="I63" s="156" t="s">
        <v>4015</v>
      </c>
      <c r="J63" s="285" t="s">
        <v>3286</v>
      </c>
      <c r="K63" s="469" t="s">
        <v>706</v>
      </c>
      <c r="L63" s="220"/>
    </row>
    <row r="64" spans="1:12" s="3" customFormat="1" ht="13" customHeight="1">
      <c r="A64" s="550"/>
      <c r="B64" s="111" t="s">
        <v>4013</v>
      </c>
      <c r="C64" s="111" t="s">
        <v>4014</v>
      </c>
      <c r="D64" s="73" t="s">
        <v>4017</v>
      </c>
      <c r="E64" s="434" t="s">
        <v>3279</v>
      </c>
      <c r="F64" s="434" t="s">
        <v>3307</v>
      </c>
      <c r="G64" s="115" t="s">
        <v>3285</v>
      </c>
      <c r="H64" s="434" t="s">
        <v>3280</v>
      </c>
      <c r="I64" s="156" t="s">
        <v>4016</v>
      </c>
      <c r="J64" s="285" t="s">
        <v>3286</v>
      </c>
      <c r="K64" s="473" t="s">
        <v>2910</v>
      </c>
      <c r="L64" s="220"/>
    </row>
    <row r="65" spans="1:12" s="3" customFormat="1" ht="13" customHeight="1">
      <c r="A65" s="551"/>
      <c r="B65" s="111" t="s">
        <v>3986</v>
      </c>
      <c r="C65" s="111" t="s">
        <v>3921</v>
      </c>
      <c r="D65" s="73" t="s">
        <v>3287</v>
      </c>
      <c r="E65" s="434" t="s">
        <v>3279</v>
      </c>
      <c r="F65" s="434" t="s">
        <v>3307</v>
      </c>
      <c r="G65" s="115" t="s">
        <v>3329</v>
      </c>
      <c r="H65" s="434" t="s">
        <v>3280</v>
      </c>
      <c r="I65" s="156" t="s">
        <v>2391</v>
      </c>
      <c r="J65" s="285" t="s">
        <v>3288</v>
      </c>
      <c r="K65" s="469" t="s">
        <v>706</v>
      </c>
      <c r="L65" s="220"/>
    </row>
  </sheetData>
  <mergeCells count="12">
    <mergeCell ref="A62:A65"/>
    <mergeCell ref="A56:A61"/>
    <mergeCell ref="A19:A27"/>
    <mergeCell ref="A6:A8"/>
    <mergeCell ref="A32:A34"/>
    <mergeCell ref="A28:A31"/>
    <mergeCell ref="A48:A55"/>
    <mergeCell ref="A46:A47"/>
    <mergeCell ref="A37:A38"/>
    <mergeCell ref="A35:A36"/>
    <mergeCell ref="A40:A45"/>
    <mergeCell ref="A9:A18"/>
  </mergeCells>
  <phoneticPr fontId="53" type="noConversion"/>
  <pageMargins left="0.69930555555555596" right="0.69930555555555596"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dimension ref="A1:L143"/>
  <sheetViews>
    <sheetView zoomScale="85" zoomScaleNormal="85" workbookViewId="0">
      <pane xSplit="1" ySplit="1" topLeftCell="C2" activePane="bottomRight" state="frozen"/>
      <selection pane="topRight"/>
      <selection pane="bottomLeft"/>
      <selection pane="bottomRight" sqref="A1:XFD1048576"/>
    </sheetView>
  </sheetViews>
  <sheetFormatPr defaultColWidth="9" defaultRowHeight="13" customHeight="1"/>
  <cols>
    <col min="1" max="1" width="13.36328125" style="80" customWidth="1"/>
    <col min="2" max="2" width="127.08984375" style="81" customWidth="1"/>
    <col min="3" max="3" width="10.90625" style="82" customWidth="1"/>
    <col min="4" max="4" width="14" style="81" customWidth="1"/>
    <col min="5" max="5" width="6.08984375" style="83" customWidth="1"/>
    <col min="6" max="6" width="9.1796875" style="80" customWidth="1"/>
    <col min="7" max="7" width="17" style="58" customWidth="1"/>
    <col min="8" max="8" width="12.453125" style="80" customWidth="1"/>
    <col min="9" max="9" width="15.7265625" style="82" customWidth="1"/>
    <col min="10" max="10" width="27" style="81" customWidth="1"/>
    <col min="11" max="11" width="29.453125" style="83" customWidth="1"/>
    <col min="12" max="12" width="31.36328125" style="84" customWidth="1"/>
    <col min="13" max="16384" width="9" style="83"/>
  </cols>
  <sheetData>
    <row r="1" spans="1:12" s="78" customFormat="1" ht="32.25" customHeight="1">
      <c r="A1" s="40" t="s">
        <v>6</v>
      </c>
      <c r="B1" s="40" t="s">
        <v>288</v>
      </c>
      <c r="C1" s="40" t="s">
        <v>289</v>
      </c>
      <c r="D1" s="40" t="s">
        <v>290</v>
      </c>
      <c r="E1" s="40" t="s">
        <v>291</v>
      </c>
      <c r="F1" s="40" t="s">
        <v>292</v>
      </c>
      <c r="G1" s="40" t="s">
        <v>293</v>
      </c>
      <c r="H1" s="40" t="s">
        <v>8</v>
      </c>
      <c r="I1" s="85" t="s">
        <v>6</v>
      </c>
      <c r="J1" s="150" t="s">
        <v>294</v>
      </c>
      <c r="K1" s="40" t="s">
        <v>241</v>
      </c>
      <c r="L1" s="40"/>
    </row>
    <row r="2" spans="1:12" s="3" customFormat="1" ht="36">
      <c r="A2" s="565" t="s">
        <v>702</v>
      </c>
      <c r="B2" s="73" t="s">
        <v>3935</v>
      </c>
      <c r="C2" s="73" t="s">
        <v>703</v>
      </c>
      <c r="D2" s="73" t="s">
        <v>2545</v>
      </c>
      <c r="E2" s="115" t="s">
        <v>1858</v>
      </c>
      <c r="F2" s="440" t="s">
        <v>3331</v>
      </c>
      <c r="G2" s="440" t="s">
        <v>3331</v>
      </c>
      <c r="H2" s="115" t="s">
        <v>2904</v>
      </c>
      <c r="I2" s="77" t="s">
        <v>704</v>
      </c>
      <c r="J2" s="37" t="s">
        <v>705</v>
      </c>
      <c r="K2" s="205" t="s">
        <v>706</v>
      </c>
      <c r="L2" s="220"/>
    </row>
    <row r="3" spans="1:12" s="3" customFormat="1" ht="13" customHeight="1">
      <c r="A3" s="566"/>
      <c r="B3" s="73" t="s">
        <v>3950</v>
      </c>
      <c r="C3" s="73" t="s">
        <v>707</v>
      </c>
      <c r="D3" s="73" t="s">
        <v>708</v>
      </c>
      <c r="E3" s="115" t="s">
        <v>1858</v>
      </c>
      <c r="F3" s="440" t="s">
        <v>3331</v>
      </c>
      <c r="G3" s="440" t="s">
        <v>3331</v>
      </c>
      <c r="H3" s="115" t="s">
        <v>24</v>
      </c>
      <c r="I3" s="77" t="s">
        <v>3952</v>
      </c>
      <c r="J3" s="37" t="s">
        <v>3951</v>
      </c>
      <c r="K3" s="205" t="s">
        <v>706</v>
      </c>
      <c r="L3" s="220"/>
    </row>
    <row r="4" spans="1:12" s="3" customFormat="1" ht="13" customHeight="1">
      <c r="A4" s="566"/>
      <c r="B4" s="73" t="s">
        <v>2903</v>
      </c>
      <c r="C4" s="73" t="s">
        <v>709</v>
      </c>
      <c r="D4" s="73" t="s">
        <v>710</v>
      </c>
      <c r="E4" s="115" t="s">
        <v>1858</v>
      </c>
      <c r="F4" s="440" t="s">
        <v>3331</v>
      </c>
      <c r="G4" s="440" t="s">
        <v>3331</v>
      </c>
      <c r="H4" s="115" t="s">
        <v>24</v>
      </c>
      <c r="I4" s="77" t="s">
        <v>704</v>
      </c>
      <c r="J4" s="37" t="s">
        <v>711</v>
      </c>
      <c r="K4" s="205" t="s">
        <v>706</v>
      </c>
      <c r="L4" s="220"/>
    </row>
    <row r="5" spans="1:12" s="3" customFormat="1" ht="13" customHeight="1">
      <c r="A5" s="566"/>
      <c r="B5" s="73" t="s">
        <v>4010</v>
      </c>
      <c r="C5" s="73" t="s">
        <v>712</v>
      </c>
      <c r="D5" s="73" t="s">
        <v>713</v>
      </c>
      <c r="E5" s="115" t="s">
        <v>1858</v>
      </c>
      <c r="F5" s="440" t="s">
        <v>3331</v>
      </c>
      <c r="G5" s="440" t="s">
        <v>3331</v>
      </c>
      <c r="H5" s="115" t="s">
        <v>24</v>
      </c>
      <c r="I5" s="77" t="s">
        <v>714</v>
      </c>
      <c r="J5" s="284" t="s">
        <v>715</v>
      </c>
      <c r="K5" s="205" t="s">
        <v>706</v>
      </c>
      <c r="L5" s="220"/>
    </row>
    <row r="6" spans="1:12" s="3" customFormat="1" ht="13" customHeight="1">
      <c r="A6" s="566"/>
      <c r="B6" s="73" t="s">
        <v>716</v>
      </c>
      <c r="C6" s="73" t="s">
        <v>717</v>
      </c>
      <c r="D6" s="73" t="s">
        <v>718</v>
      </c>
      <c r="E6" s="115" t="s">
        <v>1858</v>
      </c>
      <c r="F6" s="440" t="s">
        <v>3331</v>
      </c>
      <c r="G6" s="440" t="s">
        <v>3331</v>
      </c>
      <c r="H6" s="115" t="s">
        <v>24</v>
      </c>
      <c r="I6" s="77" t="s">
        <v>719</v>
      </c>
      <c r="J6" s="284" t="s">
        <v>720</v>
      </c>
      <c r="K6" s="205" t="s">
        <v>706</v>
      </c>
      <c r="L6" s="220"/>
    </row>
    <row r="7" spans="1:12" s="3" customFormat="1" ht="24">
      <c r="A7" s="566"/>
      <c r="B7" s="73" t="s">
        <v>722</v>
      </c>
      <c r="C7" s="73" t="s">
        <v>709</v>
      </c>
      <c r="D7" s="73" t="s">
        <v>723</v>
      </c>
      <c r="E7" s="115" t="s">
        <v>1858</v>
      </c>
      <c r="F7" s="440" t="s">
        <v>3331</v>
      </c>
      <c r="G7" s="440" t="s">
        <v>3331</v>
      </c>
      <c r="H7" s="115" t="s">
        <v>24</v>
      </c>
      <c r="I7" s="77" t="s">
        <v>704</v>
      </c>
      <c r="J7" s="284" t="s">
        <v>724</v>
      </c>
      <c r="K7" s="205" t="s">
        <v>706</v>
      </c>
      <c r="L7" s="220"/>
    </row>
    <row r="8" spans="1:12" s="3" customFormat="1" ht="20.149999999999999" customHeight="1">
      <c r="A8" s="566"/>
      <c r="B8" s="73" t="s">
        <v>725</v>
      </c>
      <c r="C8" s="73" t="s">
        <v>712</v>
      </c>
      <c r="D8" s="73" t="s">
        <v>726</v>
      </c>
      <c r="E8" s="115" t="s">
        <v>1858</v>
      </c>
      <c r="F8" s="440" t="s">
        <v>3331</v>
      </c>
      <c r="G8" s="440" t="s">
        <v>3331</v>
      </c>
      <c r="H8" s="115" t="s">
        <v>24</v>
      </c>
      <c r="I8" s="77" t="s">
        <v>714</v>
      </c>
      <c r="J8" s="284" t="s">
        <v>727</v>
      </c>
      <c r="K8" s="205" t="s">
        <v>706</v>
      </c>
      <c r="L8" s="220"/>
    </row>
    <row r="9" spans="1:12" s="3" customFormat="1" ht="13" customHeight="1">
      <c r="A9" s="566"/>
      <c r="B9" s="73" t="s">
        <v>2406</v>
      </c>
      <c r="C9" s="73" t="s">
        <v>717</v>
      </c>
      <c r="D9" s="73" t="s">
        <v>728</v>
      </c>
      <c r="E9" s="115" t="s">
        <v>1858</v>
      </c>
      <c r="F9" s="440" t="s">
        <v>3331</v>
      </c>
      <c r="G9" s="440" t="s">
        <v>3331</v>
      </c>
      <c r="H9" s="115" t="s">
        <v>24</v>
      </c>
      <c r="I9" s="77" t="s">
        <v>719</v>
      </c>
      <c r="J9" s="284" t="s">
        <v>720</v>
      </c>
      <c r="K9" s="205" t="s">
        <v>706</v>
      </c>
      <c r="L9" s="220"/>
    </row>
    <row r="10" spans="1:12" s="3" customFormat="1" ht="13" customHeight="1">
      <c r="A10" s="566"/>
      <c r="B10" s="73" t="s">
        <v>2911</v>
      </c>
      <c r="C10" s="111" t="s">
        <v>729</v>
      </c>
      <c r="D10" s="111" t="s">
        <v>730</v>
      </c>
      <c r="E10" s="115" t="s">
        <v>1858</v>
      </c>
      <c r="F10" s="440" t="s">
        <v>3331</v>
      </c>
      <c r="G10" s="440" t="s">
        <v>3331</v>
      </c>
      <c r="H10" s="115" t="s">
        <v>24</v>
      </c>
      <c r="I10" s="73" t="s">
        <v>582</v>
      </c>
      <c r="J10" s="285" t="s">
        <v>731</v>
      </c>
      <c r="K10" s="205" t="s">
        <v>706</v>
      </c>
      <c r="L10" s="220"/>
    </row>
    <row r="11" spans="1:12" s="3" customFormat="1" ht="13" customHeight="1">
      <c r="A11" s="566"/>
      <c r="B11" s="73" t="s">
        <v>732</v>
      </c>
      <c r="C11" s="111" t="s">
        <v>3922</v>
      </c>
      <c r="D11" s="111" t="s">
        <v>733</v>
      </c>
      <c r="E11" s="115" t="s">
        <v>1858</v>
      </c>
      <c r="F11" s="440" t="s">
        <v>3307</v>
      </c>
      <c r="G11" s="115" t="s">
        <v>3332</v>
      </c>
      <c r="H11" s="115" t="s">
        <v>24</v>
      </c>
      <c r="I11" s="77" t="s">
        <v>734</v>
      </c>
      <c r="J11" s="285" t="s">
        <v>735</v>
      </c>
      <c r="K11" s="205" t="s">
        <v>706</v>
      </c>
      <c r="L11" s="220"/>
    </row>
    <row r="12" spans="1:12" s="3" customFormat="1" ht="13" customHeight="1">
      <c r="A12" s="566"/>
      <c r="B12" s="111" t="s">
        <v>2544</v>
      </c>
      <c r="C12" s="111" t="s">
        <v>736</v>
      </c>
      <c r="D12" s="111" t="s">
        <v>737</v>
      </c>
      <c r="E12" s="115" t="s">
        <v>1858</v>
      </c>
      <c r="F12" s="115" t="s">
        <v>3331</v>
      </c>
      <c r="G12" s="115" t="s">
        <v>3331</v>
      </c>
      <c r="H12" s="115" t="s">
        <v>2904</v>
      </c>
      <c r="I12" s="111" t="s">
        <v>738</v>
      </c>
      <c r="J12" s="285" t="s">
        <v>739</v>
      </c>
      <c r="K12" s="205" t="s">
        <v>706</v>
      </c>
      <c r="L12" s="220"/>
    </row>
    <row r="13" spans="1:12" s="3" customFormat="1" ht="13" customHeight="1">
      <c r="A13" s="566"/>
      <c r="B13" s="111" t="s">
        <v>3924</v>
      </c>
      <c r="C13" s="111" t="s">
        <v>3925</v>
      </c>
      <c r="D13" s="111" t="s">
        <v>740</v>
      </c>
      <c r="E13" s="115" t="s">
        <v>1858</v>
      </c>
      <c r="F13" s="440" t="s">
        <v>3307</v>
      </c>
      <c r="G13" s="440" t="s">
        <v>3923</v>
      </c>
      <c r="H13" s="115" t="s">
        <v>24</v>
      </c>
      <c r="I13" s="73" t="s">
        <v>310</v>
      </c>
      <c r="J13" s="285" t="s">
        <v>741</v>
      </c>
      <c r="K13" s="205" t="s">
        <v>706</v>
      </c>
      <c r="L13" s="220"/>
    </row>
    <row r="14" spans="1:12" s="3" customFormat="1" ht="13" customHeight="1">
      <c r="A14" s="566"/>
      <c r="B14" s="111" t="s">
        <v>3003</v>
      </c>
      <c r="C14" s="111" t="s">
        <v>837</v>
      </c>
      <c r="D14" s="111" t="s">
        <v>838</v>
      </c>
      <c r="E14" s="115" t="s">
        <v>1858</v>
      </c>
      <c r="F14" s="115" t="s">
        <v>3331</v>
      </c>
      <c r="G14" s="115" t="s">
        <v>3331</v>
      </c>
      <c r="H14" s="115" t="s">
        <v>24</v>
      </c>
      <c r="I14" s="77" t="s">
        <v>797</v>
      </c>
      <c r="J14" s="285" t="s">
        <v>839</v>
      </c>
      <c r="K14" s="397" t="s">
        <v>706</v>
      </c>
      <c r="L14" s="220"/>
    </row>
    <row r="15" spans="1:12" s="3" customFormat="1" ht="13" customHeight="1">
      <c r="A15" s="566"/>
      <c r="B15" s="111" t="s">
        <v>2912</v>
      </c>
      <c r="C15" s="111" t="s">
        <v>782</v>
      </c>
      <c r="D15" s="111" t="s">
        <v>783</v>
      </c>
      <c r="E15" s="115" t="s">
        <v>1858</v>
      </c>
      <c r="F15" s="115" t="s">
        <v>3331</v>
      </c>
      <c r="G15" s="115" t="s">
        <v>3331</v>
      </c>
      <c r="H15" s="115" t="s">
        <v>24</v>
      </c>
      <c r="I15" s="73" t="s">
        <v>310</v>
      </c>
      <c r="J15" s="285" t="s">
        <v>2400</v>
      </c>
      <c r="K15" s="397" t="s">
        <v>706</v>
      </c>
      <c r="L15" s="220"/>
    </row>
    <row r="16" spans="1:12" s="3" customFormat="1" ht="13" customHeight="1">
      <c r="A16" s="566"/>
      <c r="B16" s="73" t="s">
        <v>742</v>
      </c>
      <c r="C16" s="73" t="s">
        <v>743</v>
      </c>
      <c r="D16" s="73" t="s">
        <v>744</v>
      </c>
      <c r="E16" s="115" t="s">
        <v>1858</v>
      </c>
      <c r="F16" s="115" t="s">
        <v>3331</v>
      </c>
      <c r="G16" s="115" t="s">
        <v>3331</v>
      </c>
      <c r="H16" s="115" t="s">
        <v>24</v>
      </c>
      <c r="I16" s="77" t="s">
        <v>714</v>
      </c>
      <c r="J16" s="284" t="s">
        <v>745</v>
      </c>
      <c r="K16" s="205" t="s">
        <v>706</v>
      </c>
      <c r="L16" s="220"/>
    </row>
    <row r="17" spans="1:12" s="3" customFormat="1" ht="13" customHeight="1">
      <c r="A17" s="566"/>
      <c r="B17" s="73" t="s">
        <v>2551</v>
      </c>
      <c r="C17" s="73" t="s">
        <v>746</v>
      </c>
      <c r="D17" s="73" t="s">
        <v>747</v>
      </c>
      <c r="E17" s="115" t="s">
        <v>1858</v>
      </c>
      <c r="F17" s="115" t="s">
        <v>3331</v>
      </c>
      <c r="G17" s="115" t="s">
        <v>3331</v>
      </c>
      <c r="H17" s="115" t="s">
        <v>24</v>
      </c>
      <c r="I17" s="77" t="s">
        <v>612</v>
      </c>
      <c r="J17" s="284" t="s">
        <v>3942</v>
      </c>
      <c r="K17" s="205" t="s">
        <v>706</v>
      </c>
      <c r="L17" s="220"/>
    </row>
    <row r="18" spans="1:12" s="3" customFormat="1" ht="13" customHeight="1">
      <c r="A18" s="566"/>
      <c r="B18" s="73" t="s">
        <v>3936</v>
      </c>
      <c r="C18" s="72" t="s">
        <v>748</v>
      </c>
      <c r="D18" s="73" t="s">
        <v>3937</v>
      </c>
      <c r="E18" s="115" t="s">
        <v>1858</v>
      </c>
      <c r="F18" s="115" t="s">
        <v>3331</v>
      </c>
      <c r="G18" s="115" t="s">
        <v>3331</v>
      </c>
      <c r="H18" s="115" t="s">
        <v>24</v>
      </c>
      <c r="I18" s="111" t="s">
        <v>749</v>
      </c>
      <c r="J18" s="284" t="s">
        <v>750</v>
      </c>
      <c r="K18" s="205" t="s">
        <v>706</v>
      </c>
      <c r="L18" s="220"/>
    </row>
    <row r="19" spans="1:12" s="3" customFormat="1" ht="13" customHeight="1">
      <c r="A19" s="566"/>
      <c r="B19" s="73" t="s">
        <v>3939</v>
      </c>
      <c r="C19" s="73" t="s">
        <v>751</v>
      </c>
      <c r="D19" s="73" t="s">
        <v>3938</v>
      </c>
      <c r="E19" s="115" t="s">
        <v>1858</v>
      </c>
      <c r="F19" s="115" t="s">
        <v>3331</v>
      </c>
      <c r="G19" s="115" t="s">
        <v>3331</v>
      </c>
      <c r="H19" s="115" t="s">
        <v>24</v>
      </c>
      <c r="I19" s="111" t="s">
        <v>752</v>
      </c>
      <c r="J19" s="284" t="s">
        <v>753</v>
      </c>
      <c r="K19" s="205" t="s">
        <v>706</v>
      </c>
      <c r="L19" s="220"/>
    </row>
    <row r="20" spans="1:12" s="3" customFormat="1" ht="13" customHeight="1">
      <c r="A20" s="566"/>
      <c r="B20" s="73" t="s">
        <v>3940</v>
      </c>
      <c r="C20" s="72" t="s">
        <v>754</v>
      </c>
      <c r="D20" s="73" t="s">
        <v>755</v>
      </c>
      <c r="E20" s="115" t="s">
        <v>1858</v>
      </c>
      <c r="F20" s="115" t="s">
        <v>3331</v>
      </c>
      <c r="G20" s="115" t="s">
        <v>3331</v>
      </c>
      <c r="H20" s="115" t="s">
        <v>24</v>
      </c>
      <c r="I20" s="111" t="s">
        <v>749</v>
      </c>
      <c r="J20" s="284" t="s">
        <v>750</v>
      </c>
      <c r="K20" s="205" t="s">
        <v>706</v>
      </c>
      <c r="L20" s="220"/>
    </row>
    <row r="21" spans="1:12" s="3" customFormat="1" ht="13" customHeight="1">
      <c r="A21" s="566"/>
      <c r="B21" s="73" t="s">
        <v>3941</v>
      </c>
      <c r="C21" s="72" t="s">
        <v>756</v>
      </c>
      <c r="D21" s="73" t="s">
        <v>757</v>
      </c>
      <c r="E21" s="115" t="s">
        <v>1858</v>
      </c>
      <c r="F21" s="115" t="s">
        <v>3331</v>
      </c>
      <c r="G21" s="115" t="s">
        <v>3331</v>
      </c>
      <c r="H21" s="115" t="s">
        <v>24</v>
      </c>
      <c r="I21" s="111" t="s">
        <v>752</v>
      </c>
      <c r="J21" s="284" t="s">
        <v>753</v>
      </c>
      <c r="K21" s="205" t="s">
        <v>706</v>
      </c>
      <c r="L21" s="220"/>
    </row>
    <row r="22" spans="1:12" s="3" customFormat="1" ht="13" customHeight="1">
      <c r="A22" s="566"/>
      <c r="B22" s="73" t="s">
        <v>2936</v>
      </c>
      <c r="C22" s="73" t="s">
        <v>746</v>
      </c>
      <c r="D22" s="73" t="s">
        <v>758</v>
      </c>
      <c r="E22" s="115" t="s">
        <v>1858</v>
      </c>
      <c r="F22" s="115" t="s">
        <v>3331</v>
      </c>
      <c r="G22" s="115" t="s">
        <v>3331</v>
      </c>
      <c r="H22" s="115" t="s">
        <v>24</v>
      </c>
      <c r="I22" s="77" t="s">
        <v>612</v>
      </c>
      <c r="J22" s="284" t="s">
        <v>3943</v>
      </c>
      <c r="K22" s="205" t="s">
        <v>706</v>
      </c>
      <c r="L22" s="220"/>
    </row>
    <row r="23" spans="1:12" s="3" customFormat="1" ht="13" customHeight="1">
      <c r="A23" s="566"/>
      <c r="B23" s="73" t="s">
        <v>3944</v>
      </c>
      <c r="C23" s="72" t="s">
        <v>748</v>
      </c>
      <c r="D23" s="73" t="s">
        <v>759</v>
      </c>
      <c r="E23" s="115" t="s">
        <v>1858</v>
      </c>
      <c r="F23" s="115" t="s">
        <v>3331</v>
      </c>
      <c r="G23" s="115" t="s">
        <v>3331</v>
      </c>
      <c r="H23" s="115" t="s">
        <v>24</v>
      </c>
      <c r="I23" s="111" t="s">
        <v>749</v>
      </c>
      <c r="J23" s="284" t="s">
        <v>750</v>
      </c>
      <c r="K23" s="205" t="s">
        <v>706</v>
      </c>
      <c r="L23" s="220"/>
    </row>
    <row r="24" spans="1:12" s="3" customFormat="1" ht="13" customHeight="1">
      <c r="A24" s="566"/>
      <c r="B24" s="73" t="s">
        <v>3945</v>
      </c>
      <c r="C24" s="73" t="s">
        <v>751</v>
      </c>
      <c r="D24" s="73" t="s">
        <v>760</v>
      </c>
      <c r="E24" s="115" t="s">
        <v>1858</v>
      </c>
      <c r="F24" s="115" t="s">
        <v>3331</v>
      </c>
      <c r="G24" s="115" t="s">
        <v>3331</v>
      </c>
      <c r="H24" s="115" t="s">
        <v>24</v>
      </c>
      <c r="I24" s="111" t="s">
        <v>752</v>
      </c>
      <c r="J24" s="284" t="s">
        <v>753</v>
      </c>
      <c r="K24" s="205" t="s">
        <v>706</v>
      </c>
      <c r="L24" s="220"/>
    </row>
    <row r="25" spans="1:12" s="3" customFormat="1" ht="13" customHeight="1">
      <c r="A25" s="566"/>
      <c r="B25" s="73" t="s">
        <v>1843</v>
      </c>
      <c r="C25" s="72" t="s">
        <v>754</v>
      </c>
      <c r="D25" s="73" t="s">
        <v>761</v>
      </c>
      <c r="E25" s="115" t="s">
        <v>1858</v>
      </c>
      <c r="F25" s="115" t="s">
        <v>3331</v>
      </c>
      <c r="G25" s="115" t="s">
        <v>3331</v>
      </c>
      <c r="H25" s="115" t="s">
        <v>24</v>
      </c>
      <c r="I25" s="111" t="s">
        <v>749</v>
      </c>
      <c r="J25" s="284" t="s">
        <v>750</v>
      </c>
      <c r="K25" s="205" t="s">
        <v>706</v>
      </c>
      <c r="L25" s="220"/>
    </row>
    <row r="26" spans="1:12" s="3" customFormat="1" ht="13" customHeight="1">
      <c r="A26" s="566"/>
      <c r="B26" s="73" t="s">
        <v>3946</v>
      </c>
      <c r="C26" s="72" t="s">
        <v>756</v>
      </c>
      <c r="D26" s="73" t="s">
        <v>762</v>
      </c>
      <c r="E26" s="115" t="s">
        <v>1858</v>
      </c>
      <c r="F26" s="115" t="s">
        <v>3331</v>
      </c>
      <c r="G26" s="115" t="s">
        <v>3331</v>
      </c>
      <c r="H26" s="115" t="s">
        <v>24</v>
      </c>
      <c r="I26" s="111" t="s">
        <v>752</v>
      </c>
      <c r="J26" s="284" t="s">
        <v>753</v>
      </c>
      <c r="K26" s="205" t="s">
        <v>706</v>
      </c>
      <c r="L26" s="220"/>
    </row>
    <row r="27" spans="1:12" s="3" customFormat="1" ht="13" customHeight="1">
      <c r="A27" s="566"/>
      <c r="B27" s="73" t="s">
        <v>3892</v>
      </c>
      <c r="C27" s="72" t="s">
        <v>3864</v>
      </c>
      <c r="D27" s="73" t="s">
        <v>3866</v>
      </c>
      <c r="E27" s="115" t="s">
        <v>2404</v>
      </c>
      <c r="F27" s="115" t="s">
        <v>3838</v>
      </c>
      <c r="G27" s="115" t="s">
        <v>3865</v>
      </c>
      <c r="H27" s="115" t="s">
        <v>24</v>
      </c>
      <c r="I27" s="111" t="s">
        <v>2828</v>
      </c>
      <c r="J27" s="284" t="s">
        <v>3867</v>
      </c>
      <c r="K27" s="486" t="s">
        <v>4184</v>
      </c>
      <c r="L27" s="220"/>
    </row>
    <row r="28" spans="1:12" s="3" customFormat="1" ht="13" customHeight="1">
      <c r="A28" s="566"/>
      <c r="B28" s="73" t="s">
        <v>2905</v>
      </c>
      <c r="C28" s="72" t="s">
        <v>2906</v>
      </c>
      <c r="D28" s="73" t="s">
        <v>2908</v>
      </c>
      <c r="E28" s="115" t="s">
        <v>1858</v>
      </c>
      <c r="F28" s="115" t="s">
        <v>3331</v>
      </c>
      <c r="G28" s="115" t="s">
        <v>3331</v>
      </c>
      <c r="H28" s="115" t="s">
        <v>24</v>
      </c>
      <c r="I28" s="111" t="s">
        <v>3170</v>
      </c>
      <c r="J28" s="284" t="s">
        <v>3215</v>
      </c>
      <c r="K28" s="401" t="s">
        <v>3169</v>
      </c>
      <c r="L28" s="220"/>
    </row>
    <row r="29" spans="1:12" s="3" customFormat="1" ht="13" customHeight="1">
      <c r="A29" s="566"/>
      <c r="B29" s="73" t="s">
        <v>2995</v>
      </c>
      <c r="C29" s="72" t="s">
        <v>2907</v>
      </c>
      <c r="D29" s="73" t="s">
        <v>2909</v>
      </c>
      <c r="E29" s="115" t="s">
        <v>1858</v>
      </c>
      <c r="F29" s="115" t="s">
        <v>3331</v>
      </c>
      <c r="G29" s="115" t="s">
        <v>3331</v>
      </c>
      <c r="H29" s="115" t="s">
        <v>24</v>
      </c>
      <c r="I29" s="111" t="s">
        <v>3170</v>
      </c>
      <c r="J29" s="284" t="s">
        <v>3215</v>
      </c>
      <c r="K29" s="401" t="s">
        <v>3169</v>
      </c>
      <c r="L29" s="220"/>
    </row>
    <row r="30" spans="1:12" s="3" customFormat="1" ht="13.5" customHeight="1">
      <c r="A30" s="566"/>
      <c r="B30" s="111" t="s">
        <v>2914</v>
      </c>
      <c r="C30" s="111" t="s">
        <v>763</v>
      </c>
      <c r="D30" s="111" t="s">
        <v>764</v>
      </c>
      <c r="E30" s="115" t="s">
        <v>1858</v>
      </c>
      <c r="F30" s="115" t="s">
        <v>3331</v>
      </c>
      <c r="G30" s="115" t="s">
        <v>3331</v>
      </c>
      <c r="H30" s="115" t="s">
        <v>24</v>
      </c>
      <c r="I30" s="111" t="s">
        <v>765</v>
      </c>
      <c r="J30" s="285" t="s">
        <v>766</v>
      </c>
      <c r="K30" s="207" t="s">
        <v>767</v>
      </c>
      <c r="L30" s="220"/>
    </row>
    <row r="31" spans="1:12" s="3" customFormat="1" ht="13" customHeight="1">
      <c r="A31" s="566"/>
      <c r="B31" s="111" t="s">
        <v>2915</v>
      </c>
      <c r="C31" s="111" t="s">
        <v>768</v>
      </c>
      <c r="D31" s="111" t="s">
        <v>769</v>
      </c>
      <c r="E31" s="115" t="s">
        <v>1858</v>
      </c>
      <c r="F31" s="115" t="s">
        <v>3331</v>
      </c>
      <c r="G31" s="115" t="s">
        <v>3331</v>
      </c>
      <c r="H31" s="115" t="s">
        <v>24</v>
      </c>
      <c r="I31" s="111" t="s">
        <v>770</v>
      </c>
      <c r="J31" s="285" t="s">
        <v>771</v>
      </c>
      <c r="K31" s="207" t="s">
        <v>772</v>
      </c>
      <c r="L31" s="220"/>
    </row>
    <row r="32" spans="1:12" s="3" customFormat="1" ht="13" customHeight="1">
      <c r="A32" s="566"/>
      <c r="B32" s="111" t="s">
        <v>2916</v>
      </c>
      <c r="C32" s="111" t="s">
        <v>712</v>
      </c>
      <c r="D32" s="111" t="s">
        <v>773</v>
      </c>
      <c r="E32" s="115" t="s">
        <v>1858</v>
      </c>
      <c r="F32" s="115" t="s">
        <v>3331</v>
      </c>
      <c r="G32" s="115" t="s">
        <v>3331</v>
      </c>
      <c r="H32" s="115" t="s">
        <v>24</v>
      </c>
      <c r="I32" s="77" t="s">
        <v>714</v>
      </c>
      <c r="J32" s="284" t="s">
        <v>745</v>
      </c>
      <c r="K32" s="205" t="s">
        <v>706</v>
      </c>
      <c r="L32" s="220"/>
    </row>
    <row r="33" spans="1:12" s="3" customFormat="1" ht="13" customHeight="1">
      <c r="A33" s="566"/>
      <c r="B33" s="111" t="s">
        <v>2917</v>
      </c>
      <c r="C33" s="111" t="s">
        <v>774</v>
      </c>
      <c r="D33" s="111" t="s">
        <v>775</v>
      </c>
      <c r="E33" s="115" t="s">
        <v>1858</v>
      </c>
      <c r="F33" s="115" t="s">
        <v>3331</v>
      </c>
      <c r="G33" s="115" t="s">
        <v>3331</v>
      </c>
      <c r="H33" s="115" t="s">
        <v>24</v>
      </c>
      <c r="I33" s="73" t="s">
        <v>310</v>
      </c>
      <c r="J33" s="285" t="s">
        <v>776</v>
      </c>
      <c r="K33" s="205" t="s">
        <v>706</v>
      </c>
      <c r="L33" s="220"/>
    </row>
    <row r="34" spans="1:12" s="3" customFormat="1" ht="13" customHeight="1">
      <c r="A34" s="566"/>
      <c r="B34" s="111" t="s">
        <v>2918</v>
      </c>
      <c r="C34" s="111" t="s">
        <v>763</v>
      </c>
      <c r="D34" s="111" t="s">
        <v>777</v>
      </c>
      <c r="E34" s="115" t="s">
        <v>1858</v>
      </c>
      <c r="F34" s="115" t="s">
        <v>3331</v>
      </c>
      <c r="G34" s="115" t="s">
        <v>3331</v>
      </c>
      <c r="H34" s="115" t="s">
        <v>24</v>
      </c>
      <c r="I34" s="111" t="s">
        <v>765</v>
      </c>
      <c r="J34" s="285" t="s">
        <v>766</v>
      </c>
      <c r="K34" s="207" t="s">
        <v>778</v>
      </c>
      <c r="L34" s="220"/>
    </row>
    <row r="35" spans="1:12" s="3" customFormat="1" ht="13" customHeight="1">
      <c r="A35" s="566"/>
      <c r="B35" s="111" t="s">
        <v>2919</v>
      </c>
      <c r="C35" s="111" t="s">
        <v>768</v>
      </c>
      <c r="D35" s="111" t="s">
        <v>779</v>
      </c>
      <c r="E35" s="115" t="s">
        <v>1858</v>
      </c>
      <c r="F35" s="115" t="s">
        <v>3854</v>
      </c>
      <c r="G35" s="115" t="s">
        <v>3331</v>
      </c>
      <c r="H35" s="115" t="s">
        <v>24</v>
      </c>
      <c r="I35" s="111" t="s">
        <v>770</v>
      </c>
      <c r="J35" s="285" t="s">
        <v>771</v>
      </c>
      <c r="K35" s="207" t="s">
        <v>778</v>
      </c>
      <c r="L35" s="220"/>
    </row>
    <row r="36" spans="1:12" s="3" customFormat="1" ht="13" customHeight="1">
      <c r="A36" s="566"/>
      <c r="B36" s="111" t="s">
        <v>3873</v>
      </c>
      <c r="C36" s="111" t="s">
        <v>3876</v>
      </c>
      <c r="D36" s="111" t="s">
        <v>3855</v>
      </c>
      <c r="E36" s="115" t="s">
        <v>2404</v>
      </c>
      <c r="F36" s="115" t="s">
        <v>3838</v>
      </c>
      <c r="G36" s="115" t="s">
        <v>3853</v>
      </c>
      <c r="H36" s="115" t="s">
        <v>24</v>
      </c>
      <c r="I36" s="111" t="s">
        <v>2469</v>
      </c>
      <c r="J36" s="285" t="s">
        <v>3856</v>
      </c>
      <c r="K36" s="486" t="s">
        <v>4184</v>
      </c>
      <c r="L36" s="220"/>
    </row>
    <row r="37" spans="1:12" s="3" customFormat="1" ht="13" customHeight="1">
      <c r="A37" s="566"/>
      <c r="B37" s="111" t="s">
        <v>3874</v>
      </c>
      <c r="C37" s="111" t="s">
        <v>3877</v>
      </c>
      <c r="D37" s="111" t="s">
        <v>3858</v>
      </c>
      <c r="E37" s="115" t="s">
        <v>2404</v>
      </c>
      <c r="F37" s="115" t="s">
        <v>3838</v>
      </c>
      <c r="G37" s="115" t="s">
        <v>3857</v>
      </c>
      <c r="H37" s="115" t="s">
        <v>24</v>
      </c>
      <c r="I37" s="111" t="s">
        <v>3862</v>
      </c>
      <c r="J37" s="471" t="s">
        <v>3863</v>
      </c>
      <c r="K37" s="486" t="s">
        <v>4184</v>
      </c>
      <c r="L37" s="220"/>
    </row>
    <row r="38" spans="1:12" s="3" customFormat="1" ht="13" customHeight="1">
      <c r="A38" s="566"/>
      <c r="B38" s="111" t="s">
        <v>3875</v>
      </c>
      <c r="C38" s="111" t="s">
        <v>3878</v>
      </c>
      <c r="D38" s="111" t="s">
        <v>3860</v>
      </c>
      <c r="E38" s="115" t="s">
        <v>2404</v>
      </c>
      <c r="F38" s="115" t="s">
        <v>3838</v>
      </c>
      <c r="G38" s="115" t="s">
        <v>3859</v>
      </c>
      <c r="H38" s="115" t="s">
        <v>24</v>
      </c>
      <c r="I38" s="111" t="s">
        <v>2532</v>
      </c>
      <c r="J38" s="471" t="s">
        <v>3861</v>
      </c>
      <c r="K38" s="486" t="s">
        <v>4184</v>
      </c>
      <c r="L38" s="220"/>
    </row>
    <row r="39" spans="1:12" s="3" customFormat="1" ht="13" customHeight="1">
      <c r="A39" s="566"/>
      <c r="B39" s="111" t="s">
        <v>2920</v>
      </c>
      <c r="C39" s="111" t="s">
        <v>712</v>
      </c>
      <c r="D39" s="111" t="s">
        <v>780</v>
      </c>
      <c r="E39" s="115" t="s">
        <v>1858</v>
      </c>
      <c r="F39" s="115" t="s">
        <v>3331</v>
      </c>
      <c r="G39" s="115" t="s">
        <v>3331</v>
      </c>
      <c r="H39" s="115" t="s">
        <v>24</v>
      </c>
      <c r="I39" s="77" t="s">
        <v>714</v>
      </c>
      <c r="J39" s="284" t="s">
        <v>745</v>
      </c>
      <c r="K39" s="205" t="s">
        <v>706</v>
      </c>
      <c r="L39" s="220"/>
    </row>
    <row r="40" spans="1:12" s="3" customFormat="1" ht="13" customHeight="1">
      <c r="A40" s="566"/>
      <c r="B40" s="111" t="s">
        <v>2921</v>
      </c>
      <c r="C40" s="111" t="s">
        <v>774</v>
      </c>
      <c r="D40" s="111" t="s">
        <v>781</v>
      </c>
      <c r="E40" s="115" t="s">
        <v>1858</v>
      </c>
      <c r="F40" s="115" t="s">
        <v>3331</v>
      </c>
      <c r="G40" s="115" t="s">
        <v>3331</v>
      </c>
      <c r="H40" s="115" t="s">
        <v>24</v>
      </c>
      <c r="I40" s="73" t="s">
        <v>310</v>
      </c>
      <c r="J40" s="285" t="s">
        <v>776</v>
      </c>
      <c r="K40" s="205" t="s">
        <v>706</v>
      </c>
      <c r="L40" s="220"/>
    </row>
    <row r="41" spans="1:12" s="3" customFormat="1" ht="13" customHeight="1">
      <c r="A41" s="566"/>
      <c r="B41" s="73" t="s">
        <v>3979</v>
      </c>
      <c r="C41" s="155" t="s">
        <v>3898</v>
      </c>
      <c r="D41" s="73" t="s">
        <v>3899</v>
      </c>
      <c r="E41" s="115" t="s">
        <v>2404</v>
      </c>
      <c r="F41" s="156" t="s">
        <v>3838</v>
      </c>
      <c r="G41" s="156" t="s">
        <v>3897</v>
      </c>
      <c r="H41" s="115" t="s">
        <v>24</v>
      </c>
      <c r="I41" s="77" t="s">
        <v>3709</v>
      </c>
      <c r="J41" s="284" t="s">
        <v>3900</v>
      </c>
      <c r="K41" s="486" t="s">
        <v>4184</v>
      </c>
      <c r="L41" s="220"/>
    </row>
    <row r="42" spans="1:12" s="3" customFormat="1" ht="13" customHeight="1">
      <c r="A42" s="566"/>
      <c r="B42" s="155" t="s">
        <v>2997</v>
      </c>
      <c r="C42" s="155" t="s">
        <v>784</v>
      </c>
      <c r="D42" s="73" t="s">
        <v>785</v>
      </c>
      <c r="E42" s="115" t="s">
        <v>1858</v>
      </c>
      <c r="F42" s="156" t="s">
        <v>3314</v>
      </c>
      <c r="G42" s="156" t="s">
        <v>3315</v>
      </c>
      <c r="H42" s="115" t="s">
        <v>24</v>
      </c>
      <c r="I42" s="111" t="s">
        <v>587</v>
      </c>
      <c r="J42" s="284"/>
      <c r="K42" s="205" t="s">
        <v>706</v>
      </c>
      <c r="L42" s="220"/>
    </row>
    <row r="43" spans="1:12" s="3" customFormat="1" ht="13" customHeight="1">
      <c r="A43" s="566"/>
      <c r="B43" s="155" t="s">
        <v>2996</v>
      </c>
      <c r="C43" s="72" t="s">
        <v>786</v>
      </c>
      <c r="D43" s="73" t="s">
        <v>787</v>
      </c>
      <c r="E43" s="115" t="s">
        <v>1858</v>
      </c>
      <c r="F43" s="156" t="s">
        <v>3314</v>
      </c>
      <c r="G43" s="156" t="s">
        <v>3316</v>
      </c>
      <c r="H43" s="115" t="s">
        <v>24</v>
      </c>
      <c r="I43" s="111" t="s">
        <v>2913</v>
      </c>
      <c r="J43" s="284" t="s">
        <v>788</v>
      </c>
      <c r="K43" s="205" t="s">
        <v>706</v>
      </c>
      <c r="L43" s="220"/>
    </row>
    <row r="44" spans="1:12" s="3" customFormat="1" ht="13" customHeight="1">
      <c r="A44" s="566"/>
      <c r="B44" s="155" t="s">
        <v>2998</v>
      </c>
      <c r="C44" s="155" t="s">
        <v>3811</v>
      </c>
      <c r="D44" s="73" t="s">
        <v>789</v>
      </c>
      <c r="E44" s="115" t="s">
        <v>1858</v>
      </c>
      <c r="F44" s="156" t="s">
        <v>3314</v>
      </c>
      <c r="G44" s="156" t="s">
        <v>3317</v>
      </c>
      <c r="H44" s="115" t="s">
        <v>24</v>
      </c>
      <c r="I44" s="111" t="s">
        <v>790</v>
      </c>
      <c r="J44" s="284" t="s">
        <v>791</v>
      </c>
      <c r="K44" s="205" t="s">
        <v>706</v>
      </c>
      <c r="L44" s="220"/>
    </row>
    <row r="45" spans="1:12" s="3" customFormat="1" ht="13" customHeight="1">
      <c r="A45" s="566"/>
      <c r="B45" s="155" t="s">
        <v>3048</v>
      </c>
      <c r="C45" s="155" t="s">
        <v>792</v>
      </c>
      <c r="D45" s="73" t="s">
        <v>793</v>
      </c>
      <c r="E45" s="115" t="s">
        <v>1858</v>
      </c>
      <c r="F45" s="156" t="s">
        <v>3331</v>
      </c>
      <c r="G45" s="156" t="s">
        <v>3331</v>
      </c>
      <c r="H45" s="115" t="s">
        <v>24</v>
      </c>
      <c r="I45" s="111" t="s">
        <v>738</v>
      </c>
      <c r="J45" s="284" t="s">
        <v>794</v>
      </c>
      <c r="K45" s="205" t="s">
        <v>706</v>
      </c>
      <c r="L45" s="220"/>
    </row>
    <row r="46" spans="1:12" s="3" customFormat="1" ht="13" customHeight="1">
      <c r="A46" s="566"/>
      <c r="B46" s="155" t="s">
        <v>3049</v>
      </c>
      <c r="C46" s="155" t="s">
        <v>934</v>
      </c>
      <c r="D46" s="73" t="s">
        <v>935</v>
      </c>
      <c r="E46" s="115" t="s">
        <v>1858</v>
      </c>
      <c r="F46" s="156" t="s">
        <v>3314</v>
      </c>
      <c r="G46" s="156" t="s">
        <v>3318</v>
      </c>
      <c r="H46" s="115" t="s">
        <v>24</v>
      </c>
      <c r="I46" s="77" t="s">
        <v>4131</v>
      </c>
      <c r="J46" s="284" t="s">
        <v>936</v>
      </c>
      <c r="K46" s="397" t="s">
        <v>706</v>
      </c>
      <c r="L46" s="220"/>
    </row>
    <row r="47" spans="1:12" s="3" customFormat="1" ht="13" customHeight="1">
      <c r="A47" s="566"/>
      <c r="B47" s="155" t="s">
        <v>3050</v>
      </c>
      <c r="C47" s="72" t="s">
        <v>2408</v>
      </c>
      <c r="D47" s="73" t="s">
        <v>2407</v>
      </c>
      <c r="E47" s="115" t="s">
        <v>1858</v>
      </c>
      <c r="F47" s="156" t="s">
        <v>3314</v>
      </c>
      <c r="G47" s="156" t="s">
        <v>3319</v>
      </c>
      <c r="H47" s="115" t="s">
        <v>24</v>
      </c>
      <c r="I47" s="77" t="s">
        <v>937</v>
      </c>
      <c r="J47" s="284" t="s">
        <v>938</v>
      </c>
      <c r="K47" s="397" t="s">
        <v>706</v>
      </c>
      <c r="L47" s="220"/>
    </row>
    <row r="48" spans="1:12" s="3" customFormat="1" ht="13" customHeight="1">
      <c r="A48" s="566"/>
      <c r="B48" s="155" t="s">
        <v>3051</v>
      </c>
      <c r="C48" s="72" t="s">
        <v>939</v>
      </c>
      <c r="D48" s="73" t="s">
        <v>940</v>
      </c>
      <c r="E48" s="115" t="s">
        <v>1858</v>
      </c>
      <c r="F48" s="156" t="s">
        <v>3314</v>
      </c>
      <c r="G48" s="156" t="s">
        <v>3320</v>
      </c>
      <c r="H48" s="115" t="s">
        <v>24</v>
      </c>
      <c r="I48" s="77" t="s">
        <v>941</v>
      </c>
      <c r="J48" s="284" t="s">
        <v>942</v>
      </c>
      <c r="K48" s="397" t="s">
        <v>706</v>
      </c>
      <c r="L48" s="220"/>
    </row>
    <row r="49" spans="1:12" s="3" customFormat="1" ht="13" customHeight="1">
      <c r="A49" s="566"/>
      <c r="B49" s="155" t="s">
        <v>3052</v>
      </c>
      <c r="C49" s="72" t="s">
        <v>943</v>
      </c>
      <c r="D49" s="73" t="s">
        <v>944</v>
      </c>
      <c r="E49" s="115" t="s">
        <v>1858</v>
      </c>
      <c r="F49" s="156" t="s">
        <v>3314</v>
      </c>
      <c r="G49" s="156" t="s">
        <v>3321</v>
      </c>
      <c r="H49" s="115" t="s">
        <v>24</v>
      </c>
      <c r="I49" s="77" t="s">
        <v>612</v>
      </c>
      <c r="J49" s="284" t="s">
        <v>945</v>
      </c>
      <c r="K49" s="397" t="s">
        <v>706</v>
      </c>
      <c r="L49" s="220"/>
    </row>
    <row r="50" spans="1:12" s="3" customFormat="1" ht="13" customHeight="1">
      <c r="A50" s="566"/>
      <c r="B50" s="155" t="s">
        <v>3041</v>
      </c>
      <c r="C50" s="155" t="s">
        <v>913</v>
      </c>
      <c r="D50" s="73" t="s">
        <v>914</v>
      </c>
      <c r="E50" s="115" t="s">
        <v>1858</v>
      </c>
      <c r="F50" s="156" t="s">
        <v>3331</v>
      </c>
      <c r="G50" s="156" t="s">
        <v>3331</v>
      </c>
      <c r="H50" s="115" t="s">
        <v>24</v>
      </c>
      <c r="I50" s="111" t="s">
        <v>2591</v>
      </c>
      <c r="J50" s="284" t="s">
        <v>2590</v>
      </c>
      <c r="K50" s="397" t="s">
        <v>706</v>
      </c>
      <c r="L50" s="220"/>
    </row>
    <row r="51" spans="1:12" s="3" customFormat="1" ht="13" customHeight="1">
      <c r="A51" s="566"/>
      <c r="B51" s="155" t="s">
        <v>3042</v>
      </c>
      <c r="C51" s="155" t="s">
        <v>915</v>
      </c>
      <c r="D51" s="155" t="s">
        <v>916</v>
      </c>
      <c r="E51" s="115" t="s">
        <v>1858</v>
      </c>
      <c r="F51" s="156" t="s">
        <v>3331</v>
      </c>
      <c r="G51" s="156" t="s">
        <v>3331</v>
      </c>
      <c r="H51" s="115" t="s">
        <v>24</v>
      </c>
      <c r="I51" s="111" t="s">
        <v>2625</v>
      </c>
      <c r="J51" s="37" t="s">
        <v>2624</v>
      </c>
      <c r="K51" s="397" t="s">
        <v>706</v>
      </c>
      <c r="L51" s="220"/>
    </row>
    <row r="52" spans="1:12" s="3" customFormat="1" ht="13" customHeight="1">
      <c r="A52" s="566"/>
      <c r="B52" s="155" t="s">
        <v>3043</v>
      </c>
      <c r="C52" s="155" t="s">
        <v>3813</v>
      </c>
      <c r="D52" s="155" t="s">
        <v>917</v>
      </c>
      <c r="E52" s="115" t="s">
        <v>1858</v>
      </c>
      <c r="F52" s="156" t="s">
        <v>3314</v>
      </c>
      <c r="G52" s="156" t="s">
        <v>3812</v>
      </c>
      <c r="H52" s="115" t="s">
        <v>24</v>
      </c>
      <c r="I52" s="111" t="s">
        <v>738</v>
      </c>
      <c r="J52" s="37" t="s">
        <v>918</v>
      </c>
      <c r="K52" s="397" t="s">
        <v>706</v>
      </c>
      <c r="L52" s="220"/>
    </row>
    <row r="53" spans="1:12" s="3" customFormat="1" ht="13" customHeight="1">
      <c r="A53" s="566"/>
      <c r="B53" s="155" t="s">
        <v>3044</v>
      </c>
      <c r="C53" s="155" t="s">
        <v>919</v>
      </c>
      <c r="D53" s="73" t="s">
        <v>920</v>
      </c>
      <c r="E53" s="115" t="s">
        <v>1858</v>
      </c>
      <c r="F53" s="156" t="s">
        <v>3331</v>
      </c>
      <c r="G53" s="156" t="s">
        <v>3331</v>
      </c>
      <c r="H53" s="115" t="s">
        <v>24</v>
      </c>
      <c r="I53" s="77" t="s">
        <v>921</v>
      </c>
      <c r="J53" s="284" t="s">
        <v>922</v>
      </c>
      <c r="K53" s="397" t="s">
        <v>706</v>
      </c>
      <c r="L53" s="220"/>
    </row>
    <row r="54" spans="1:12" s="3" customFormat="1" ht="13" customHeight="1">
      <c r="A54" s="566"/>
      <c r="B54" s="155" t="s">
        <v>3045</v>
      </c>
      <c r="C54" s="155" t="s">
        <v>923</v>
      </c>
      <c r="D54" s="73" t="s">
        <v>924</v>
      </c>
      <c r="E54" s="115" t="s">
        <v>1858</v>
      </c>
      <c r="F54" s="156" t="s">
        <v>3331</v>
      </c>
      <c r="G54" s="156" t="s">
        <v>3331</v>
      </c>
      <c r="H54" s="115" t="s">
        <v>24</v>
      </c>
      <c r="I54" s="77" t="s">
        <v>612</v>
      </c>
      <c r="J54" s="284" t="s">
        <v>925</v>
      </c>
      <c r="K54" s="397" t="s">
        <v>706</v>
      </c>
      <c r="L54" s="220"/>
    </row>
    <row r="55" spans="1:12" s="3" customFormat="1" ht="13" customHeight="1">
      <c r="A55" s="566"/>
      <c r="B55" s="155" t="s">
        <v>3046</v>
      </c>
      <c r="C55" s="155" t="s">
        <v>926</v>
      </c>
      <c r="D55" s="155" t="s">
        <v>927</v>
      </c>
      <c r="E55" s="115" t="s">
        <v>1858</v>
      </c>
      <c r="F55" s="156" t="s">
        <v>3331</v>
      </c>
      <c r="G55" s="156" t="s">
        <v>3331</v>
      </c>
      <c r="H55" s="115" t="s">
        <v>24</v>
      </c>
      <c r="I55" s="111" t="s">
        <v>629</v>
      </c>
      <c r="J55" s="284" t="s">
        <v>928</v>
      </c>
      <c r="K55" s="397" t="s">
        <v>706</v>
      </c>
      <c r="L55" s="220"/>
    </row>
    <row r="56" spans="1:12" s="3" customFormat="1" ht="13" customHeight="1">
      <c r="A56" s="566"/>
      <c r="B56" s="155" t="s">
        <v>3054</v>
      </c>
      <c r="C56" s="155" t="s">
        <v>929</v>
      </c>
      <c r="D56" s="73" t="s">
        <v>930</v>
      </c>
      <c r="E56" s="115" t="s">
        <v>1858</v>
      </c>
      <c r="F56" s="156" t="s">
        <v>3331</v>
      </c>
      <c r="G56" s="156" t="s">
        <v>3331</v>
      </c>
      <c r="H56" s="115" t="s">
        <v>24</v>
      </c>
      <c r="I56" s="77" t="s">
        <v>612</v>
      </c>
      <c r="J56" s="284" t="s">
        <v>931</v>
      </c>
      <c r="K56" s="397" t="s">
        <v>706</v>
      </c>
      <c r="L56" s="220"/>
    </row>
    <row r="57" spans="1:12" s="3" customFormat="1" ht="13" customHeight="1">
      <c r="A57" s="566"/>
      <c r="B57" s="155" t="s">
        <v>3055</v>
      </c>
      <c r="C57" s="155" t="s">
        <v>932</v>
      </c>
      <c r="D57" s="73" t="s">
        <v>933</v>
      </c>
      <c r="E57" s="115" t="s">
        <v>1858</v>
      </c>
      <c r="F57" s="156" t="s">
        <v>3314</v>
      </c>
      <c r="G57" s="156" t="s">
        <v>3333</v>
      </c>
      <c r="H57" s="115" t="s">
        <v>24</v>
      </c>
      <c r="I57" s="73" t="s">
        <v>2593</v>
      </c>
      <c r="J57" s="284" t="s">
        <v>2592</v>
      </c>
      <c r="K57" s="397" t="s">
        <v>706</v>
      </c>
      <c r="L57" s="220"/>
    </row>
    <row r="58" spans="1:12" s="3" customFormat="1" ht="13" customHeight="1">
      <c r="A58" s="566"/>
      <c r="B58" s="155" t="s">
        <v>3056</v>
      </c>
      <c r="C58" s="155" t="s">
        <v>826</v>
      </c>
      <c r="D58" s="73" t="s">
        <v>827</v>
      </c>
      <c r="E58" s="115" t="s">
        <v>1858</v>
      </c>
      <c r="F58" s="156" t="s">
        <v>3331</v>
      </c>
      <c r="G58" s="156" t="s">
        <v>3331</v>
      </c>
      <c r="H58" s="115" t="s">
        <v>24</v>
      </c>
      <c r="I58" s="111" t="s">
        <v>797</v>
      </c>
      <c r="J58" s="284" t="s">
        <v>3053</v>
      </c>
      <c r="K58" s="392" t="s">
        <v>828</v>
      </c>
      <c r="L58" s="220"/>
    </row>
    <row r="59" spans="1:12" s="3" customFormat="1" ht="13" customHeight="1">
      <c r="A59" s="566"/>
      <c r="B59" s="155" t="s">
        <v>3023</v>
      </c>
      <c r="C59" s="155" t="s">
        <v>829</v>
      </c>
      <c r="D59" s="73" t="s">
        <v>830</v>
      </c>
      <c r="E59" s="115" t="s">
        <v>1858</v>
      </c>
      <c r="F59" s="156" t="s">
        <v>3314</v>
      </c>
      <c r="G59" s="156" t="s">
        <v>3322</v>
      </c>
      <c r="H59" s="115" t="s">
        <v>24</v>
      </c>
      <c r="I59" s="111" t="s">
        <v>831</v>
      </c>
      <c r="J59" s="284" t="s">
        <v>832</v>
      </c>
      <c r="K59" s="397" t="s">
        <v>706</v>
      </c>
      <c r="L59" s="220"/>
    </row>
    <row r="60" spans="1:12" s="3" customFormat="1" ht="13" customHeight="1">
      <c r="A60" s="566"/>
      <c r="B60" s="155" t="s">
        <v>3024</v>
      </c>
      <c r="C60" s="155" t="s">
        <v>3814</v>
      </c>
      <c r="D60" s="73" t="s">
        <v>833</v>
      </c>
      <c r="E60" s="115" t="s">
        <v>1858</v>
      </c>
      <c r="F60" s="156" t="s">
        <v>3314</v>
      </c>
      <c r="G60" s="156" t="s">
        <v>3323</v>
      </c>
      <c r="H60" s="115" t="s">
        <v>24</v>
      </c>
      <c r="I60" s="77" t="s">
        <v>2575</v>
      </c>
      <c r="J60" s="284" t="s">
        <v>2574</v>
      </c>
      <c r="K60" s="397" t="s">
        <v>706</v>
      </c>
      <c r="L60" s="220"/>
    </row>
    <row r="61" spans="1:12" s="3" customFormat="1" ht="13" customHeight="1">
      <c r="A61" s="566"/>
      <c r="B61" s="155" t="s">
        <v>3057</v>
      </c>
      <c r="C61" s="155" t="s">
        <v>834</v>
      </c>
      <c r="D61" s="73" t="s">
        <v>835</v>
      </c>
      <c r="E61" s="115" t="s">
        <v>1858</v>
      </c>
      <c r="F61" s="156" t="s">
        <v>3314</v>
      </c>
      <c r="G61" s="156" t="s">
        <v>3324</v>
      </c>
      <c r="H61" s="115" t="s">
        <v>24</v>
      </c>
      <c r="I61" s="77" t="s">
        <v>818</v>
      </c>
      <c r="J61" s="37" t="s">
        <v>836</v>
      </c>
      <c r="K61" s="397" t="s">
        <v>706</v>
      </c>
      <c r="L61" s="220"/>
    </row>
    <row r="62" spans="1:12" s="3" customFormat="1" ht="13" customHeight="1">
      <c r="A62" s="566"/>
      <c r="B62" s="155" t="s">
        <v>3047</v>
      </c>
      <c r="C62" s="155" t="s">
        <v>3815</v>
      </c>
      <c r="D62" s="73" t="s">
        <v>946</v>
      </c>
      <c r="E62" s="115" t="s">
        <v>1858</v>
      </c>
      <c r="F62" s="156" t="s">
        <v>3314</v>
      </c>
      <c r="G62" s="156" t="s">
        <v>3325</v>
      </c>
      <c r="H62" s="115" t="s">
        <v>24</v>
      </c>
      <c r="I62" s="77" t="s">
        <v>797</v>
      </c>
      <c r="J62" s="284" t="s">
        <v>798</v>
      </c>
      <c r="K62" s="397" t="s">
        <v>706</v>
      </c>
      <c r="L62" s="220"/>
    </row>
    <row r="63" spans="1:12" s="3" customFormat="1" ht="13" customHeight="1">
      <c r="A63" s="566"/>
      <c r="B63" s="73" t="s">
        <v>3824</v>
      </c>
      <c r="C63" s="155" t="s">
        <v>3825</v>
      </c>
      <c r="D63" s="73" t="s">
        <v>3826</v>
      </c>
      <c r="E63" s="115" t="s">
        <v>3820</v>
      </c>
      <c r="F63" s="156" t="s">
        <v>3821</v>
      </c>
      <c r="G63" s="156" t="s">
        <v>3827</v>
      </c>
      <c r="H63" s="115" t="s">
        <v>24</v>
      </c>
      <c r="I63" s="77" t="s">
        <v>2873</v>
      </c>
      <c r="J63" s="284" t="s">
        <v>3828</v>
      </c>
      <c r="K63" s="486" t="s">
        <v>4169</v>
      </c>
      <c r="L63" s="220"/>
    </row>
    <row r="64" spans="1:12" s="3" customFormat="1" ht="13" customHeight="1">
      <c r="A64" s="566"/>
      <c r="B64" s="73" t="s">
        <v>3829</v>
      </c>
      <c r="C64" s="155" t="s">
        <v>3830</v>
      </c>
      <c r="D64" s="73" t="s">
        <v>3831</v>
      </c>
      <c r="E64" s="115" t="s">
        <v>3820</v>
      </c>
      <c r="F64" s="156" t="s">
        <v>3821</v>
      </c>
      <c r="G64" s="156" t="s">
        <v>3830</v>
      </c>
      <c r="H64" s="115" t="s">
        <v>24</v>
      </c>
      <c r="I64" s="77" t="s">
        <v>2913</v>
      </c>
      <c r="J64" s="284" t="s">
        <v>3832</v>
      </c>
      <c r="K64" s="486" t="s">
        <v>4169</v>
      </c>
      <c r="L64" s="220"/>
    </row>
    <row r="65" spans="1:12" s="3" customFormat="1" ht="13" customHeight="1">
      <c r="A65" s="566"/>
      <c r="B65" s="73" t="s">
        <v>3915</v>
      </c>
      <c r="C65" s="155" t="s">
        <v>3916</v>
      </c>
      <c r="D65" s="73" t="s">
        <v>3918</v>
      </c>
      <c r="E65" s="115" t="s">
        <v>2404</v>
      </c>
      <c r="F65" s="156" t="s">
        <v>3917</v>
      </c>
      <c r="G65" s="156" t="s">
        <v>3916</v>
      </c>
      <c r="H65" s="115" t="s">
        <v>24</v>
      </c>
      <c r="I65" s="77" t="s">
        <v>2469</v>
      </c>
      <c r="J65" s="284" t="s">
        <v>3919</v>
      </c>
      <c r="K65" s="486" t="s">
        <v>4169</v>
      </c>
      <c r="L65" s="220"/>
    </row>
    <row r="66" spans="1:12" s="3" customFormat="1" ht="13" customHeight="1">
      <c r="A66" s="566"/>
      <c r="B66" s="73" t="s">
        <v>3000</v>
      </c>
      <c r="C66" s="73" t="s">
        <v>795</v>
      </c>
      <c r="D66" s="73" t="s">
        <v>796</v>
      </c>
      <c r="E66" s="115" t="s">
        <v>1858</v>
      </c>
      <c r="F66" s="440" t="s">
        <v>3331</v>
      </c>
      <c r="G66" s="440" t="s">
        <v>3331</v>
      </c>
      <c r="H66" s="115" t="s">
        <v>24</v>
      </c>
      <c r="I66" s="111" t="s">
        <v>797</v>
      </c>
      <c r="J66" s="284" t="s">
        <v>798</v>
      </c>
      <c r="K66" s="205" t="s">
        <v>706</v>
      </c>
      <c r="L66" s="220"/>
    </row>
    <row r="67" spans="1:12" s="3" customFormat="1" ht="13" customHeight="1">
      <c r="A67" s="566"/>
      <c r="B67" s="73" t="s">
        <v>2999</v>
      </c>
      <c r="C67" s="73" t="s">
        <v>799</v>
      </c>
      <c r="D67" s="73" t="s">
        <v>800</v>
      </c>
      <c r="E67" s="115" t="s">
        <v>1858</v>
      </c>
      <c r="F67" s="440" t="s">
        <v>3331</v>
      </c>
      <c r="G67" s="440" t="s">
        <v>3331</v>
      </c>
      <c r="H67" s="115" t="s">
        <v>24</v>
      </c>
      <c r="I67" s="111" t="s">
        <v>2570</v>
      </c>
      <c r="J67" s="284" t="s">
        <v>2569</v>
      </c>
      <c r="K67" s="205" t="s">
        <v>706</v>
      </c>
      <c r="L67" s="220"/>
    </row>
    <row r="68" spans="1:12" s="3" customFormat="1" ht="13" customHeight="1">
      <c r="A68" s="566"/>
      <c r="B68" s="73" t="s">
        <v>3001</v>
      </c>
      <c r="C68" s="73" t="s">
        <v>801</v>
      </c>
      <c r="D68" s="73" t="s">
        <v>802</v>
      </c>
      <c r="E68" s="115" t="s">
        <v>1858</v>
      </c>
      <c r="F68" s="440" t="s">
        <v>3331</v>
      </c>
      <c r="G68" s="440" t="s">
        <v>3331</v>
      </c>
      <c r="H68" s="115" t="s">
        <v>24</v>
      </c>
      <c r="I68" s="111" t="s">
        <v>797</v>
      </c>
      <c r="J68" s="284" t="s">
        <v>803</v>
      </c>
      <c r="K68" s="205" t="s">
        <v>706</v>
      </c>
      <c r="L68" s="220"/>
    </row>
    <row r="69" spans="1:12" s="3" customFormat="1" ht="13" customHeight="1">
      <c r="A69" s="566"/>
      <c r="B69" s="73" t="s">
        <v>3002</v>
      </c>
      <c r="C69" s="73" t="s">
        <v>804</v>
      </c>
      <c r="D69" s="73" t="s">
        <v>805</v>
      </c>
      <c r="E69" s="115" t="s">
        <v>1858</v>
      </c>
      <c r="F69" s="440" t="s">
        <v>3331</v>
      </c>
      <c r="G69" s="440" t="s">
        <v>3331</v>
      </c>
      <c r="H69" s="115" t="s">
        <v>24</v>
      </c>
      <c r="I69" s="111" t="s">
        <v>806</v>
      </c>
      <c r="J69" s="284" t="s">
        <v>807</v>
      </c>
      <c r="K69" s="205" t="s">
        <v>706</v>
      </c>
      <c r="L69" s="220"/>
    </row>
    <row r="70" spans="1:12" s="3" customFormat="1" ht="13" customHeight="1">
      <c r="A70" s="566"/>
      <c r="B70" s="73" t="s">
        <v>3018</v>
      </c>
      <c r="C70" s="73" t="s">
        <v>808</v>
      </c>
      <c r="D70" s="73" t="s">
        <v>809</v>
      </c>
      <c r="E70" s="115" t="s">
        <v>1858</v>
      </c>
      <c r="F70" s="156" t="s">
        <v>3838</v>
      </c>
      <c r="G70" s="440" t="s">
        <v>3326</v>
      </c>
      <c r="H70" s="115" t="s">
        <v>24</v>
      </c>
      <c r="I70" s="77" t="s">
        <v>4132</v>
      </c>
      <c r="J70" s="284" t="s">
        <v>2571</v>
      </c>
      <c r="K70" s="205" t="s">
        <v>706</v>
      </c>
      <c r="L70" s="220"/>
    </row>
    <row r="71" spans="1:12" s="3" customFormat="1" ht="13" customHeight="1">
      <c r="A71" s="566"/>
      <c r="B71" s="73" t="s">
        <v>3901</v>
      </c>
      <c r="C71" s="73" t="s">
        <v>810</v>
      </c>
      <c r="D71" s="73" t="s">
        <v>811</v>
      </c>
      <c r="E71" s="115" t="s">
        <v>1858</v>
      </c>
      <c r="F71" s="156" t="s">
        <v>3838</v>
      </c>
      <c r="G71" s="440" t="s">
        <v>3327</v>
      </c>
      <c r="H71" s="115" t="s">
        <v>24</v>
      </c>
      <c r="I71" s="77" t="s">
        <v>4133</v>
      </c>
      <c r="J71" s="284" t="s">
        <v>812</v>
      </c>
      <c r="K71" s="205" t="s">
        <v>706</v>
      </c>
      <c r="L71" s="220"/>
    </row>
    <row r="72" spans="1:12" s="3" customFormat="1" ht="13" customHeight="1">
      <c r="A72" s="566"/>
      <c r="B72" s="73" t="s">
        <v>3902</v>
      </c>
      <c r="C72" s="155" t="s">
        <v>3880</v>
      </c>
      <c r="D72" s="73" t="s">
        <v>3881</v>
      </c>
      <c r="E72" s="115" t="s">
        <v>1858</v>
      </c>
      <c r="F72" s="156" t="s">
        <v>3838</v>
      </c>
      <c r="G72" s="156" t="s">
        <v>3879</v>
      </c>
      <c r="H72" s="115" t="s">
        <v>24</v>
      </c>
      <c r="I72" s="77" t="s">
        <v>3882</v>
      </c>
      <c r="J72" s="284" t="s">
        <v>3883</v>
      </c>
      <c r="K72" s="486" t="s">
        <v>4169</v>
      </c>
      <c r="L72" s="220"/>
    </row>
    <row r="73" spans="1:12" s="3" customFormat="1" ht="13" customHeight="1">
      <c r="A73" s="566"/>
      <c r="B73" s="73" t="s">
        <v>3975</v>
      </c>
      <c r="C73" s="155" t="s">
        <v>3885</v>
      </c>
      <c r="D73" s="73" t="s">
        <v>3886</v>
      </c>
      <c r="E73" s="115" t="s">
        <v>2404</v>
      </c>
      <c r="F73" s="156" t="s">
        <v>3838</v>
      </c>
      <c r="G73" s="156" t="s">
        <v>3884</v>
      </c>
      <c r="H73" s="115" t="s">
        <v>24</v>
      </c>
      <c r="I73" s="77" t="s">
        <v>2469</v>
      </c>
      <c r="J73" s="284" t="s">
        <v>3887</v>
      </c>
      <c r="K73" s="486" t="s">
        <v>4169</v>
      </c>
      <c r="L73" s="220"/>
    </row>
    <row r="74" spans="1:12" s="3" customFormat="1" ht="13" customHeight="1">
      <c r="A74" s="566"/>
      <c r="B74" s="73" t="s">
        <v>3976</v>
      </c>
      <c r="C74" s="155" t="s">
        <v>3889</v>
      </c>
      <c r="D74" s="73" t="s">
        <v>3890</v>
      </c>
      <c r="E74" s="115" t="s">
        <v>2404</v>
      </c>
      <c r="F74" s="156" t="s">
        <v>3838</v>
      </c>
      <c r="G74" s="156" t="s">
        <v>3888</v>
      </c>
      <c r="H74" s="115" t="s">
        <v>24</v>
      </c>
      <c r="I74" s="77" t="s">
        <v>3709</v>
      </c>
      <c r="J74" s="284" t="s">
        <v>3891</v>
      </c>
      <c r="K74" s="486" t="s">
        <v>4169</v>
      </c>
      <c r="L74" s="220"/>
    </row>
    <row r="75" spans="1:12" s="3" customFormat="1" ht="13" customHeight="1">
      <c r="A75" s="566"/>
      <c r="B75" s="73" t="s">
        <v>3977</v>
      </c>
      <c r="C75" s="155" t="s">
        <v>3894</v>
      </c>
      <c r="D75" s="73" t="s">
        <v>3895</v>
      </c>
      <c r="E75" s="115" t="s">
        <v>2404</v>
      </c>
      <c r="F75" s="156" t="s">
        <v>3838</v>
      </c>
      <c r="G75" s="156" t="s">
        <v>3893</v>
      </c>
      <c r="H75" s="115" t="s">
        <v>24</v>
      </c>
      <c r="I75" s="77" t="s">
        <v>3709</v>
      </c>
      <c r="J75" s="284" t="s">
        <v>3896</v>
      </c>
      <c r="K75" s="486" t="s">
        <v>4169</v>
      </c>
      <c r="L75" s="220"/>
    </row>
    <row r="76" spans="1:12" s="3" customFormat="1" ht="13" customHeight="1">
      <c r="A76" s="566"/>
      <c r="B76" s="73" t="s">
        <v>3978</v>
      </c>
      <c r="C76" s="73" t="s">
        <v>3931</v>
      </c>
      <c r="D76" s="73" t="s">
        <v>3932</v>
      </c>
      <c r="E76" s="115" t="s">
        <v>1858</v>
      </c>
      <c r="F76" s="156" t="s">
        <v>3928</v>
      </c>
      <c r="G76" s="440" t="s">
        <v>3927</v>
      </c>
      <c r="H76" s="115" t="s">
        <v>24</v>
      </c>
      <c r="I76" s="77" t="s">
        <v>3709</v>
      </c>
      <c r="J76" s="284" t="s">
        <v>3933</v>
      </c>
      <c r="K76" s="486" t="s">
        <v>4169</v>
      </c>
      <c r="L76" s="220"/>
    </row>
    <row r="77" spans="1:12" s="3" customFormat="1" ht="13" customHeight="1">
      <c r="A77" s="566"/>
      <c r="B77" s="73" t="s">
        <v>3019</v>
      </c>
      <c r="C77" s="73" t="s">
        <v>813</v>
      </c>
      <c r="D77" s="73" t="s">
        <v>814</v>
      </c>
      <c r="E77" s="115" t="s">
        <v>1858</v>
      </c>
      <c r="F77" s="440" t="s">
        <v>3331</v>
      </c>
      <c r="G77" s="440" t="s">
        <v>3331</v>
      </c>
      <c r="H77" s="115" t="s">
        <v>24</v>
      </c>
      <c r="I77" s="111" t="s">
        <v>2572</v>
      </c>
      <c r="J77" s="284" t="s">
        <v>815</v>
      </c>
      <c r="K77" s="205" t="s">
        <v>706</v>
      </c>
      <c r="L77" s="220"/>
    </row>
    <row r="78" spans="1:12" s="3" customFormat="1" ht="13" customHeight="1">
      <c r="A78" s="566"/>
      <c r="B78" s="73" t="s">
        <v>3020</v>
      </c>
      <c r="C78" s="73" t="s">
        <v>816</v>
      </c>
      <c r="D78" s="73" t="s">
        <v>817</v>
      </c>
      <c r="E78" s="115" t="s">
        <v>1858</v>
      </c>
      <c r="F78" s="440" t="s">
        <v>3331</v>
      </c>
      <c r="G78" s="440" t="s">
        <v>3331</v>
      </c>
      <c r="H78" s="115" t="s">
        <v>24</v>
      </c>
      <c r="I78" s="111" t="s">
        <v>818</v>
      </c>
      <c r="J78" s="284" t="s">
        <v>819</v>
      </c>
      <c r="K78" s="205" t="s">
        <v>706</v>
      </c>
      <c r="L78" s="220"/>
    </row>
    <row r="79" spans="1:12" s="3" customFormat="1" ht="13" customHeight="1">
      <c r="A79" s="566"/>
      <c r="B79" s="73" t="s">
        <v>3021</v>
      </c>
      <c r="C79" s="73" t="s">
        <v>820</v>
      </c>
      <c r="D79" s="73" t="s">
        <v>821</v>
      </c>
      <c r="E79" s="115" t="s">
        <v>1858</v>
      </c>
      <c r="F79" s="440" t="s">
        <v>3331</v>
      </c>
      <c r="G79" s="440" t="s">
        <v>3331</v>
      </c>
      <c r="H79" s="115" t="s">
        <v>24</v>
      </c>
      <c r="I79" s="111" t="s">
        <v>2573</v>
      </c>
      <c r="J79" s="284" t="s">
        <v>822</v>
      </c>
      <c r="K79" s="346" t="s">
        <v>2698</v>
      </c>
      <c r="L79" s="220"/>
    </row>
    <row r="80" spans="1:12" s="3" customFormat="1" ht="13" customHeight="1">
      <c r="A80" s="566"/>
      <c r="B80" s="73" t="s">
        <v>3022</v>
      </c>
      <c r="C80" s="73" t="s">
        <v>823</v>
      </c>
      <c r="D80" s="73" t="s">
        <v>824</v>
      </c>
      <c r="E80" s="115" t="s">
        <v>1858</v>
      </c>
      <c r="F80" s="156" t="s">
        <v>3838</v>
      </c>
      <c r="G80" s="440" t="s">
        <v>3328</v>
      </c>
      <c r="H80" s="115" t="s">
        <v>24</v>
      </c>
      <c r="I80" s="77" t="s">
        <v>4134</v>
      </c>
      <c r="J80" s="284" t="s">
        <v>825</v>
      </c>
      <c r="K80" s="205" t="s">
        <v>706</v>
      </c>
      <c r="L80" s="220"/>
    </row>
    <row r="81" spans="1:12" s="3" customFormat="1" ht="13" customHeight="1">
      <c r="A81" s="566"/>
      <c r="B81" s="73" t="s">
        <v>3980</v>
      </c>
      <c r="C81" s="73" t="s">
        <v>3868</v>
      </c>
      <c r="D81" s="73" t="s">
        <v>3837</v>
      </c>
      <c r="E81" s="115" t="s">
        <v>1841</v>
      </c>
      <c r="F81" s="156" t="s">
        <v>3838</v>
      </c>
      <c r="G81" s="440" t="s">
        <v>3836</v>
      </c>
      <c r="H81" s="115" t="s">
        <v>24</v>
      </c>
      <c r="I81" s="77" t="s">
        <v>3852</v>
      </c>
      <c r="J81" s="284" t="s">
        <v>3839</v>
      </c>
      <c r="K81" s="486" t="s">
        <v>4169</v>
      </c>
      <c r="L81" s="220"/>
    </row>
    <row r="82" spans="1:12" s="3" customFormat="1" ht="13" customHeight="1">
      <c r="A82" s="566"/>
      <c r="B82" s="73" t="s">
        <v>3981</v>
      </c>
      <c r="C82" s="73" t="s">
        <v>3871</v>
      </c>
      <c r="D82" s="73" t="s">
        <v>3844</v>
      </c>
      <c r="E82" s="115" t="s">
        <v>1841</v>
      </c>
      <c r="F82" s="156" t="s">
        <v>3838</v>
      </c>
      <c r="G82" s="440" t="s">
        <v>3840</v>
      </c>
      <c r="H82" s="115" t="s">
        <v>24</v>
      </c>
      <c r="I82" s="77" t="s">
        <v>3852</v>
      </c>
      <c r="J82" s="284" t="s">
        <v>3848</v>
      </c>
      <c r="K82" s="486" t="s">
        <v>4169</v>
      </c>
      <c r="L82" s="220"/>
    </row>
    <row r="83" spans="1:12" s="3" customFormat="1" ht="13" customHeight="1">
      <c r="A83" s="566"/>
      <c r="B83" s="73" t="s">
        <v>3982</v>
      </c>
      <c r="C83" s="73" t="s">
        <v>3872</v>
      </c>
      <c r="D83" s="73" t="s">
        <v>3845</v>
      </c>
      <c r="E83" s="115" t="s">
        <v>1841</v>
      </c>
      <c r="F83" s="156" t="s">
        <v>3838</v>
      </c>
      <c r="G83" s="440" t="s">
        <v>3841</v>
      </c>
      <c r="H83" s="115" t="s">
        <v>24</v>
      </c>
      <c r="I83" s="77" t="s">
        <v>3852</v>
      </c>
      <c r="J83" s="284" t="s">
        <v>3849</v>
      </c>
      <c r="K83" s="486" t="s">
        <v>4169</v>
      </c>
      <c r="L83" s="220"/>
    </row>
    <row r="84" spans="1:12" s="3" customFormat="1" ht="13" customHeight="1">
      <c r="A84" s="566"/>
      <c r="B84" s="73" t="s">
        <v>3983</v>
      </c>
      <c r="C84" s="73" t="s">
        <v>3870</v>
      </c>
      <c r="D84" s="73" t="s">
        <v>3846</v>
      </c>
      <c r="E84" s="115" t="s">
        <v>1841</v>
      </c>
      <c r="F84" s="156" t="s">
        <v>3838</v>
      </c>
      <c r="G84" s="440" t="s">
        <v>3842</v>
      </c>
      <c r="H84" s="115" t="s">
        <v>24</v>
      </c>
      <c r="I84" s="77" t="s">
        <v>3852</v>
      </c>
      <c r="J84" s="284" t="s">
        <v>3850</v>
      </c>
      <c r="K84" s="486" t="s">
        <v>4169</v>
      </c>
      <c r="L84" s="220"/>
    </row>
    <row r="85" spans="1:12" s="3" customFormat="1" ht="13" customHeight="1">
      <c r="A85" s="566"/>
      <c r="B85" s="73" t="s">
        <v>3984</v>
      </c>
      <c r="C85" s="73" t="s">
        <v>3869</v>
      </c>
      <c r="D85" s="73" t="s">
        <v>3847</v>
      </c>
      <c r="E85" s="115" t="s">
        <v>1841</v>
      </c>
      <c r="F85" s="156" t="s">
        <v>3838</v>
      </c>
      <c r="G85" s="440" t="s">
        <v>3843</v>
      </c>
      <c r="H85" s="115" t="s">
        <v>24</v>
      </c>
      <c r="I85" s="77" t="s">
        <v>3852</v>
      </c>
      <c r="J85" s="284" t="s">
        <v>3851</v>
      </c>
      <c r="K85" s="486" t="s">
        <v>4169</v>
      </c>
      <c r="L85" s="220"/>
    </row>
    <row r="86" spans="1:12" s="3" customFormat="1" ht="13" customHeight="1">
      <c r="A86" s="566"/>
      <c r="B86" s="73" t="s">
        <v>3985</v>
      </c>
      <c r="C86" s="73" t="s">
        <v>3927</v>
      </c>
      <c r="D86" s="73" t="s">
        <v>3929</v>
      </c>
      <c r="E86" s="115" t="s">
        <v>1858</v>
      </c>
      <c r="F86" s="156" t="s">
        <v>3928</v>
      </c>
      <c r="G86" s="440" t="s">
        <v>3927</v>
      </c>
      <c r="H86" s="115" t="s">
        <v>24</v>
      </c>
      <c r="I86" s="77" t="s">
        <v>3709</v>
      </c>
      <c r="J86" s="284" t="s">
        <v>3930</v>
      </c>
      <c r="K86" s="486" t="s">
        <v>4169</v>
      </c>
      <c r="L86" s="220"/>
    </row>
    <row r="87" spans="1:12" s="3" customFormat="1" ht="13" customHeight="1">
      <c r="A87" s="566"/>
      <c r="B87" s="73" t="s">
        <v>3947</v>
      </c>
      <c r="C87" s="73" t="s">
        <v>3948</v>
      </c>
      <c r="D87" s="73" t="s">
        <v>3949</v>
      </c>
      <c r="E87" s="115" t="s">
        <v>1858</v>
      </c>
      <c r="F87" s="156" t="s">
        <v>3928</v>
      </c>
      <c r="G87" s="440" t="s">
        <v>3948</v>
      </c>
      <c r="H87" s="115" t="s">
        <v>24</v>
      </c>
      <c r="I87" s="77" t="s">
        <v>2532</v>
      </c>
      <c r="J87" s="284" t="s">
        <v>3949</v>
      </c>
      <c r="K87" s="486" t="s">
        <v>4169</v>
      </c>
      <c r="L87" s="220"/>
    </row>
    <row r="88" spans="1:12" s="3" customFormat="1" ht="13" customHeight="1">
      <c r="A88" s="567"/>
      <c r="B88" s="111" t="s">
        <v>3025</v>
      </c>
      <c r="C88" s="111" t="s">
        <v>840</v>
      </c>
      <c r="D88" s="111" t="s">
        <v>841</v>
      </c>
      <c r="E88" s="115" t="s">
        <v>1858</v>
      </c>
      <c r="F88" s="115" t="s">
        <v>3331</v>
      </c>
      <c r="G88" s="115" t="s">
        <v>3331</v>
      </c>
      <c r="H88" s="115" t="s">
        <v>24</v>
      </c>
      <c r="I88" s="111" t="s">
        <v>2572</v>
      </c>
      <c r="J88" s="285" t="s">
        <v>2576</v>
      </c>
      <c r="K88" s="205" t="s">
        <v>706</v>
      </c>
      <c r="L88" s="220"/>
    </row>
    <row r="89" spans="1:12" s="3" customFormat="1" ht="13" customHeight="1">
      <c r="A89" s="567"/>
      <c r="B89" s="111" t="s">
        <v>3058</v>
      </c>
      <c r="C89" s="111" t="s">
        <v>842</v>
      </c>
      <c r="D89" s="111" t="s">
        <v>843</v>
      </c>
      <c r="E89" s="115" t="s">
        <v>1858</v>
      </c>
      <c r="F89" s="115" t="s">
        <v>3331</v>
      </c>
      <c r="G89" s="115" t="s">
        <v>3331</v>
      </c>
      <c r="H89" s="115" t="s">
        <v>24</v>
      </c>
      <c r="I89" s="111" t="s">
        <v>2572</v>
      </c>
      <c r="J89" s="285" t="s">
        <v>2577</v>
      </c>
      <c r="K89" s="205" t="s">
        <v>706</v>
      </c>
      <c r="L89" s="220"/>
    </row>
    <row r="90" spans="1:12" s="3" customFormat="1" ht="13" customHeight="1">
      <c r="A90" s="567"/>
      <c r="B90" s="111" t="s">
        <v>3026</v>
      </c>
      <c r="C90" s="111" t="s">
        <v>844</v>
      </c>
      <c r="D90" s="111" t="s">
        <v>845</v>
      </c>
      <c r="E90" s="115" t="s">
        <v>1858</v>
      </c>
      <c r="F90" s="115" t="s">
        <v>3331</v>
      </c>
      <c r="G90" s="115" t="s">
        <v>3331</v>
      </c>
      <c r="H90" s="115" t="s">
        <v>24</v>
      </c>
      <c r="I90" s="111" t="s">
        <v>2579</v>
      </c>
      <c r="J90" s="285" t="s">
        <v>2578</v>
      </c>
      <c r="K90" s="205" t="s">
        <v>706</v>
      </c>
      <c r="L90" s="220"/>
    </row>
    <row r="91" spans="1:12" s="3" customFormat="1" ht="13" customHeight="1">
      <c r="A91" s="567"/>
      <c r="B91" s="111" t="s">
        <v>3027</v>
      </c>
      <c r="C91" s="111" t="s">
        <v>847</v>
      </c>
      <c r="D91" s="111" t="s">
        <v>848</v>
      </c>
      <c r="E91" s="115" t="s">
        <v>1858</v>
      </c>
      <c r="F91" s="115" t="s">
        <v>3331</v>
      </c>
      <c r="G91" s="115" t="s">
        <v>3331</v>
      </c>
      <c r="H91" s="115" t="s">
        <v>24</v>
      </c>
      <c r="I91" s="111" t="s">
        <v>2581</v>
      </c>
      <c r="J91" s="285" t="s">
        <v>2580</v>
      </c>
      <c r="K91" s="205" t="s">
        <v>706</v>
      </c>
      <c r="L91" s="220"/>
    </row>
    <row r="92" spans="1:12" s="3" customFormat="1" ht="13" customHeight="1">
      <c r="A92" s="567"/>
      <c r="B92" s="111" t="s">
        <v>3028</v>
      </c>
      <c r="C92" s="111" t="s">
        <v>849</v>
      </c>
      <c r="D92" s="111" t="s">
        <v>850</v>
      </c>
      <c r="E92" s="115" t="s">
        <v>1858</v>
      </c>
      <c r="F92" s="115" t="s">
        <v>3331</v>
      </c>
      <c r="G92" s="115" t="s">
        <v>3331</v>
      </c>
      <c r="H92" s="115" t="s">
        <v>24</v>
      </c>
      <c r="I92" s="111" t="s">
        <v>2581</v>
      </c>
      <c r="J92" s="285" t="s">
        <v>2582</v>
      </c>
      <c r="K92" s="205" t="s">
        <v>706</v>
      </c>
      <c r="L92" s="220"/>
    </row>
    <row r="93" spans="1:12" s="3" customFormat="1" ht="13" customHeight="1">
      <c r="A93" s="567"/>
      <c r="B93" s="111" t="s">
        <v>3029</v>
      </c>
      <c r="C93" s="111" t="s">
        <v>851</v>
      </c>
      <c r="D93" s="111" t="s">
        <v>852</v>
      </c>
      <c r="E93" s="115" t="s">
        <v>1858</v>
      </c>
      <c r="F93" s="115" t="s">
        <v>3331</v>
      </c>
      <c r="G93" s="115" t="s">
        <v>3331</v>
      </c>
      <c r="H93" s="115" t="s">
        <v>24</v>
      </c>
      <c r="I93" s="111" t="s">
        <v>2581</v>
      </c>
      <c r="J93" s="285" t="s">
        <v>2583</v>
      </c>
      <c r="K93" s="205" t="s">
        <v>706</v>
      </c>
      <c r="L93" s="220"/>
    </row>
    <row r="94" spans="1:12" s="3" customFormat="1" ht="13" customHeight="1">
      <c r="A94" s="567"/>
      <c r="B94" s="111" t="s">
        <v>3030</v>
      </c>
      <c r="C94" s="111" t="s">
        <v>853</v>
      </c>
      <c r="D94" s="111" t="s">
        <v>854</v>
      </c>
      <c r="E94" s="115" t="s">
        <v>1858</v>
      </c>
      <c r="F94" s="115" t="s">
        <v>3331</v>
      </c>
      <c r="G94" s="115" t="s">
        <v>3331</v>
      </c>
      <c r="H94" s="115" t="s">
        <v>24</v>
      </c>
      <c r="I94" s="111" t="s">
        <v>855</v>
      </c>
      <c r="J94" s="285" t="s">
        <v>2553</v>
      </c>
      <c r="K94" s="205" t="s">
        <v>706</v>
      </c>
      <c r="L94" s="220"/>
    </row>
    <row r="95" spans="1:12" s="3" customFormat="1" ht="13" customHeight="1">
      <c r="A95" s="567"/>
      <c r="B95" s="111" t="s">
        <v>3031</v>
      </c>
      <c r="C95" s="111" t="s">
        <v>856</v>
      </c>
      <c r="D95" s="111" t="s">
        <v>857</v>
      </c>
      <c r="E95" s="115" t="s">
        <v>1858</v>
      </c>
      <c r="F95" s="115" t="s">
        <v>3331</v>
      </c>
      <c r="G95" s="115" t="s">
        <v>3331</v>
      </c>
      <c r="H95" s="115" t="s">
        <v>24</v>
      </c>
      <c r="I95" s="73" t="s">
        <v>858</v>
      </c>
      <c r="J95" s="285" t="s">
        <v>2623</v>
      </c>
      <c r="K95" s="205" t="s">
        <v>706</v>
      </c>
      <c r="L95" s="220"/>
    </row>
    <row r="96" spans="1:12" s="3" customFormat="1" ht="13" customHeight="1">
      <c r="A96" s="567"/>
      <c r="B96" s="111" t="s">
        <v>3032</v>
      </c>
      <c r="C96" s="111" t="s">
        <v>859</v>
      </c>
      <c r="D96" s="111" t="s">
        <v>860</v>
      </c>
      <c r="E96" s="115" t="s">
        <v>1858</v>
      </c>
      <c r="F96" s="115" t="s">
        <v>3331</v>
      </c>
      <c r="G96" s="115" t="s">
        <v>3331</v>
      </c>
      <c r="H96" s="115" t="s">
        <v>24</v>
      </c>
      <c r="I96" s="111" t="s">
        <v>354</v>
      </c>
      <c r="J96" s="285" t="s">
        <v>861</v>
      </c>
      <c r="K96" s="205" t="s">
        <v>706</v>
      </c>
      <c r="L96" s="220"/>
    </row>
    <row r="97" spans="1:12" s="3" customFormat="1" ht="12" customHeight="1">
      <c r="A97" s="567"/>
      <c r="B97" s="111" t="s">
        <v>3033</v>
      </c>
      <c r="C97" s="111" t="s">
        <v>2622</v>
      </c>
      <c r="D97" s="111" t="s">
        <v>862</v>
      </c>
      <c r="E97" s="115" t="s">
        <v>1858</v>
      </c>
      <c r="F97" s="115" t="s">
        <v>3331</v>
      </c>
      <c r="G97" s="115" t="s">
        <v>3331</v>
      </c>
      <c r="H97" s="115" t="s">
        <v>24</v>
      </c>
      <c r="I97" s="77" t="s">
        <v>797</v>
      </c>
      <c r="J97" s="286" t="s">
        <v>863</v>
      </c>
      <c r="K97" s="205" t="s">
        <v>706</v>
      </c>
      <c r="L97" s="220"/>
    </row>
    <row r="98" spans="1:12" s="3" customFormat="1" ht="13" customHeight="1">
      <c r="A98" s="567"/>
      <c r="B98" s="111" t="s">
        <v>3036</v>
      </c>
      <c r="C98" s="111" t="s">
        <v>864</v>
      </c>
      <c r="D98" s="111" t="s">
        <v>865</v>
      </c>
      <c r="E98" s="115" t="s">
        <v>1858</v>
      </c>
      <c r="F98" s="115" t="s">
        <v>3331</v>
      </c>
      <c r="G98" s="115" t="s">
        <v>3331</v>
      </c>
      <c r="H98" s="115" t="s">
        <v>24</v>
      </c>
      <c r="I98" s="77" t="s">
        <v>818</v>
      </c>
      <c r="J98" s="285" t="s">
        <v>866</v>
      </c>
      <c r="K98" s="205" t="s">
        <v>706</v>
      </c>
      <c r="L98" s="220"/>
    </row>
    <row r="99" spans="1:12" s="3" customFormat="1" ht="13" customHeight="1">
      <c r="A99" s="567"/>
      <c r="B99" s="111" t="s">
        <v>3034</v>
      </c>
      <c r="C99" s="111" t="s">
        <v>867</v>
      </c>
      <c r="D99" s="111" t="s">
        <v>868</v>
      </c>
      <c r="E99" s="115" t="s">
        <v>1858</v>
      </c>
      <c r="F99" s="115" t="s">
        <v>3331</v>
      </c>
      <c r="G99" s="115" t="s">
        <v>3331</v>
      </c>
      <c r="H99" s="115" t="s">
        <v>24</v>
      </c>
      <c r="I99" s="77" t="s">
        <v>818</v>
      </c>
      <c r="J99" s="285" t="s">
        <v>869</v>
      </c>
      <c r="K99" s="205" t="s">
        <v>706</v>
      </c>
      <c r="L99" s="220"/>
    </row>
    <row r="100" spans="1:12" s="3" customFormat="1" ht="13" customHeight="1">
      <c r="A100" s="567"/>
      <c r="B100" s="111" t="s">
        <v>3037</v>
      </c>
      <c r="C100" s="111" t="s">
        <v>870</v>
      </c>
      <c r="D100" s="111" t="s">
        <v>871</v>
      </c>
      <c r="E100" s="115" t="s">
        <v>1858</v>
      </c>
      <c r="F100" s="115" t="s">
        <v>3331</v>
      </c>
      <c r="G100" s="115" t="s">
        <v>3331</v>
      </c>
      <c r="H100" s="115" t="s">
        <v>24</v>
      </c>
      <c r="I100" s="111" t="s">
        <v>2584</v>
      </c>
      <c r="J100" s="285" t="s">
        <v>2554</v>
      </c>
      <c r="K100" s="205" t="s">
        <v>706</v>
      </c>
      <c r="L100" s="220"/>
    </row>
    <row r="101" spans="1:12" s="3" customFormat="1" ht="13" customHeight="1">
      <c r="A101" s="567"/>
      <c r="B101" s="111" t="s">
        <v>3038</v>
      </c>
      <c r="C101" s="111" t="s">
        <v>872</v>
      </c>
      <c r="D101" s="111" t="s">
        <v>873</v>
      </c>
      <c r="E101" s="115" t="s">
        <v>1858</v>
      </c>
      <c r="F101" s="115" t="s">
        <v>3331</v>
      </c>
      <c r="G101" s="115" t="s">
        <v>3331</v>
      </c>
      <c r="H101" s="115" t="s">
        <v>24</v>
      </c>
      <c r="I101" s="77" t="s">
        <v>797</v>
      </c>
      <c r="J101" s="285" t="s">
        <v>2555</v>
      </c>
      <c r="K101" s="205" t="s">
        <v>706</v>
      </c>
      <c r="L101" s="220"/>
    </row>
    <row r="102" spans="1:12" s="3" customFormat="1" ht="13" customHeight="1">
      <c r="A102" s="567"/>
      <c r="B102" s="111" t="s">
        <v>3035</v>
      </c>
      <c r="C102" s="111" t="s">
        <v>874</v>
      </c>
      <c r="D102" s="111" t="s">
        <v>875</v>
      </c>
      <c r="E102" s="115" t="s">
        <v>1858</v>
      </c>
      <c r="F102" s="115" t="s">
        <v>3331</v>
      </c>
      <c r="G102" s="115" t="s">
        <v>3331</v>
      </c>
      <c r="H102" s="115" t="s">
        <v>24</v>
      </c>
      <c r="I102" s="111" t="s">
        <v>2568</v>
      </c>
      <c r="J102" s="285" t="s">
        <v>2566</v>
      </c>
      <c r="K102" s="205" t="s">
        <v>706</v>
      </c>
      <c r="L102" s="220"/>
    </row>
    <row r="103" spans="1:12" s="3" customFormat="1" ht="13" customHeight="1">
      <c r="A103" s="567"/>
      <c r="B103" s="111" t="s">
        <v>3039</v>
      </c>
      <c r="C103" s="111" t="s">
        <v>876</v>
      </c>
      <c r="D103" s="111" t="s">
        <v>877</v>
      </c>
      <c r="E103" s="115" t="s">
        <v>1858</v>
      </c>
      <c r="F103" s="115" t="s">
        <v>3331</v>
      </c>
      <c r="G103" s="115" t="s">
        <v>3331</v>
      </c>
      <c r="H103" s="115" t="s">
        <v>24</v>
      </c>
      <c r="I103" s="111" t="s">
        <v>846</v>
      </c>
      <c r="J103" s="285" t="s">
        <v>2567</v>
      </c>
      <c r="K103" s="205" t="s">
        <v>706</v>
      </c>
      <c r="L103" s="220"/>
    </row>
    <row r="104" spans="1:12" s="3" customFormat="1" ht="13" customHeight="1">
      <c r="A104" s="567"/>
      <c r="B104" s="111" t="s">
        <v>3040</v>
      </c>
      <c r="C104" s="111" t="s">
        <v>853</v>
      </c>
      <c r="D104" s="111" t="s">
        <v>854</v>
      </c>
      <c r="E104" s="115" t="s">
        <v>1858</v>
      </c>
      <c r="F104" s="115" t="s">
        <v>3331</v>
      </c>
      <c r="G104" s="115" t="s">
        <v>3331</v>
      </c>
      <c r="H104" s="115" t="s">
        <v>24</v>
      </c>
      <c r="I104" s="111" t="s">
        <v>855</v>
      </c>
      <c r="J104" s="285" t="s">
        <v>4135</v>
      </c>
      <c r="K104" s="205" t="s">
        <v>706</v>
      </c>
      <c r="L104" s="220"/>
    </row>
    <row r="105" spans="1:12" s="3" customFormat="1" ht="13" customHeight="1">
      <c r="A105" s="567"/>
      <c r="B105" s="111" t="s">
        <v>3004</v>
      </c>
      <c r="C105" s="111" t="s">
        <v>878</v>
      </c>
      <c r="D105" s="111" t="s">
        <v>879</v>
      </c>
      <c r="E105" s="115" t="s">
        <v>1858</v>
      </c>
      <c r="F105" s="115" t="s">
        <v>3331</v>
      </c>
      <c r="G105" s="115" t="s">
        <v>3331</v>
      </c>
      <c r="H105" s="115" t="s">
        <v>24</v>
      </c>
      <c r="I105" s="73" t="s">
        <v>4137</v>
      </c>
      <c r="J105" s="285" t="s">
        <v>4136</v>
      </c>
      <c r="K105" s="205" t="s">
        <v>706</v>
      </c>
      <c r="L105" s="220"/>
    </row>
    <row r="106" spans="1:12" s="3" customFormat="1" ht="13" customHeight="1">
      <c r="A106" s="567"/>
      <c r="B106" s="111" t="s">
        <v>3005</v>
      </c>
      <c r="C106" s="111" t="s">
        <v>880</v>
      </c>
      <c r="D106" s="111" t="s">
        <v>881</v>
      </c>
      <c r="E106" s="115" t="s">
        <v>1858</v>
      </c>
      <c r="F106" s="115" t="s">
        <v>3331</v>
      </c>
      <c r="G106" s="115" t="s">
        <v>3331</v>
      </c>
      <c r="H106" s="115" t="s">
        <v>24</v>
      </c>
      <c r="I106" s="111" t="s">
        <v>882</v>
      </c>
      <c r="J106" s="285" t="s">
        <v>883</v>
      </c>
      <c r="K106" s="205" t="s">
        <v>706</v>
      </c>
      <c r="L106" s="220"/>
    </row>
    <row r="107" spans="1:12" s="3" customFormat="1" ht="13" customHeight="1">
      <c r="A107" s="567"/>
      <c r="B107" s="111" t="s">
        <v>3006</v>
      </c>
      <c r="C107" s="111" t="s">
        <v>859</v>
      </c>
      <c r="D107" s="111" t="s">
        <v>884</v>
      </c>
      <c r="E107" s="115" t="s">
        <v>1858</v>
      </c>
      <c r="F107" s="115" t="s">
        <v>3331</v>
      </c>
      <c r="G107" s="115" t="s">
        <v>3331</v>
      </c>
      <c r="H107" s="115" t="s">
        <v>24</v>
      </c>
      <c r="I107" s="111" t="s">
        <v>2586</v>
      </c>
      <c r="J107" s="285" t="s">
        <v>2585</v>
      </c>
      <c r="K107" s="205" t="s">
        <v>706</v>
      </c>
      <c r="L107" s="220"/>
    </row>
    <row r="108" spans="1:12" s="3" customFormat="1" ht="13" customHeight="1">
      <c r="A108" s="567"/>
      <c r="B108" s="111" t="s">
        <v>3007</v>
      </c>
      <c r="C108" s="111" t="s">
        <v>885</v>
      </c>
      <c r="D108" s="111" t="s">
        <v>886</v>
      </c>
      <c r="E108" s="115" t="s">
        <v>1858</v>
      </c>
      <c r="F108" s="115" t="s">
        <v>3331</v>
      </c>
      <c r="G108" s="115" t="s">
        <v>3331</v>
      </c>
      <c r="H108" s="115" t="s">
        <v>24</v>
      </c>
      <c r="I108" s="111" t="s">
        <v>2922</v>
      </c>
      <c r="J108" s="285" t="s">
        <v>2587</v>
      </c>
      <c r="K108" s="205" t="s">
        <v>706</v>
      </c>
      <c r="L108" s="220"/>
    </row>
    <row r="109" spans="1:12" s="3" customFormat="1" ht="13" customHeight="1">
      <c r="A109" s="567"/>
      <c r="B109" s="111" t="s">
        <v>3008</v>
      </c>
      <c r="C109" s="111" t="s">
        <v>887</v>
      </c>
      <c r="D109" s="111" t="s">
        <v>888</v>
      </c>
      <c r="E109" s="115" t="s">
        <v>1858</v>
      </c>
      <c r="F109" s="115" t="s">
        <v>3331</v>
      </c>
      <c r="G109" s="115" t="s">
        <v>3331</v>
      </c>
      <c r="H109" s="115" t="s">
        <v>24</v>
      </c>
      <c r="I109" s="77" t="s">
        <v>612</v>
      </c>
      <c r="J109" s="285" t="s">
        <v>889</v>
      </c>
      <c r="K109" s="205" t="s">
        <v>706</v>
      </c>
      <c r="L109" s="220"/>
    </row>
    <row r="110" spans="1:12" s="3" customFormat="1" ht="13" customHeight="1">
      <c r="A110" s="567"/>
      <c r="B110" s="111" t="s">
        <v>3009</v>
      </c>
      <c r="C110" s="111" t="s">
        <v>890</v>
      </c>
      <c r="D110" s="111" t="s">
        <v>891</v>
      </c>
      <c r="E110" s="115" t="s">
        <v>1858</v>
      </c>
      <c r="F110" s="115" t="s">
        <v>3331</v>
      </c>
      <c r="G110" s="115" t="s">
        <v>3331</v>
      </c>
      <c r="H110" s="115" t="s">
        <v>24</v>
      </c>
      <c r="I110" s="77" t="s">
        <v>612</v>
      </c>
      <c r="J110" s="285" t="s">
        <v>889</v>
      </c>
      <c r="K110" s="205" t="s">
        <v>706</v>
      </c>
      <c r="L110" s="220"/>
    </row>
    <row r="111" spans="1:12" s="3" customFormat="1" ht="13" customHeight="1">
      <c r="A111" s="567"/>
      <c r="B111" s="111" t="s">
        <v>3010</v>
      </c>
      <c r="C111" s="111" t="s">
        <v>892</v>
      </c>
      <c r="D111" s="111" t="s">
        <v>893</v>
      </c>
      <c r="E111" s="115" t="s">
        <v>1858</v>
      </c>
      <c r="F111" s="115" t="s">
        <v>3331</v>
      </c>
      <c r="G111" s="115" t="s">
        <v>3331</v>
      </c>
      <c r="H111" s="115" t="s">
        <v>24</v>
      </c>
      <c r="I111" s="77" t="s">
        <v>612</v>
      </c>
      <c r="J111" s="285" t="s">
        <v>889</v>
      </c>
      <c r="K111" s="205" t="s">
        <v>706</v>
      </c>
      <c r="L111" s="220"/>
    </row>
    <row r="112" spans="1:12" s="3" customFormat="1" ht="13" customHeight="1">
      <c r="A112" s="567"/>
      <c r="B112" s="111" t="s">
        <v>3011</v>
      </c>
      <c r="C112" s="111" t="s">
        <v>894</v>
      </c>
      <c r="D112" s="111" t="s">
        <v>895</v>
      </c>
      <c r="E112" s="115" t="s">
        <v>1858</v>
      </c>
      <c r="F112" s="115" t="s">
        <v>3331</v>
      </c>
      <c r="G112" s="115" t="s">
        <v>3331</v>
      </c>
      <c r="H112" s="115" t="s">
        <v>24</v>
      </c>
      <c r="I112" s="77" t="s">
        <v>612</v>
      </c>
      <c r="J112" s="285" t="s">
        <v>889</v>
      </c>
      <c r="K112" s="205" t="s">
        <v>706</v>
      </c>
      <c r="L112" s="220"/>
    </row>
    <row r="113" spans="1:12" s="3" customFormat="1" ht="13" customHeight="1">
      <c r="A113" s="567"/>
      <c r="B113" s="111" t="s">
        <v>3012</v>
      </c>
      <c r="C113" s="111" t="s">
        <v>896</v>
      </c>
      <c r="D113" s="111" t="s">
        <v>897</v>
      </c>
      <c r="E113" s="115" t="s">
        <v>1858</v>
      </c>
      <c r="F113" s="115" t="s">
        <v>3331</v>
      </c>
      <c r="G113" s="115" t="s">
        <v>3331</v>
      </c>
      <c r="H113" s="115" t="s">
        <v>24</v>
      </c>
      <c r="I113" s="77" t="s">
        <v>612</v>
      </c>
      <c r="J113" s="285" t="s">
        <v>889</v>
      </c>
      <c r="K113" s="205" t="s">
        <v>706</v>
      </c>
      <c r="L113" s="220"/>
    </row>
    <row r="114" spans="1:12" s="3" customFormat="1" ht="13" customHeight="1">
      <c r="A114" s="567"/>
      <c r="B114" s="111" t="s">
        <v>3013</v>
      </c>
      <c r="C114" s="111" t="s">
        <v>898</v>
      </c>
      <c r="D114" s="111" t="s">
        <v>899</v>
      </c>
      <c r="E114" s="115" t="s">
        <v>1858</v>
      </c>
      <c r="F114" s="115" t="s">
        <v>3331</v>
      </c>
      <c r="G114" s="115" t="s">
        <v>3331</v>
      </c>
      <c r="H114" s="115" t="s">
        <v>24</v>
      </c>
      <c r="I114" s="77" t="s">
        <v>797</v>
      </c>
      <c r="J114" s="285" t="s">
        <v>900</v>
      </c>
      <c r="K114" s="205" t="s">
        <v>706</v>
      </c>
      <c r="L114" s="220"/>
    </row>
    <row r="115" spans="1:12" s="3" customFormat="1" ht="13" customHeight="1">
      <c r="A115" s="567"/>
      <c r="B115" s="111" t="s">
        <v>3014</v>
      </c>
      <c r="C115" s="111" t="s">
        <v>901</v>
      </c>
      <c r="D115" s="111" t="s">
        <v>902</v>
      </c>
      <c r="E115" s="115" t="s">
        <v>1858</v>
      </c>
      <c r="F115" s="115" t="s">
        <v>3331</v>
      </c>
      <c r="G115" s="115" t="s">
        <v>3331</v>
      </c>
      <c r="H115" s="115" t="s">
        <v>24</v>
      </c>
      <c r="I115" s="77" t="s">
        <v>797</v>
      </c>
      <c r="J115" s="285" t="s">
        <v>903</v>
      </c>
      <c r="K115" s="205" t="s">
        <v>706</v>
      </c>
      <c r="L115" s="220"/>
    </row>
    <row r="116" spans="1:12" s="3" customFormat="1" ht="13" customHeight="1">
      <c r="A116" s="567"/>
      <c r="B116" s="111" t="s">
        <v>3015</v>
      </c>
      <c r="C116" s="111" t="s">
        <v>904</v>
      </c>
      <c r="D116" s="111" t="s">
        <v>905</v>
      </c>
      <c r="E116" s="115" t="s">
        <v>1858</v>
      </c>
      <c r="F116" s="115" t="s">
        <v>3331</v>
      </c>
      <c r="G116" s="115" t="s">
        <v>3331</v>
      </c>
      <c r="H116" s="115" t="s">
        <v>24</v>
      </c>
      <c r="I116" s="77" t="s">
        <v>797</v>
      </c>
      <c r="J116" s="285" t="s">
        <v>906</v>
      </c>
      <c r="K116" s="205" t="s">
        <v>706</v>
      </c>
      <c r="L116" s="220"/>
    </row>
    <row r="117" spans="1:12" s="3" customFormat="1" ht="13" customHeight="1">
      <c r="A117" s="567"/>
      <c r="B117" s="111" t="s">
        <v>3068</v>
      </c>
      <c r="C117" s="111" t="s">
        <v>907</v>
      </c>
      <c r="D117" s="73" t="s">
        <v>908</v>
      </c>
      <c r="E117" s="115" t="s">
        <v>1858</v>
      </c>
      <c r="F117" s="115" t="s">
        <v>3331</v>
      </c>
      <c r="G117" s="115" t="s">
        <v>3331</v>
      </c>
      <c r="H117" s="115" t="s">
        <v>24</v>
      </c>
      <c r="I117" s="111" t="s">
        <v>2589</v>
      </c>
      <c r="J117" s="285" t="s">
        <v>2588</v>
      </c>
      <c r="K117" s="205" t="s">
        <v>706</v>
      </c>
      <c r="L117" s="220"/>
    </row>
    <row r="118" spans="1:12" s="3" customFormat="1" ht="13" customHeight="1">
      <c r="A118" s="567"/>
      <c r="B118" s="111" t="s">
        <v>3016</v>
      </c>
      <c r="C118" s="111" t="s">
        <v>801</v>
      </c>
      <c r="D118" s="73" t="s">
        <v>909</v>
      </c>
      <c r="E118" s="115" t="s">
        <v>1858</v>
      </c>
      <c r="F118" s="115" t="s">
        <v>3331</v>
      </c>
      <c r="G118" s="115" t="s">
        <v>3331</v>
      </c>
      <c r="H118" s="115" t="s">
        <v>24</v>
      </c>
      <c r="I118" s="77" t="s">
        <v>797</v>
      </c>
      <c r="J118" s="285" t="s">
        <v>910</v>
      </c>
      <c r="K118" s="205" t="s">
        <v>706</v>
      </c>
      <c r="L118" s="220"/>
    </row>
    <row r="119" spans="1:12" s="3" customFormat="1" ht="13" customHeight="1">
      <c r="A119" s="567"/>
      <c r="B119" s="111" t="s">
        <v>3017</v>
      </c>
      <c r="C119" s="111" t="s">
        <v>804</v>
      </c>
      <c r="D119" s="73" t="s">
        <v>911</v>
      </c>
      <c r="E119" s="115" t="s">
        <v>1858</v>
      </c>
      <c r="F119" s="115" t="s">
        <v>3331</v>
      </c>
      <c r="G119" s="115" t="s">
        <v>3331</v>
      </c>
      <c r="H119" s="115" t="s">
        <v>24</v>
      </c>
      <c r="I119" s="111" t="s">
        <v>806</v>
      </c>
      <c r="J119" s="285" t="s">
        <v>912</v>
      </c>
      <c r="K119" s="205" t="s">
        <v>706</v>
      </c>
      <c r="L119" s="220"/>
    </row>
    <row r="120" spans="1:12" s="3" customFormat="1" ht="13" customHeight="1">
      <c r="A120" s="567"/>
      <c r="B120" s="111" t="s">
        <v>3817</v>
      </c>
      <c r="C120" s="111" t="s">
        <v>3818</v>
      </c>
      <c r="D120" s="73" t="s">
        <v>3819</v>
      </c>
      <c r="E120" s="115" t="s">
        <v>3820</v>
      </c>
      <c r="F120" s="115" t="s">
        <v>3821</v>
      </c>
      <c r="G120" s="115" t="s">
        <v>3822</v>
      </c>
      <c r="H120" s="115" t="s">
        <v>24</v>
      </c>
      <c r="I120" s="111" t="s">
        <v>3709</v>
      </c>
      <c r="J120" s="285" t="s">
        <v>3823</v>
      </c>
      <c r="K120" s="486" t="s">
        <v>4184</v>
      </c>
      <c r="L120" s="220"/>
    </row>
    <row r="121" spans="1:12" s="3" customFormat="1" ht="13" customHeight="1">
      <c r="A121" s="567"/>
      <c r="B121" s="111" t="s">
        <v>3833</v>
      </c>
      <c r="C121" s="111" t="s">
        <v>3834</v>
      </c>
      <c r="D121" s="73" t="s">
        <v>3835</v>
      </c>
      <c r="E121" s="115" t="s">
        <v>3820</v>
      </c>
      <c r="F121" s="115" t="s">
        <v>3821</v>
      </c>
      <c r="G121" s="115" t="s">
        <v>3834</v>
      </c>
      <c r="H121" s="115" t="s">
        <v>24</v>
      </c>
      <c r="I121" s="111" t="s">
        <v>2913</v>
      </c>
      <c r="J121" s="285" t="s">
        <v>3832</v>
      </c>
      <c r="K121" s="486" t="s">
        <v>4184</v>
      </c>
      <c r="L121" s="220"/>
    </row>
    <row r="122" spans="1:12" s="3" customFormat="1" ht="13" customHeight="1">
      <c r="A122" s="567"/>
      <c r="B122" s="111" t="s">
        <v>2827</v>
      </c>
      <c r="C122" s="111" t="s">
        <v>2811</v>
      </c>
      <c r="D122" s="73" t="s">
        <v>2814</v>
      </c>
      <c r="E122" s="115" t="s">
        <v>1858</v>
      </c>
      <c r="F122" s="115" t="s">
        <v>2390</v>
      </c>
      <c r="G122" s="115" t="s">
        <v>2390</v>
      </c>
      <c r="H122" s="115" t="s">
        <v>24</v>
      </c>
      <c r="I122" s="111" t="s">
        <v>2816</v>
      </c>
      <c r="J122" s="285" t="s">
        <v>2817</v>
      </c>
      <c r="K122" s="469" t="s">
        <v>706</v>
      </c>
      <c r="L122" s="220"/>
    </row>
    <row r="123" spans="1:12" s="3" customFormat="1" ht="13" customHeight="1">
      <c r="A123" s="567"/>
      <c r="B123" s="111" t="s">
        <v>2813</v>
      </c>
      <c r="C123" s="111" t="s">
        <v>2812</v>
      </c>
      <c r="D123" s="73" t="s">
        <v>2815</v>
      </c>
      <c r="E123" s="115" t="s">
        <v>1858</v>
      </c>
      <c r="F123" s="115" t="s">
        <v>2390</v>
      </c>
      <c r="G123" s="115" t="s">
        <v>2390</v>
      </c>
      <c r="H123" s="115" t="s">
        <v>24</v>
      </c>
      <c r="I123" s="111" t="s">
        <v>2816</v>
      </c>
      <c r="J123" s="285" t="s">
        <v>2818</v>
      </c>
      <c r="K123" s="469" t="s">
        <v>706</v>
      </c>
      <c r="L123" s="220"/>
    </row>
    <row r="124" spans="1:12" s="3" customFormat="1" ht="13" customHeight="1">
      <c r="A124" s="562" t="s">
        <v>947</v>
      </c>
      <c r="B124" s="155" t="s">
        <v>948</v>
      </c>
      <c r="C124" s="155" t="s">
        <v>949</v>
      </c>
      <c r="D124" s="155" t="s">
        <v>950</v>
      </c>
      <c r="E124" s="115" t="s">
        <v>1858</v>
      </c>
      <c r="F124" s="156" t="s">
        <v>3330</v>
      </c>
      <c r="G124" s="156" t="s">
        <v>949</v>
      </c>
      <c r="H124" s="156" t="s">
        <v>24</v>
      </c>
      <c r="I124" s="73" t="s">
        <v>2923</v>
      </c>
      <c r="J124" s="37" t="s">
        <v>951</v>
      </c>
      <c r="K124" s="205" t="s">
        <v>706</v>
      </c>
      <c r="L124" s="220"/>
    </row>
    <row r="125" spans="1:12" s="3" customFormat="1" ht="13" customHeight="1">
      <c r="A125" s="563"/>
      <c r="B125" s="155" t="s">
        <v>952</v>
      </c>
      <c r="C125" s="155" t="s">
        <v>953</v>
      </c>
      <c r="D125" s="155" t="s">
        <v>954</v>
      </c>
      <c r="E125" s="115" t="s">
        <v>1858</v>
      </c>
      <c r="F125" s="156" t="s">
        <v>3330</v>
      </c>
      <c r="G125" s="156" t="s">
        <v>953</v>
      </c>
      <c r="H125" s="156" t="s">
        <v>24</v>
      </c>
      <c r="I125" s="73" t="s">
        <v>2923</v>
      </c>
      <c r="J125" s="37" t="s">
        <v>955</v>
      </c>
      <c r="K125" s="205" t="s">
        <v>706</v>
      </c>
      <c r="L125" s="220"/>
    </row>
    <row r="126" spans="1:12" s="3" customFormat="1" ht="13" customHeight="1">
      <c r="A126" s="563"/>
      <c r="B126" s="155" t="s">
        <v>956</v>
      </c>
      <c r="C126" s="155" t="s">
        <v>957</v>
      </c>
      <c r="D126" s="155" t="s">
        <v>958</v>
      </c>
      <c r="E126" s="115" t="s">
        <v>1858</v>
      </c>
      <c r="F126" s="156" t="s">
        <v>3331</v>
      </c>
      <c r="G126" s="156" t="s">
        <v>3331</v>
      </c>
      <c r="H126" s="156" t="s">
        <v>24</v>
      </c>
      <c r="I126" s="77" t="s">
        <v>959</v>
      </c>
      <c r="J126" s="37" t="s">
        <v>960</v>
      </c>
      <c r="K126" s="205" t="s">
        <v>706</v>
      </c>
      <c r="L126" s="220"/>
    </row>
    <row r="127" spans="1:12" s="3" customFormat="1" ht="13" customHeight="1">
      <c r="A127" s="563"/>
      <c r="B127" s="155" t="s">
        <v>3701</v>
      </c>
      <c r="C127" s="155" t="s">
        <v>961</v>
      </c>
      <c r="D127" s="155" t="s">
        <v>962</v>
      </c>
      <c r="E127" s="115" t="s">
        <v>1858</v>
      </c>
      <c r="F127" s="156" t="s">
        <v>3330</v>
      </c>
      <c r="G127" s="156" t="s">
        <v>961</v>
      </c>
      <c r="H127" s="156" t="s">
        <v>24</v>
      </c>
      <c r="I127" s="73" t="s">
        <v>2923</v>
      </c>
      <c r="J127" s="37" t="s">
        <v>963</v>
      </c>
      <c r="K127" s="205" t="s">
        <v>706</v>
      </c>
      <c r="L127" s="220"/>
    </row>
    <row r="128" spans="1:12" s="3" customFormat="1" ht="13" customHeight="1">
      <c r="A128" s="563"/>
      <c r="B128" s="155" t="s">
        <v>964</v>
      </c>
      <c r="C128" s="155" t="s">
        <v>965</v>
      </c>
      <c r="D128" s="155" t="s">
        <v>966</v>
      </c>
      <c r="E128" s="115" t="s">
        <v>1858</v>
      </c>
      <c r="F128" s="156" t="s">
        <v>3330</v>
      </c>
      <c r="G128" s="156" t="s">
        <v>965</v>
      </c>
      <c r="H128" s="156" t="s">
        <v>24</v>
      </c>
      <c r="I128" s="77" t="s">
        <v>2924</v>
      </c>
      <c r="J128" s="37" t="s">
        <v>2394</v>
      </c>
      <c r="K128" s="205" t="s">
        <v>706</v>
      </c>
      <c r="L128" s="220"/>
    </row>
    <row r="129" spans="1:12" s="3" customFormat="1" ht="13" customHeight="1">
      <c r="A129" s="563"/>
      <c r="B129" s="155" t="s">
        <v>967</v>
      </c>
      <c r="C129" s="155" t="s">
        <v>968</v>
      </c>
      <c r="D129" s="155" t="s">
        <v>969</v>
      </c>
      <c r="E129" s="115" t="s">
        <v>1858</v>
      </c>
      <c r="F129" s="156" t="s">
        <v>3330</v>
      </c>
      <c r="G129" s="156" t="s">
        <v>968</v>
      </c>
      <c r="H129" s="156" t="s">
        <v>24</v>
      </c>
      <c r="I129" s="73" t="s">
        <v>2925</v>
      </c>
      <c r="J129" s="37" t="s">
        <v>3804</v>
      </c>
      <c r="K129" s="205" t="s">
        <v>706</v>
      </c>
      <c r="L129" s="220"/>
    </row>
    <row r="130" spans="1:12" s="3" customFormat="1" ht="13" customHeight="1">
      <c r="A130" s="563"/>
      <c r="B130" s="155" t="s">
        <v>3914</v>
      </c>
      <c r="C130" s="155" t="s">
        <v>970</v>
      </c>
      <c r="D130" s="155" t="s">
        <v>971</v>
      </c>
      <c r="E130" s="115" t="s">
        <v>1858</v>
      </c>
      <c r="F130" s="156" t="s">
        <v>3331</v>
      </c>
      <c r="G130" s="156" t="s">
        <v>3331</v>
      </c>
      <c r="H130" s="156" t="s">
        <v>24</v>
      </c>
      <c r="I130" s="73" t="s">
        <v>2925</v>
      </c>
      <c r="J130" s="37" t="s">
        <v>2926</v>
      </c>
      <c r="K130" s="205" t="s">
        <v>706</v>
      </c>
      <c r="L130" s="220"/>
    </row>
    <row r="131" spans="1:12" s="3" customFormat="1" ht="13" customHeight="1">
      <c r="A131" s="563"/>
      <c r="B131" s="155" t="s">
        <v>972</v>
      </c>
      <c r="C131" s="155" t="s">
        <v>973</v>
      </c>
      <c r="D131" s="155" t="s">
        <v>974</v>
      </c>
      <c r="E131" s="115" t="s">
        <v>1858</v>
      </c>
      <c r="F131" s="156" t="s">
        <v>3330</v>
      </c>
      <c r="G131" s="156" t="s">
        <v>973</v>
      </c>
      <c r="H131" s="156" t="s">
        <v>24</v>
      </c>
      <c r="I131" s="221" t="s">
        <v>2925</v>
      </c>
      <c r="J131" s="37" t="s">
        <v>975</v>
      </c>
      <c r="K131" s="205" t="s">
        <v>706</v>
      </c>
      <c r="L131" s="220"/>
    </row>
    <row r="132" spans="1:12" s="3" customFormat="1" ht="13" customHeight="1">
      <c r="A132" s="563"/>
      <c r="B132" s="155" t="s">
        <v>976</v>
      </c>
      <c r="C132" s="155" t="s">
        <v>977</v>
      </c>
      <c r="D132" s="155" t="s">
        <v>978</v>
      </c>
      <c r="E132" s="115" t="s">
        <v>1858</v>
      </c>
      <c r="F132" s="156" t="s">
        <v>3330</v>
      </c>
      <c r="G132" s="156" t="s">
        <v>977</v>
      </c>
      <c r="H132" s="156" t="s">
        <v>24</v>
      </c>
      <c r="I132" s="221" t="s">
        <v>2925</v>
      </c>
      <c r="J132" s="37" t="s">
        <v>979</v>
      </c>
      <c r="K132" s="205" t="s">
        <v>706</v>
      </c>
      <c r="L132" s="220"/>
    </row>
    <row r="133" spans="1:12" s="3" customFormat="1" ht="13" customHeight="1">
      <c r="A133" s="564"/>
      <c r="B133" s="155" t="s">
        <v>980</v>
      </c>
      <c r="C133" s="155" t="s">
        <v>981</v>
      </c>
      <c r="D133" s="155" t="s">
        <v>982</v>
      </c>
      <c r="E133" s="115" t="s">
        <v>1858</v>
      </c>
      <c r="F133" s="156" t="s">
        <v>3331</v>
      </c>
      <c r="G133" s="156" t="s">
        <v>3331</v>
      </c>
      <c r="H133" s="156" t="s">
        <v>24</v>
      </c>
      <c r="I133" s="73" t="s">
        <v>612</v>
      </c>
      <c r="J133" s="37" t="s">
        <v>2393</v>
      </c>
      <c r="K133" s="205" t="s">
        <v>706</v>
      </c>
      <c r="L133" s="220"/>
    </row>
    <row r="134" spans="1:12" s="79" customFormat="1" ht="15" customHeight="1">
      <c r="A134" s="202" t="s">
        <v>983</v>
      </c>
      <c r="B134" s="90" t="s">
        <v>984</v>
      </c>
      <c r="C134" s="88" t="s">
        <v>985</v>
      </c>
      <c r="D134" s="88" t="s">
        <v>986</v>
      </c>
      <c r="E134" s="115" t="s">
        <v>1858</v>
      </c>
      <c r="F134" s="439" t="s">
        <v>3331</v>
      </c>
      <c r="G134" s="439" t="s">
        <v>3331</v>
      </c>
      <c r="H134" s="89" t="s">
        <v>24</v>
      </c>
      <c r="I134" s="283" t="s">
        <v>612</v>
      </c>
      <c r="J134" s="88" t="s">
        <v>2395</v>
      </c>
      <c r="K134" s="381" t="s">
        <v>2910</v>
      </c>
      <c r="L134" s="92" t="s">
        <v>987</v>
      </c>
    </row>
    <row r="135" spans="1:12" ht="13" customHeight="1">
      <c r="A135" s="537" t="s">
        <v>3768</v>
      </c>
      <c r="B135" s="90" t="s">
        <v>3787</v>
      </c>
      <c r="C135" s="88" t="s">
        <v>3644</v>
      </c>
      <c r="D135" s="88" t="s">
        <v>3645</v>
      </c>
      <c r="E135" s="115" t="s">
        <v>1858</v>
      </c>
      <c r="F135" s="115" t="s">
        <v>3643</v>
      </c>
      <c r="G135" s="115" t="s">
        <v>3793</v>
      </c>
      <c r="H135" s="115" t="s">
        <v>2405</v>
      </c>
      <c r="I135" s="283" t="s">
        <v>2532</v>
      </c>
      <c r="J135" s="111" t="s">
        <v>3642</v>
      </c>
      <c r="K135" s="111" t="s">
        <v>4185</v>
      </c>
      <c r="L135" s="115"/>
    </row>
    <row r="136" spans="1:12" ht="13" customHeight="1">
      <c r="A136" s="568"/>
      <c r="B136" s="90" t="s">
        <v>3788</v>
      </c>
      <c r="C136" s="88" t="s">
        <v>3790</v>
      </c>
      <c r="D136" s="88" t="s">
        <v>3647</v>
      </c>
      <c r="E136" s="115" t="s">
        <v>1858</v>
      </c>
      <c r="F136" s="115" t="s">
        <v>3643</v>
      </c>
      <c r="G136" s="115" t="s">
        <v>3641</v>
      </c>
      <c r="H136" s="115" t="s">
        <v>2405</v>
      </c>
      <c r="I136" s="283" t="s">
        <v>3649</v>
      </c>
      <c r="J136" s="111" t="s">
        <v>3651</v>
      </c>
      <c r="K136" s="111" t="s">
        <v>4185</v>
      </c>
      <c r="L136" s="115"/>
    </row>
    <row r="137" spans="1:12" ht="13" customHeight="1">
      <c r="A137" s="568"/>
      <c r="B137" s="90" t="s">
        <v>3789</v>
      </c>
      <c r="C137" s="88" t="s">
        <v>3791</v>
      </c>
      <c r="D137" s="88" t="s">
        <v>3646</v>
      </c>
      <c r="E137" s="115" t="s">
        <v>1858</v>
      </c>
      <c r="F137" s="115" t="s">
        <v>3643</v>
      </c>
      <c r="G137" s="115" t="s">
        <v>3792</v>
      </c>
      <c r="H137" s="115" t="s">
        <v>2405</v>
      </c>
      <c r="I137" s="283" t="s">
        <v>3649</v>
      </c>
      <c r="J137" s="111" t="s">
        <v>3648</v>
      </c>
      <c r="K137" s="111" t="s">
        <v>4185</v>
      </c>
      <c r="L137" s="115"/>
    </row>
    <row r="138" spans="1:12" ht="13" customHeight="1">
      <c r="A138" s="568"/>
      <c r="B138" s="90" t="s">
        <v>3816</v>
      </c>
      <c r="C138" s="90" t="s">
        <v>3653</v>
      </c>
      <c r="D138" s="90" t="s">
        <v>3656</v>
      </c>
      <c r="E138" s="89" t="s">
        <v>3631</v>
      </c>
      <c r="F138" s="89" t="s">
        <v>3652</v>
      </c>
      <c r="G138" s="89" t="s">
        <v>3653</v>
      </c>
      <c r="H138" s="89" t="s">
        <v>3654</v>
      </c>
      <c r="I138" s="90" t="s">
        <v>3657</v>
      </c>
      <c r="J138" s="90" t="s">
        <v>3655</v>
      </c>
      <c r="K138" s="90" t="s">
        <v>4185</v>
      </c>
      <c r="L138" s="90"/>
    </row>
    <row r="139" spans="1:12" ht="13" customHeight="1">
      <c r="A139" s="569" t="s">
        <v>3794</v>
      </c>
      <c r="B139" s="90" t="s">
        <v>3774</v>
      </c>
      <c r="C139" s="88" t="s">
        <v>3644</v>
      </c>
      <c r="D139" s="88" t="s">
        <v>3769</v>
      </c>
      <c r="E139" s="115" t="s">
        <v>1858</v>
      </c>
      <c r="F139" s="115" t="s">
        <v>3770</v>
      </c>
      <c r="G139" s="115" t="s">
        <v>3771</v>
      </c>
      <c r="H139" s="115" t="s">
        <v>2405</v>
      </c>
      <c r="I139" s="283" t="s">
        <v>2532</v>
      </c>
      <c r="J139" s="90" t="s">
        <v>3772</v>
      </c>
      <c r="K139" s="111" t="s">
        <v>4185</v>
      </c>
      <c r="L139" s="115"/>
    </row>
    <row r="140" spans="1:12" ht="13" customHeight="1">
      <c r="A140" s="570"/>
      <c r="B140" s="90" t="s">
        <v>3799</v>
      </c>
      <c r="C140" s="88" t="s">
        <v>3800</v>
      </c>
      <c r="D140" s="88" t="s">
        <v>3773</v>
      </c>
      <c r="E140" s="115" t="s">
        <v>1858</v>
      </c>
      <c r="F140" s="115" t="s">
        <v>3770</v>
      </c>
      <c r="G140" s="115" t="s">
        <v>3771</v>
      </c>
      <c r="H140" s="115" t="s">
        <v>2405</v>
      </c>
      <c r="I140" s="283" t="s">
        <v>3709</v>
      </c>
      <c r="J140" s="90" t="s">
        <v>3989</v>
      </c>
      <c r="K140" s="111" t="s">
        <v>4185</v>
      </c>
      <c r="L140" s="115"/>
    </row>
    <row r="141" spans="1:12" ht="13" customHeight="1">
      <c r="A141" s="570"/>
      <c r="B141" s="90" t="s">
        <v>3775</v>
      </c>
      <c r="C141" s="88" t="s">
        <v>3777</v>
      </c>
      <c r="D141" s="88" t="s">
        <v>3779</v>
      </c>
      <c r="E141" s="115" t="s">
        <v>1858</v>
      </c>
      <c r="F141" s="115" t="s">
        <v>3770</v>
      </c>
      <c r="G141" s="115" t="s">
        <v>3781</v>
      </c>
      <c r="H141" s="115" t="s">
        <v>2405</v>
      </c>
      <c r="I141" s="283" t="s">
        <v>3785</v>
      </c>
      <c r="J141" s="90" t="s">
        <v>3783</v>
      </c>
      <c r="K141" s="111" t="s">
        <v>4185</v>
      </c>
      <c r="L141" s="115"/>
    </row>
    <row r="142" spans="1:12" ht="13" customHeight="1">
      <c r="A142" s="570"/>
      <c r="B142" s="90" t="s">
        <v>3776</v>
      </c>
      <c r="C142" s="88" t="s">
        <v>3778</v>
      </c>
      <c r="D142" s="88" t="s">
        <v>3780</v>
      </c>
      <c r="E142" s="115" t="s">
        <v>1858</v>
      </c>
      <c r="F142" s="115" t="s">
        <v>3770</v>
      </c>
      <c r="G142" s="115" t="s">
        <v>3782</v>
      </c>
      <c r="H142" s="115" t="s">
        <v>2405</v>
      </c>
      <c r="I142" s="283" t="s">
        <v>3786</v>
      </c>
      <c r="J142" s="90" t="s">
        <v>3784</v>
      </c>
      <c r="K142" s="111" t="s">
        <v>4185</v>
      </c>
      <c r="L142" s="115"/>
    </row>
    <row r="143" spans="1:12" ht="13" customHeight="1">
      <c r="A143" s="571"/>
      <c r="B143" s="90" t="s">
        <v>3801</v>
      </c>
      <c r="C143" s="88" t="s">
        <v>3802</v>
      </c>
      <c r="D143" s="88" t="s">
        <v>3803</v>
      </c>
      <c r="E143" s="115" t="s">
        <v>2404</v>
      </c>
      <c r="F143" s="115" t="s">
        <v>3770</v>
      </c>
      <c r="G143" s="115" t="s">
        <v>3802</v>
      </c>
      <c r="H143" s="115" t="s">
        <v>2405</v>
      </c>
      <c r="I143" s="283" t="s">
        <v>4011</v>
      </c>
      <c r="J143" s="90" t="s">
        <v>4012</v>
      </c>
      <c r="K143" s="111" t="s">
        <v>4185</v>
      </c>
      <c r="L143" s="115"/>
    </row>
  </sheetData>
  <mergeCells count="4">
    <mergeCell ref="A124:A133"/>
    <mergeCell ref="A2:A123"/>
    <mergeCell ref="A135:A138"/>
    <mergeCell ref="A139:A143"/>
  </mergeCells>
  <phoneticPr fontId="53" type="noConversion"/>
  <pageMargins left="0.69930555555555596" right="0.69930555555555596"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dimension ref="A1:S31"/>
  <sheetViews>
    <sheetView zoomScale="85" zoomScaleNormal="85" workbookViewId="0">
      <pane xSplit="1" ySplit="1" topLeftCell="B23" activePane="bottomRight" state="frozen"/>
      <selection pane="topRight"/>
      <selection pane="bottomLeft"/>
      <selection pane="bottomRight" activeCell="K17" sqref="A1:L30"/>
    </sheetView>
  </sheetViews>
  <sheetFormatPr defaultColWidth="18.453125" defaultRowHeight="13" customHeight="1"/>
  <cols>
    <col min="1" max="1" width="8.36328125" style="226" customWidth="1"/>
    <col min="2" max="2" width="92.453125" style="225" customWidth="1"/>
    <col min="3" max="3" width="11.26953125" style="225" customWidth="1"/>
    <col min="4" max="4" width="14.453125" style="225" bestFit="1" customWidth="1"/>
    <col min="5" max="5" width="6.36328125" style="262" customWidth="1"/>
    <col min="6" max="6" width="9.08984375" style="225" customWidth="1"/>
    <col min="7" max="7" width="7.453125" style="225" customWidth="1"/>
    <col min="8" max="8" width="4.36328125" style="262" customWidth="1"/>
    <col min="9" max="9" width="22" style="262" customWidth="1"/>
    <col min="10" max="10" width="33.90625" style="225" customWidth="1"/>
    <col min="11" max="11" width="14.7265625" style="225" customWidth="1"/>
    <col min="12" max="12" width="15.08984375" style="225" customWidth="1"/>
    <col min="13" max="16384" width="18.453125" style="225"/>
  </cols>
  <sheetData>
    <row r="1" spans="1:19" s="223" customFormat="1" ht="15.65" customHeight="1">
      <c r="A1" s="68" t="s">
        <v>287</v>
      </c>
      <c r="B1" s="68" t="s">
        <v>288</v>
      </c>
      <c r="C1" s="68" t="s">
        <v>289</v>
      </c>
      <c r="D1" s="68" t="s">
        <v>290</v>
      </c>
      <c r="E1" s="68" t="s">
        <v>291</v>
      </c>
      <c r="F1" s="68" t="s">
        <v>292</v>
      </c>
      <c r="G1" s="68" t="s">
        <v>293</v>
      </c>
      <c r="H1" s="68" t="s">
        <v>1861</v>
      </c>
      <c r="I1" s="68" t="s">
        <v>6</v>
      </c>
      <c r="J1" s="68" t="s">
        <v>294</v>
      </c>
      <c r="K1" s="68" t="s">
        <v>241</v>
      </c>
      <c r="L1" s="68" t="s">
        <v>295</v>
      </c>
      <c r="M1" s="222"/>
      <c r="N1" s="222"/>
      <c r="O1" s="222"/>
      <c r="P1" s="222"/>
      <c r="Q1" s="222"/>
      <c r="R1" s="222"/>
      <c r="S1" s="222"/>
    </row>
    <row r="2" spans="1:19" s="224" customFormat="1" ht="24">
      <c r="A2" s="572" t="s">
        <v>988</v>
      </c>
      <c r="B2" s="392" t="s">
        <v>2559</v>
      </c>
      <c r="C2" s="207" t="s">
        <v>579</v>
      </c>
      <c r="D2" s="207" t="s">
        <v>989</v>
      </c>
      <c r="E2" s="455" t="s">
        <v>1858</v>
      </c>
      <c r="F2" s="442" t="s">
        <v>3346</v>
      </c>
      <c r="G2" s="442" t="s">
        <v>619</v>
      </c>
      <c r="H2" s="212" t="s">
        <v>24</v>
      </c>
      <c r="I2" s="455" t="s">
        <v>301</v>
      </c>
      <c r="J2" s="70" t="s">
        <v>3453</v>
      </c>
      <c r="K2" s="205" t="s">
        <v>706</v>
      </c>
      <c r="L2" s="76"/>
      <c r="M2" s="2"/>
      <c r="N2" s="2"/>
      <c r="O2" s="2"/>
      <c r="P2" s="2"/>
      <c r="Q2" s="2"/>
      <c r="R2" s="2"/>
      <c r="S2" s="2"/>
    </row>
    <row r="3" spans="1:19" s="224" customFormat="1" ht="13" customHeight="1">
      <c r="A3" s="573"/>
      <c r="B3" s="392" t="s">
        <v>4112</v>
      </c>
      <c r="C3" s="207" t="s">
        <v>991</v>
      </c>
      <c r="D3" s="207" t="s">
        <v>992</v>
      </c>
      <c r="E3" s="455" t="s">
        <v>1858</v>
      </c>
      <c r="F3" s="442" t="s">
        <v>3346</v>
      </c>
      <c r="G3" s="442" t="s">
        <v>1027</v>
      </c>
      <c r="H3" s="212" t="s">
        <v>24</v>
      </c>
      <c r="I3" s="455" t="s">
        <v>993</v>
      </c>
      <c r="J3" s="70" t="s">
        <v>994</v>
      </c>
      <c r="K3" s="205" t="s">
        <v>706</v>
      </c>
      <c r="L3" s="76"/>
      <c r="M3" s="2"/>
      <c r="N3" s="2"/>
      <c r="O3" s="2"/>
      <c r="P3" s="2"/>
      <c r="Q3" s="2"/>
      <c r="R3" s="2"/>
      <c r="S3" s="2"/>
    </row>
    <row r="4" spans="1:19" s="224" customFormat="1" ht="24">
      <c r="A4" s="573"/>
      <c r="B4" s="207" t="s">
        <v>995</v>
      </c>
      <c r="C4" s="207" t="s">
        <v>996</v>
      </c>
      <c r="D4" s="207" t="s">
        <v>997</v>
      </c>
      <c r="E4" s="455" t="s">
        <v>1858</v>
      </c>
      <c r="F4" s="442" t="s">
        <v>302</v>
      </c>
      <c r="G4" s="442" t="s">
        <v>302</v>
      </c>
      <c r="H4" s="212" t="s">
        <v>24</v>
      </c>
      <c r="I4" s="455" t="s">
        <v>721</v>
      </c>
      <c r="J4" s="70" t="s">
        <v>997</v>
      </c>
      <c r="K4" s="205" t="s">
        <v>706</v>
      </c>
      <c r="L4" s="76"/>
      <c r="M4" s="2"/>
      <c r="N4" s="2"/>
      <c r="O4" s="2"/>
      <c r="P4" s="2"/>
      <c r="Q4" s="2"/>
      <c r="R4" s="2"/>
      <c r="S4" s="2"/>
    </row>
    <row r="5" spans="1:19" s="224" customFormat="1" ht="13" customHeight="1">
      <c r="A5" s="573"/>
      <c r="B5" s="392" t="s">
        <v>2888</v>
      </c>
      <c r="C5" s="207" t="s">
        <v>998</v>
      </c>
      <c r="D5" s="207" t="s">
        <v>999</v>
      </c>
      <c r="E5" s="455" t="s">
        <v>1858</v>
      </c>
      <c r="F5" s="442" t="s">
        <v>3346</v>
      </c>
      <c r="G5" s="442" t="s">
        <v>998</v>
      </c>
      <c r="H5" s="212" t="s">
        <v>24</v>
      </c>
      <c r="I5" s="455" t="s">
        <v>721</v>
      </c>
      <c r="J5" s="70" t="s">
        <v>1000</v>
      </c>
      <c r="K5" s="205" t="s">
        <v>706</v>
      </c>
      <c r="L5" s="76"/>
      <c r="M5" s="2"/>
      <c r="N5" s="2"/>
      <c r="O5" s="2"/>
      <c r="P5" s="2"/>
      <c r="Q5" s="2"/>
      <c r="R5" s="2"/>
      <c r="S5" s="2"/>
    </row>
    <row r="6" spans="1:19" s="224" customFormat="1" ht="48">
      <c r="A6" s="573"/>
      <c r="B6" s="207" t="s">
        <v>1001</v>
      </c>
      <c r="C6" s="207" t="s">
        <v>1002</v>
      </c>
      <c r="D6" s="207" t="s">
        <v>1003</v>
      </c>
      <c r="E6" s="455" t="s">
        <v>1858</v>
      </c>
      <c r="F6" s="442" t="s">
        <v>302</v>
      </c>
      <c r="G6" s="442" t="s">
        <v>302</v>
      </c>
      <c r="H6" s="212" t="s">
        <v>24</v>
      </c>
      <c r="I6" s="459" t="s">
        <v>714</v>
      </c>
      <c r="J6" s="73" t="s">
        <v>1004</v>
      </c>
      <c r="K6" s="205" t="s">
        <v>706</v>
      </c>
      <c r="L6" s="76"/>
      <c r="M6" s="2"/>
      <c r="N6" s="2"/>
      <c r="O6" s="2"/>
      <c r="P6" s="2"/>
      <c r="Q6" s="2"/>
      <c r="R6" s="2"/>
      <c r="S6" s="2"/>
    </row>
    <row r="7" spans="1:19" s="224" customFormat="1">
      <c r="A7" s="573"/>
      <c r="B7" s="392" t="s">
        <v>3702</v>
      </c>
      <c r="C7" s="207" t="s">
        <v>632</v>
      </c>
      <c r="D7" s="207" t="s">
        <v>1005</v>
      </c>
      <c r="E7" s="455" t="s">
        <v>1858</v>
      </c>
      <c r="F7" s="442" t="s">
        <v>3346</v>
      </c>
      <c r="G7" s="442" t="s">
        <v>3306</v>
      </c>
      <c r="H7" s="212" t="s">
        <v>24</v>
      </c>
      <c r="I7" s="455" t="s">
        <v>2533</v>
      </c>
      <c r="J7" s="70" t="s">
        <v>1007</v>
      </c>
      <c r="K7" s="205" t="s">
        <v>706</v>
      </c>
      <c r="L7" s="76"/>
      <c r="M7" s="2"/>
      <c r="N7" s="2"/>
      <c r="O7" s="2"/>
      <c r="P7" s="2"/>
      <c r="Q7" s="2"/>
      <c r="R7" s="2"/>
      <c r="S7" s="2"/>
    </row>
    <row r="8" spans="1:19" s="224" customFormat="1">
      <c r="A8" s="573"/>
      <c r="B8" s="392" t="s">
        <v>2560</v>
      </c>
      <c r="C8" s="207" t="s">
        <v>591</v>
      </c>
      <c r="D8" s="207" t="s">
        <v>1008</v>
      </c>
      <c r="E8" s="455" t="s">
        <v>1858</v>
      </c>
      <c r="F8" s="442" t="s">
        <v>3346</v>
      </c>
      <c r="G8" s="442" t="s">
        <v>3347</v>
      </c>
      <c r="H8" s="212" t="s">
        <v>24</v>
      </c>
      <c r="I8" s="455" t="s">
        <v>614</v>
      </c>
      <c r="J8" s="70" t="s">
        <v>1009</v>
      </c>
      <c r="K8" s="205" t="s">
        <v>706</v>
      </c>
      <c r="L8" s="76"/>
      <c r="M8" s="2"/>
      <c r="N8" s="2"/>
      <c r="O8" s="2"/>
      <c r="P8" s="2"/>
      <c r="Q8" s="2"/>
      <c r="R8" s="2"/>
      <c r="S8" s="2"/>
    </row>
    <row r="9" spans="1:19" s="224" customFormat="1" ht="24">
      <c r="A9" s="573"/>
      <c r="B9" s="392" t="s">
        <v>3703</v>
      </c>
      <c r="C9" s="207" t="s">
        <v>1010</v>
      </c>
      <c r="D9" s="207" t="s">
        <v>1011</v>
      </c>
      <c r="E9" s="455" t="s">
        <v>1858</v>
      </c>
      <c r="F9" s="442" t="s">
        <v>3346</v>
      </c>
      <c r="G9" s="442" t="s">
        <v>1037</v>
      </c>
      <c r="H9" s="212" t="s">
        <v>24</v>
      </c>
      <c r="I9" s="455" t="s">
        <v>1012</v>
      </c>
      <c r="J9" s="70" t="s">
        <v>1013</v>
      </c>
      <c r="K9" s="205" t="s">
        <v>706</v>
      </c>
      <c r="L9" s="76"/>
      <c r="M9" s="2"/>
      <c r="N9" s="2"/>
      <c r="O9" s="2"/>
      <c r="P9" s="2"/>
      <c r="Q9" s="2"/>
      <c r="R9" s="2"/>
      <c r="S9" s="2"/>
    </row>
    <row r="10" spans="1:19" s="224" customFormat="1" ht="36">
      <c r="A10" s="573"/>
      <c r="B10" s="392" t="s">
        <v>3475</v>
      </c>
      <c r="C10" s="207" t="s">
        <v>1014</v>
      </c>
      <c r="D10" s="207" t="s">
        <v>1015</v>
      </c>
      <c r="E10" s="455" t="s">
        <v>299</v>
      </c>
      <c r="F10" s="442" t="s">
        <v>302</v>
      </c>
      <c r="G10" s="442" t="s">
        <v>302</v>
      </c>
      <c r="H10" s="212" t="s">
        <v>24</v>
      </c>
      <c r="I10" s="455" t="s">
        <v>2595</v>
      </c>
      <c r="J10" s="338" t="s">
        <v>2594</v>
      </c>
      <c r="K10" s="205" t="s">
        <v>706</v>
      </c>
      <c r="L10" s="76"/>
      <c r="M10" s="2"/>
      <c r="N10" s="2"/>
      <c r="O10" s="2"/>
      <c r="P10" s="2"/>
      <c r="Q10" s="2"/>
      <c r="R10" s="2"/>
      <c r="S10" s="2"/>
    </row>
    <row r="11" spans="1:19" s="224" customFormat="1" ht="36">
      <c r="A11" s="573"/>
      <c r="B11" s="392" t="s">
        <v>3476</v>
      </c>
      <c r="C11" s="207" t="s">
        <v>1017</v>
      </c>
      <c r="D11" s="392" t="s">
        <v>3477</v>
      </c>
      <c r="E11" s="455" t="s">
        <v>299</v>
      </c>
      <c r="F11" s="442" t="s">
        <v>302</v>
      </c>
      <c r="G11" s="442" t="s">
        <v>302</v>
      </c>
      <c r="H11" s="212" t="s">
        <v>24</v>
      </c>
      <c r="I11" s="455" t="s">
        <v>2597</v>
      </c>
      <c r="J11" s="347" t="s">
        <v>2596</v>
      </c>
      <c r="K11" s="205" t="s">
        <v>706</v>
      </c>
      <c r="L11" s="76"/>
      <c r="M11" s="2"/>
      <c r="N11" s="2"/>
      <c r="O11" s="2"/>
      <c r="P11" s="2"/>
      <c r="Q11" s="2"/>
      <c r="R11" s="2"/>
      <c r="S11" s="2"/>
    </row>
    <row r="12" spans="1:19" s="224" customFormat="1" ht="24">
      <c r="A12" s="573"/>
      <c r="B12" s="392" t="s">
        <v>2442</v>
      </c>
      <c r="C12" s="207" t="s">
        <v>1020</v>
      </c>
      <c r="D12" s="207" t="s">
        <v>1021</v>
      </c>
      <c r="E12" s="455" t="s">
        <v>299</v>
      </c>
      <c r="F12" s="442" t="s">
        <v>302</v>
      </c>
      <c r="G12" s="442" t="s">
        <v>302</v>
      </c>
      <c r="H12" s="212" t="s">
        <v>24</v>
      </c>
      <c r="I12" s="455" t="s">
        <v>1012</v>
      </c>
      <c r="J12" s="70" t="s">
        <v>1022</v>
      </c>
      <c r="K12" s="205" t="s">
        <v>706</v>
      </c>
      <c r="L12" s="76"/>
      <c r="M12" s="2"/>
      <c r="N12" s="2"/>
      <c r="O12" s="2"/>
      <c r="P12" s="2"/>
      <c r="Q12" s="2"/>
      <c r="R12" s="2"/>
      <c r="S12" s="2"/>
    </row>
    <row r="13" spans="1:19" s="224" customFormat="1" ht="36">
      <c r="A13" s="573"/>
      <c r="B13" s="392" t="s">
        <v>3519</v>
      </c>
      <c r="C13" s="392" t="s">
        <v>1023</v>
      </c>
      <c r="D13" s="392" t="s">
        <v>1024</v>
      </c>
      <c r="E13" s="455" t="s">
        <v>299</v>
      </c>
      <c r="F13" s="392"/>
      <c r="G13" s="392" t="s">
        <v>302</v>
      </c>
      <c r="H13" s="455" t="s">
        <v>24</v>
      </c>
      <c r="I13" s="455" t="s">
        <v>71</v>
      </c>
      <c r="J13" s="70" t="s">
        <v>1025</v>
      </c>
      <c r="K13" s="453" t="s">
        <v>706</v>
      </c>
      <c r="L13" s="76"/>
      <c r="M13" s="2"/>
      <c r="N13" s="2"/>
      <c r="O13" s="2"/>
      <c r="P13" s="2"/>
      <c r="Q13" s="2"/>
      <c r="R13" s="2"/>
      <c r="S13" s="2"/>
    </row>
    <row r="14" spans="1:19" s="224" customFormat="1" ht="36">
      <c r="A14" s="573"/>
      <c r="B14" s="392" t="s">
        <v>3516</v>
      </c>
      <c r="C14" s="392" t="s">
        <v>3517</v>
      </c>
      <c r="D14" s="392" t="s">
        <v>1024</v>
      </c>
      <c r="E14" s="455" t="s">
        <v>299</v>
      </c>
      <c r="F14" s="455" t="s">
        <v>302</v>
      </c>
      <c r="G14" s="455" t="s">
        <v>302</v>
      </c>
      <c r="H14" s="455" t="s">
        <v>3469</v>
      </c>
      <c r="I14" s="455" t="s">
        <v>71</v>
      </c>
      <c r="J14" s="70" t="s">
        <v>1025</v>
      </c>
      <c r="K14" s="453" t="s">
        <v>3427</v>
      </c>
      <c r="L14" s="76"/>
      <c r="M14" s="2"/>
      <c r="N14" s="2"/>
      <c r="O14" s="2"/>
      <c r="P14" s="2"/>
      <c r="Q14" s="2"/>
      <c r="R14" s="2"/>
      <c r="S14" s="2"/>
    </row>
    <row r="15" spans="1:19" s="224" customFormat="1" ht="36">
      <c r="A15" s="573"/>
      <c r="B15" s="392" t="s">
        <v>3518</v>
      </c>
      <c r="C15" s="392" t="s">
        <v>3994</v>
      </c>
      <c r="D15" s="392" t="s">
        <v>3450</v>
      </c>
      <c r="E15" s="455" t="s">
        <v>299</v>
      </c>
      <c r="F15" s="455" t="s">
        <v>302</v>
      </c>
      <c r="G15" s="455" t="s">
        <v>302</v>
      </c>
      <c r="H15" s="455" t="s">
        <v>3468</v>
      </c>
      <c r="I15" s="455" t="s">
        <v>71</v>
      </c>
      <c r="J15" s="70" t="s">
        <v>3451</v>
      </c>
      <c r="K15" s="453" t="s">
        <v>3427</v>
      </c>
      <c r="L15" s="76"/>
      <c r="M15" s="2"/>
      <c r="N15" s="2"/>
      <c r="O15" s="2"/>
      <c r="P15" s="2"/>
      <c r="Q15" s="2"/>
      <c r="R15" s="2"/>
      <c r="S15" s="2"/>
    </row>
    <row r="16" spans="1:19" s="224" customFormat="1" ht="36">
      <c r="A16" s="574"/>
      <c r="B16" s="428" t="s">
        <v>3524</v>
      </c>
      <c r="C16" s="428" t="s">
        <v>3525</v>
      </c>
      <c r="D16" s="428" t="s">
        <v>3526</v>
      </c>
      <c r="E16" s="456" t="s">
        <v>1864</v>
      </c>
      <c r="F16" s="456" t="s">
        <v>2793</v>
      </c>
      <c r="G16" s="456" t="s">
        <v>2793</v>
      </c>
      <c r="H16" s="456" t="s">
        <v>1869</v>
      </c>
      <c r="I16" s="456" t="s">
        <v>1904</v>
      </c>
      <c r="J16" s="428" t="s">
        <v>3527</v>
      </c>
      <c r="K16" s="453" t="s">
        <v>3427</v>
      </c>
      <c r="L16" s="76"/>
      <c r="M16" s="2"/>
      <c r="N16" s="2"/>
      <c r="O16" s="2"/>
      <c r="P16" s="2"/>
      <c r="Q16" s="2"/>
      <c r="R16" s="2"/>
      <c r="S16" s="2"/>
    </row>
    <row r="17" spans="1:19" s="224" customFormat="1" ht="36">
      <c r="A17" s="572" t="s">
        <v>1026</v>
      </c>
      <c r="B17" s="428" t="s">
        <v>3971</v>
      </c>
      <c r="C17" s="428" t="s">
        <v>3706</v>
      </c>
      <c r="D17" s="428" t="s">
        <v>3707</v>
      </c>
      <c r="E17" s="465" t="s">
        <v>3661</v>
      </c>
      <c r="F17" s="465" t="s">
        <v>3708</v>
      </c>
      <c r="G17" s="465" t="s">
        <v>3706</v>
      </c>
      <c r="H17" s="465" t="s">
        <v>3654</v>
      </c>
      <c r="I17" s="465" t="s">
        <v>3709</v>
      </c>
      <c r="J17" s="428" t="s">
        <v>3710</v>
      </c>
      <c r="K17" s="486" t="s">
        <v>4169</v>
      </c>
      <c r="L17" s="76"/>
      <c r="M17" s="2"/>
      <c r="N17" s="2"/>
      <c r="O17" s="2"/>
      <c r="P17" s="2"/>
      <c r="Q17" s="2"/>
      <c r="R17" s="2"/>
      <c r="S17" s="2"/>
    </row>
    <row r="18" spans="1:19" ht="13" customHeight="1">
      <c r="A18" s="550"/>
      <c r="B18" s="392" t="s">
        <v>3705</v>
      </c>
      <c r="C18" s="207" t="s">
        <v>579</v>
      </c>
      <c r="D18" s="207" t="s">
        <v>989</v>
      </c>
      <c r="E18" s="455" t="s">
        <v>299</v>
      </c>
      <c r="F18" s="442" t="s">
        <v>3348</v>
      </c>
      <c r="G18" s="442" t="s">
        <v>1027</v>
      </c>
      <c r="H18" s="212" t="s">
        <v>24</v>
      </c>
      <c r="I18" s="455" t="s">
        <v>301</v>
      </c>
      <c r="J18" s="70" t="s">
        <v>990</v>
      </c>
      <c r="K18" s="205" t="s">
        <v>706</v>
      </c>
      <c r="L18" s="69"/>
    </row>
    <row r="19" spans="1:19" ht="13" customHeight="1">
      <c r="A19" s="550"/>
      <c r="B19" s="392" t="s">
        <v>4113</v>
      </c>
      <c r="C19" s="207" t="s">
        <v>991</v>
      </c>
      <c r="D19" s="207" t="s">
        <v>992</v>
      </c>
      <c r="E19" s="455" t="s">
        <v>299</v>
      </c>
      <c r="F19" s="442" t="s">
        <v>3348</v>
      </c>
      <c r="G19" s="442" t="s">
        <v>1027</v>
      </c>
      <c r="H19" s="212" t="s">
        <v>24</v>
      </c>
      <c r="I19" s="455" t="s">
        <v>1028</v>
      </c>
      <c r="J19" s="70" t="s">
        <v>1029</v>
      </c>
      <c r="K19" s="205" t="s">
        <v>706</v>
      </c>
      <c r="L19" s="69"/>
    </row>
    <row r="20" spans="1:19" ht="13" customHeight="1">
      <c r="A20" s="550"/>
      <c r="B20" s="392" t="s">
        <v>2629</v>
      </c>
      <c r="C20" s="207" t="s">
        <v>1030</v>
      </c>
      <c r="D20" s="207" t="s">
        <v>1031</v>
      </c>
      <c r="E20" s="455" t="s">
        <v>299</v>
      </c>
      <c r="F20" s="442" t="s">
        <v>3348</v>
      </c>
      <c r="G20" s="442" t="s">
        <v>3349</v>
      </c>
      <c r="H20" s="212" t="s">
        <v>24</v>
      </c>
      <c r="I20" s="455" t="s">
        <v>469</v>
      </c>
      <c r="J20" s="70" t="s">
        <v>1032</v>
      </c>
      <c r="K20" s="205" t="s">
        <v>706</v>
      </c>
      <c r="L20" s="69"/>
    </row>
    <row r="21" spans="1:19">
      <c r="A21" s="550"/>
      <c r="B21" s="392" t="s">
        <v>2628</v>
      </c>
      <c r="C21" s="207" t="s">
        <v>632</v>
      </c>
      <c r="D21" s="206" t="s">
        <v>1033</v>
      </c>
      <c r="E21" s="455" t="s">
        <v>299</v>
      </c>
      <c r="F21" s="442" t="s">
        <v>3348</v>
      </c>
      <c r="G21" s="444" t="s">
        <v>634</v>
      </c>
      <c r="H21" s="212" t="s">
        <v>24</v>
      </c>
      <c r="I21" s="455" t="s">
        <v>1034</v>
      </c>
      <c r="J21" s="70" t="s">
        <v>1035</v>
      </c>
      <c r="K21" s="205" t="s">
        <v>706</v>
      </c>
      <c r="L21" s="69"/>
    </row>
    <row r="22" spans="1:19" ht="24">
      <c r="A22" s="550"/>
      <c r="B22" s="392" t="s">
        <v>2971</v>
      </c>
      <c r="C22" s="207" t="s">
        <v>1036</v>
      </c>
      <c r="D22" s="207" t="s">
        <v>1011</v>
      </c>
      <c r="E22" s="455" t="s">
        <v>299</v>
      </c>
      <c r="F22" s="442" t="s">
        <v>302</v>
      </c>
      <c r="G22" s="442" t="s">
        <v>302</v>
      </c>
      <c r="H22" s="212" t="s">
        <v>24</v>
      </c>
      <c r="I22" s="455" t="s">
        <v>1012</v>
      </c>
      <c r="J22" s="70" t="s">
        <v>1013</v>
      </c>
      <c r="K22" s="205" t="s">
        <v>706</v>
      </c>
      <c r="L22" s="69"/>
    </row>
    <row r="23" spans="1:19" ht="24">
      <c r="A23" s="550"/>
      <c r="B23" s="392" t="s">
        <v>3473</v>
      </c>
      <c r="C23" s="207" t="s">
        <v>1014</v>
      </c>
      <c r="D23" s="207" t="s">
        <v>1015</v>
      </c>
      <c r="E23" s="455" t="s">
        <v>299</v>
      </c>
      <c r="F23" s="442" t="s">
        <v>302</v>
      </c>
      <c r="G23" s="442" t="s">
        <v>302</v>
      </c>
      <c r="H23" s="212" t="s">
        <v>24</v>
      </c>
      <c r="I23" s="455" t="s">
        <v>2599</v>
      </c>
      <c r="J23" s="331" t="s">
        <v>2535</v>
      </c>
      <c r="K23" s="205" t="s">
        <v>706</v>
      </c>
      <c r="L23" s="69"/>
    </row>
    <row r="24" spans="1:19" ht="24">
      <c r="A24" s="550"/>
      <c r="B24" s="392" t="s">
        <v>3474</v>
      </c>
      <c r="C24" s="207" t="s">
        <v>1019</v>
      </c>
      <c r="D24" s="207" t="s">
        <v>1018</v>
      </c>
      <c r="E24" s="455" t="s">
        <v>299</v>
      </c>
      <c r="F24" s="442" t="s">
        <v>302</v>
      </c>
      <c r="G24" s="442" t="s">
        <v>302</v>
      </c>
      <c r="H24" s="212" t="s">
        <v>24</v>
      </c>
      <c r="I24" s="455" t="s">
        <v>2597</v>
      </c>
      <c r="J24" s="338" t="s">
        <v>2534</v>
      </c>
      <c r="K24" s="205" t="s">
        <v>706</v>
      </c>
      <c r="L24" s="69"/>
    </row>
    <row r="25" spans="1:19" ht="24">
      <c r="A25" s="550"/>
      <c r="B25" s="207" t="s">
        <v>1038</v>
      </c>
      <c r="C25" s="207" t="s">
        <v>1020</v>
      </c>
      <c r="D25" s="207" t="s">
        <v>1021</v>
      </c>
      <c r="E25" s="455" t="s">
        <v>299</v>
      </c>
      <c r="F25" s="442" t="s">
        <v>302</v>
      </c>
      <c r="G25" s="442" t="s">
        <v>302</v>
      </c>
      <c r="H25" s="212" t="s">
        <v>24</v>
      </c>
      <c r="I25" s="455" t="s">
        <v>1012</v>
      </c>
      <c r="J25" s="70" t="s">
        <v>2598</v>
      </c>
      <c r="K25" s="205" t="s">
        <v>706</v>
      </c>
      <c r="L25" s="69"/>
    </row>
    <row r="26" spans="1:19" ht="36">
      <c r="A26" s="550"/>
      <c r="B26" s="207" t="s">
        <v>1039</v>
      </c>
      <c r="C26" s="207" t="s">
        <v>1023</v>
      </c>
      <c r="D26" s="207" t="s">
        <v>1024</v>
      </c>
      <c r="E26" s="455" t="s">
        <v>299</v>
      </c>
      <c r="F26" s="442" t="s">
        <v>302</v>
      </c>
      <c r="G26" s="442" t="s">
        <v>302</v>
      </c>
      <c r="H26" s="212" t="s">
        <v>24</v>
      </c>
      <c r="I26" s="455" t="s">
        <v>71</v>
      </c>
      <c r="J26" s="70" t="s">
        <v>1025</v>
      </c>
      <c r="K26" s="205" t="s">
        <v>706</v>
      </c>
      <c r="L26" s="69"/>
    </row>
    <row r="27" spans="1:19">
      <c r="A27" s="550"/>
      <c r="B27" s="392" t="s">
        <v>3704</v>
      </c>
      <c r="C27" s="207" t="s">
        <v>591</v>
      </c>
      <c r="D27" s="207" t="s">
        <v>1008</v>
      </c>
      <c r="E27" s="455" t="s">
        <v>299</v>
      </c>
      <c r="F27" s="442" t="s">
        <v>3348</v>
      </c>
      <c r="G27" s="442" t="s">
        <v>3350</v>
      </c>
      <c r="H27" s="212" t="s">
        <v>24</v>
      </c>
      <c r="I27" s="455" t="s">
        <v>469</v>
      </c>
      <c r="J27" s="70" t="s">
        <v>1040</v>
      </c>
      <c r="K27" s="205" t="s">
        <v>706</v>
      </c>
      <c r="L27" s="69"/>
    </row>
    <row r="28" spans="1:19" ht="13" customHeight="1">
      <c r="A28" s="550"/>
      <c r="B28" s="207" t="s">
        <v>1041</v>
      </c>
      <c r="C28" s="207" t="s">
        <v>1042</v>
      </c>
      <c r="D28" s="207" t="s">
        <v>1043</v>
      </c>
      <c r="E28" s="455" t="s">
        <v>299</v>
      </c>
      <c r="F28" s="442" t="s">
        <v>302</v>
      </c>
      <c r="G28" s="442" t="s">
        <v>302</v>
      </c>
      <c r="H28" s="265" t="s">
        <v>24</v>
      </c>
      <c r="I28" s="455" t="s">
        <v>2532</v>
      </c>
      <c r="J28" s="70" t="s">
        <v>1044</v>
      </c>
      <c r="K28" s="205" t="s">
        <v>706</v>
      </c>
      <c r="L28" s="453"/>
    </row>
    <row r="29" spans="1:19" ht="13" customHeight="1">
      <c r="A29" s="550"/>
      <c r="B29" s="428" t="s">
        <v>3528</v>
      </c>
      <c r="C29" s="428" t="s">
        <v>3529</v>
      </c>
      <c r="D29" s="428" t="s">
        <v>3530</v>
      </c>
      <c r="E29" s="456" t="s">
        <v>1864</v>
      </c>
      <c r="F29" s="456" t="s">
        <v>2793</v>
      </c>
      <c r="G29" s="456" t="s">
        <v>2793</v>
      </c>
      <c r="H29" s="456" t="s">
        <v>1869</v>
      </c>
      <c r="I29" s="428" t="s">
        <v>1904</v>
      </c>
      <c r="J29" s="428" t="s">
        <v>3531</v>
      </c>
      <c r="K29" s="453" t="s">
        <v>3427</v>
      </c>
      <c r="L29" s="453"/>
    </row>
    <row r="30" spans="1:19" ht="13" customHeight="1">
      <c r="A30" s="551"/>
      <c r="B30" s="428" t="s">
        <v>3532</v>
      </c>
      <c r="C30" s="428" t="s">
        <v>3533</v>
      </c>
      <c r="D30" s="428" t="s">
        <v>3534</v>
      </c>
      <c r="E30" s="456" t="s">
        <v>1864</v>
      </c>
      <c r="F30" s="456" t="s">
        <v>2793</v>
      </c>
      <c r="G30" s="456" t="s">
        <v>2793</v>
      </c>
      <c r="H30" s="456" t="s">
        <v>1869</v>
      </c>
      <c r="I30" s="428" t="s">
        <v>1904</v>
      </c>
      <c r="J30" s="428" t="s">
        <v>3535</v>
      </c>
      <c r="K30" s="453" t="s">
        <v>3427</v>
      </c>
      <c r="L30" s="453"/>
    </row>
    <row r="31" spans="1:19" ht="13" customHeight="1">
      <c r="B31" s="227"/>
    </row>
  </sheetData>
  <mergeCells count="2">
    <mergeCell ref="A2:A16"/>
    <mergeCell ref="A17:A30"/>
  </mergeCells>
  <phoneticPr fontId="53" type="noConversion"/>
  <pageMargins left="0.69930555555555596" right="0.69930555555555596" top="0.75" bottom="0.75" header="0.3" footer="0.3"/>
  <pageSetup paperSize="9" orientation="portrait"/>
  <legacyDrawing r:id="rId1"/>
</worksheet>
</file>

<file path=xl/worksheets/sheet17.xml><?xml version="1.0" encoding="utf-8"?>
<worksheet xmlns="http://schemas.openxmlformats.org/spreadsheetml/2006/main" xmlns:r="http://schemas.openxmlformats.org/officeDocument/2006/relationships">
  <dimension ref="A1:M350"/>
  <sheetViews>
    <sheetView zoomScale="70" zoomScaleNormal="70" workbookViewId="0">
      <pane xSplit="1" ySplit="1" topLeftCell="B314" activePane="bottomRight" state="frozen"/>
      <selection pane="topRight"/>
      <selection pane="bottomLeft"/>
      <selection pane="bottomRight" sqref="A1:XFD1048576"/>
    </sheetView>
  </sheetViews>
  <sheetFormatPr defaultColWidth="9" defaultRowHeight="13" customHeight="1"/>
  <cols>
    <col min="1" max="1" width="8.36328125" style="231" customWidth="1"/>
    <col min="2" max="2" width="107.7265625" style="74" customWidth="1"/>
    <col min="3" max="3" width="17.26953125" style="74" customWidth="1"/>
    <col min="4" max="4" width="16.08984375" style="74" customWidth="1"/>
    <col min="5" max="5" width="11.453125" style="74" customWidth="1"/>
    <col min="6" max="6" width="9.36328125" style="53" customWidth="1"/>
    <col min="7" max="7" width="13.6328125" style="53" customWidth="1"/>
    <col min="8" max="8" width="7" style="53" customWidth="1"/>
    <col min="9" max="9" width="20" style="74" customWidth="1"/>
    <col min="10" max="10" width="32.453125" style="74" customWidth="1"/>
    <col min="11" max="11" width="15.26953125" style="74" customWidth="1"/>
    <col min="12" max="12" width="9.36328125" style="74" customWidth="1"/>
    <col min="13" max="13" width="12.6328125" style="55" customWidth="1"/>
    <col min="14" max="16384" width="9" style="74"/>
  </cols>
  <sheetData>
    <row r="1" spans="1:13" s="229" customFormat="1" ht="13" customHeight="1">
      <c r="A1" s="68" t="s">
        <v>6</v>
      </c>
      <c r="B1" s="68" t="s">
        <v>288</v>
      </c>
      <c r="C1" s="68" t="s">
        <v>289</v>
      </c>
      <c r="D1" s="68" t="s">
        <v>290</v>
      </c>
      <c r="E1" s="68" t="s">
        <v>291</v>
      </c>
      <c r="F1" s="68" t="s">
        <v>292</v>
      </c>
      <c r="G1" s="68" t="s">
        <v>293</v>
      </c>
      <c r="H1" s="68" t="s">
        <v>8</v>
      </c>
      <c r="I1" s="68" t="s">
        <v>6</v>
      </c>
      <c r="J1" s="68" t="s">
        <v>294</v>
      </c>
      <c r="K1" s="68" t="s">
        <v>241</v>
      </c>
      <c r="L1" s="68" t="s">
        <v>295</v>
      </c>
      <c r="M1" s="228"/>
    </row>
    <row r="2" spans="1:13" ht="13" customHeight="1">
      <c r="A2" s="392" t="s">
        <v>2972</v>
      </c>
      <c r="B2" s="392" t="s">
        <v>3568</v>
      </c>
      <c r="C2" s="207" t="s">
        <v>1045</v>
      </c>
      <c r="D2" s="392" t="s">
        <v>3567</v>
      </c>
      <c r="E2" s="207" t="s">
        <v>299</v>
      </c>
      <c r="F2" s="442" t="s">
        <v>3364</v>
      </c>
      <c r="G2" s="442" t="s">
        <v>3364</v>
      </c>
      <c r="H2" s="212" t="s">
        <v>24</v>
      </c>
      <c r="I2" s="207" t="s">
        <v>806</v>
      </c>
      <c r="J2" s="207" t="s">
        <v>1046</v>
      </c>
      <c r="K2" s="205" t="s">
        <v>706</v>
      </c>
      <c r="L2" s="71"/>
      <c r="M2" s="230"/>
    </row>
    <row r="3" spans="1:13" ht="13" customHeight="1">
      <c r="A3" s="577" t="s">
        <v>3569</v>
      </c>
      <c r="B3" s="207" t="s">
        <v>1047</v>
      </c>
      <c r="C3" s="207" t="s">
        <v>675</v>
      </c>
      <c r="D3" s="207" t="s">
        <v>676</v>
      </c>
      <c r="E3" s="207" t="s">
        <v>369</v>
      </c>
      <c r="F3" s="442" t="s">
        <v>3364</v>
      </c>
      <c r="G3" s="442" t="s">
        <v>3364</v>
      </c>
      <c r="H3" s="212" t="s">
        <v>24</v>
      </c>
      <c r="I3" s="207" t="s">
        <v>71</v>
      </c>
      <c r="J3" s="70" t="s">
        <v>3385</v>
      </c>
      <c r="K3" s="205" t="s">
        <v>706</v>
      </c>
      <c r="L3" s="579" t="s">
        <v>2413</v>
      </c>
      <c r="M3" s="230"/>
    </row>
    <row r="4" spans="1:13" ht="13" customHeight="1">
      <c r="A4" s="567"/>
      <c r="B4" s="392" t="s">
        <v>3489</v>
      </c>
      <c r="C4" s="207" t="s">
        <v>1049</v>
      </c>
      <c r="D4" s="207" t="s">
        <v>1050</v>
      </c>
      <c r="E4" s="207" t="s">
        <v>369</v>
      </c>
      <c r="F4" s="442" t="s">
        <v>3351</v>
      </c>
      <c r="G4" s="467" t="s">
        <v>3711</v>
      </c>
      <c r="H4" s="212" t="s">
        <v>24</v>
      </c>
      <c r="I4" s="207" t="s">
        <v>806</v>
      </c>
      <c r="J4" s="70" t="s">
        <v>3500</v>
      </c>
      <c r="K4" s="205" t="s">
        <v>706</v>
      </c>
      <c r="L4" s="580"/>
    </row>
    <row r="5" spans="1:13" ht="13" customHeight="1">
      <c r="A5" s="567"/>
      <c r="B5" s="207" t="s">
        <v>1051</v>
      </c>
      <c r="C5" s="207" t="s">
        <v>1052</v>
      </c>
      <c r="D5" s="207" t="s">
        <v>1053</v>
      </c>
      <c r="E5" s="207" t="s">
        <v>369</v>
      </c>
      <c r="F5" s="442" t="s">
        <v>3351</v>
      </c>
      <c r="G5" s="442" t="s">
        <v>3353</v>
      </c>
      <c r="H5" s="212" t="s">
        <v>24</v>
      </c>
      <c r="I5" s="207" t="s">
        <v>806</v>
      </c>
      <c r="J5" s="70" t="s">
        <v>3501</v>
      </c>
      <c r="K5" s="205" t="s">
        <v>706</v>
      </c>
      <c r="L5" s="580"/>
    </row>
    <row r="6" spans="1:13" ht="13" customHeight="1">
      <c r="A6" s="567"/>
      <c r="B6" s="392" t="s">
        <v>2409</v>
      </c>
      <c r="C6" s="207" t="s">
        <v>1054</v>
      </c>
      <c r="D6" s="207" t="s">
        <v>1055</v>
      </c>
      <c r="E6" s="288" t="s">
        <v>2404</v>
      </c>
      <c r="F6" s="442" t="s">
        <v>3351</v>
      </c>
      <c r="G6" s="442" t="s">
        <v>3354</v>
      </c>
      <c r="H6" s="212" t="s">
        <v>24</v>
      </c>
      <c r="I6" s="207" t="s">
        <v>806</v>
      </c>
      <c r="J6" s="70" t="s">
        <v>1056</v>
      </c>
      <c r="K6" s="205" t="s">
        <v>706</v>
      </c>
      <c r="L6" s="580"/>
    </row>
    <row r="7" spans="1:13" ht="13" customHeight="1">
      <c r="A7" s="567"/>
      <c r="B7" s="392" t="s">
        <v>3737</v>
      </c>
      <c r="C7" s="392" t="s">
        <v>3738</v>
      </c>
      <c r="D7" s="392" t="s">
        <v>3725</v>
      </c>
      <c r="E7" s="392" t="s">
        <v>3726</v>
      </c>
      <c r="F7" s="467" t="s">
        <v>3727</v>
      </c>
      <c r="G7" s="467" t="s">
        <v>3724</v>
      </c>
      <c r="H7" s="467" t="s">
        <v>24</v>
      </c>
      <c r="I7" s="392" t="s">
        <v>3728</v>
      </c>
      <c r="J7" s="70" t="s">
        <v>3735</v>
      </c>
      <c r="K7" s="466" t="s">
        <v>706</v>
      </c>
      <c r="L7" s="580"/>
    </row>
    <row r="8" spans="1:13" ht="13" customHeight="1">
      <c r="A8" s="567"/>
      <c r="B8" s="392" t="s">
        <v>3736</v>
      </c>
      <c r="C8" s="392" t="s">
        <v>3739</v>
      </c>
      <c r="D8" s="392" t="s">
        <v>3740</v>
      </c>
      <c r="E8" s="392" t="s">
        <v>3726</v>
      </c>
      <c r="F8" s="467" t="s">
        <v>3727</v>
      </c>
      <c r="G8" s="467" t="s">
        <v>3741</v>
      </c>
      <c r="H8" s="467" t="s">
        <v>24</v>
      </c>
      <c r="I8" s="392" t="s">
        <v>3742</v>
      </c>
      <c r="J8" s="70" t="s">
        <v>3743</v>
      </c>
      <c r="K8" s="466" t="s">
        <v>706</v>
      </c>
      <c r="L8" s="580"/>
    </row>
    <row r="9" spans="1:13" ht="13" customHeight="1">
      <c r="A9" s="567"/>
      <c r="B9" s="288" t="s">
        <v>2410</v>
      </c>
      <c r="C9" s="207" t="s">
        <v>1057</v>
      </c>
      <c r="D9" s="207" t="s">
        <v>1058</v>
      </c>
      <c r="E9" s="288" t="s">
        <v>2404</v>
      </c>
      <c r="F9" s="442" t="s">
        <v>3364</v>
      </c>
      <c r="G9" s="442" t="s">
        <v>3364</v>
      </c>
      <c r="H9" s="212" t="s">
        <v>24</v>
      </c>
      <c r="I9" s="392" t="s">
        <v>2932</v>
      </c>
      <c r="J9" s="70" t="s">
        <v>1059</v>
      </c>
      <c r="K9" s="205" t="s">
        <v>706</v>
      </c>
      <c r="L9" s="580"/>
    </row>
    <row r="10" spans="1:13" ht="13" customHeight="1">
      <c r="A10" s="567"/>
      <c r="B10" s="207" t="s">
        <v>1060</v>
      </c>
      <c r="C10" s="207" t="s">
        <v>1061</v>
      </c>
      <c r="D10" s="207" t="s">
        <v>1062</v>
      </c>
      <c r="E10" s="207" t="s">
        <v>369</v>
      </c>
      <c r="F10" s="442" t="s">
        <v>3364</v>
      </c>
      <c r="G10" s="442" t="s">
        <v>3364</v>
      </c>
      <c r="H10" s="212" t="s">
        <v>24</v>
      </c>
      <c r="I10" s="207" t="s">
        <v>1063</v>
      </c>
      <c r="J10" s="70" t="s">
        <v>1064</v>
      </c>
      <c r="K10" s="205" t="s">
        <v>706</v>
      </c>
      <c r="L10" s="580"/>
    </row>
    <row r="11" spans="1:13" ht="13" customHeight="1">
      <c r="A11" s="567"/>
      <c r="B11" s="207" t="s">
        <v>1065</v>
      </c>
      <c r="C11" s="207" t="s">
        <v>1066</v>
      </c>
      <c r="D11" s="207" t="s">
        <v>1067</v>
      </c>
      <c r="E11" s="207" t="s">
        <v>369</v>
      </c>
      <c r="F11" s="442" t="s">
        <v>3351</v>
      </c>
      <c r="G11" s="442" t="s">
        <v>3355</v>
      </c>
      <c r="H11" s="212" t="s">
        <v>24</v>
      </c>
      <c r="I11" s="207" t="s">
        <v>1016</v>
      </c>
      <c r="J11" s="70" t="s">
        <v>1068</v>
      </c>
      <c r="K11" s="205" t="s">
        <v>706</v>
      </c>
      <c r="L11" s="580"/>
    </row>
    <row r="12" spans="1:13" ht="13" customHeight="1">
      <c r="A12" s="567"/>
      <c r="B12" s="207" t="s">
        <v>1069</v>
      </c>
      <c r="C12" s="207" t="s">
        <v>1070</v>
      </c>
      <c r="D12" s="207" t="s">
        <v>1071</v>
      </c>
      <c r="E12" s="207" t="s">
        <v>369</v>
      </c>
      <c r="F12" s="442" t="s">
        <v>3364</v>
      </c>
      <c r="G12" s="442" t="s">
        <v>3364</v>
      </c>
      <c r="H12" s="212" t="s">
        <v>57</v>
      </c>
      <c r="I12" s="207" t="s">
        <v>1072</v>
      </c>
      <c r="J12" s="288" t="s">
        <v>2416</v>
      </c>
      <c r="K12" s="205" t="s">
        <v>706</v>
      </c>
      <c r="L12" s="580"/>
      <c r="M12" s="230"/>
    </row>
    <row r="13" spans="1:13" ht="13" customHeight="1">
      <c r="A13" s="567"/>
      <c r="B13" s="392" t="s">
        <v>3712</v>
      </c>
      <c r="C13" s="69" t="s">
        <v>1074</v>
      </c>
      <c r="D13" s="70" t="s">
        <v>1075</v>
      </c>
      <c r="E13" s="207" t="s">
        <v>369</v>
      </c>
      <c r="F13" s="442" t="s">
        <v>3351</v>
      </c>
      <c r="G13" s="442" t="s">
        <v>3356</v>
      </c>
      <c r="H13" s="212" t="s">
        <v>24</v>
      </c>
      <c r="I13" s="207" t="s">
        <v>1076</v>
      </c>
      <c r="J13" s="70" t="s">
        <v>1077</v>
      </c>
      <c r="K13" s="205" t="s">
        <v>706</v>
      </c>
      <c r="L13" s="580"/>
    </row>
    <row r="14" spans="1:13" ht="13" customHeight="1">
      <c r="A14" s="567"/>
      <c r="B14" s="207" t="s">
        <v>1078</v>
      </c>
      <c r="C14" s="207" t="s">
        <v>1079</v>
      </c>
      <c r="D14" s="207" t="s">
        <v>1080</v>
      </c>
      <c r="E14" s="207" t="s">
        <v>369</v>
      </c>
      <c r="F14" s="442" t="s">
        <v>3351</v>
      </c>
      <c r="G14" s="442" t="s">
        <v>3357</v>
      </c>
      <c r="H14" s="212" t="s">
        <v>24</v>
      </c>
      <c r="I14" s="207" t="s">
        <v>1081</v>
      </c>
      <c r="J14" s="70" t="s">
        <v>1082</v>
      </c>
      <c r="K14" s="205" t="s">
        <v>706</v>
      </c>
      <c r="L14" s="580"/>
    </row>
    <row r="15" spans="1:13" ht="13" customHeight="1">
      <c r="A15" s="567"/>
      <c r="B15" s="392" t="s">
        <v>3720</v>
      </c>
      <c r="C15" s="207" t="s">
        <v>1083</v>
      </c>
      <c r="D15" s="207" t="s">
        <v>1084</v>
      </c>
      <c r="E15" s="207" t="s">
        <v>369</v>
      </c>
      <c r="F15" s="442" t="s">
        <v>3351</v>
      </c>
      <c r="G15" s="442" t="s">
        <v>3358</v>
      </c>
      <c r="H15" s="212" t="s">
        <v>24</v>
      </c>
      <c r="I15" s="207" t="s">
        <v>350</v>
      </c>
      <c r="J15" s="70" t="s">
        <v>3729</v>
      </c>
      <c r="K15" s="205" t="s">
        <v>706</v>
      </c>
      <c r="L15" s="580"/>
    </row>
    <row r="16" spans="1:13" ht="13" customHeight="1">
      <c r="A16" s="567"/>
      <c r="B16" s="207" t="s">
        <v>1086</v>
      </c>
      <c r="C16" s="207" t="s">
        <v>1087</v>
      </c>
      <c r="D16" s="207" t="s">
        <v>1088</v>
      </c>
      <c r="E16" s="207" t="s">
        <v>369</v>
      </c>
      <c r="F16" s="442" t="s">
        <v>3364</v>
      </c>
      <c r="G16" s="442" t="s">
        <v>3364</v>
      </c>
      <c r="H16" s="212" t="s">
        <v>24</v>
      </c>
      <c r="I16" s="207" t="s">
        <v>1089</v>
      </c>
      <c r="J16" s="70" t="s">
        <v>1090</v>
      </c>
      <c r="K16" s="205" t="s">
        <v>706</v>
      </c>
      <c r="L16" s="580"/>
    </row>
    <row r="17" spans="1:13" ht="13" customHeight="1">
      <c r="A17" s="567"/>
      <c r="B17" s="207" t="s">
        <v>1091</v>
      </c>
      <c r="C17" s="207" t="s">
        <v>1092</v>
      </c>
      <c r="D17" s="207" t="s">
        <v>1093</v>
      </c>
      <c r="E17" s="207" t="s">
        <v>369</v>
      </c>
      <c r="F17" s="442" t="s">
        <v>3364</v>
      </c>
      <c r="G17" s="442" t="s">
        <v>3364</v>
      </c>
      <c r="H17" s="212" t="s">
        <v>24</v>
      </c>
      <c r="I17" s="207" t="s">
        <v>350</v>
      </c>
      <c r="J17" s="70" t="s">
        <v>1094</v>
      </c>
      <c r="K17" s="205" t="s">
        <v>706</v>
      </c>
      <c r="L17" s="580"/>
    </row>
    <row r="18" spans="1:13" ht="13" customHeight="1">
      <c r="A18" s="567"/>
      <c r="B18" s="288" t="s">
        <v>2411</v>
      </c>
      <c r="C18" s="207" t="s">
        <v>1095</v>
      </c>
      <c r="D18" s="207" t="s">
        <v>1096</v>
      </c>
      <c r="E18" s="288" t="s">
        <v>369</v>
      </c>
      <c r="F18" s="442" t="s">
        <v>3351</v>
      </c>
      <c r="G18" s="442" t="s">
        <v>3359</v>
      </c>
      <c r="H18" s="212" t="s">
        <v>24</v>
      </c>
      <c r="I18" s="207" t="s">
        <v>71</v>
      </c>
      <c r="J18" s="70" t="s">
        <v>3386</v>
      </c>
      <c r="K18" s="205" t="s">
        <v>706</v>
      </c>
      <c r="L18" s="580"/>
    </row>
    <row r="19" spans="1:13" ht="13" customHeight="1">
      <c r="A19" s="567"/>
      <c r="B19" s="207" t="s">
        <v>1097</v>
      </c>
      <c r="C19" s="207" t="s">
        <v>675</v>
      </c>
      <c r="D19" s="207" t="s">
        <v>676</v>
      </c>
      <c r="E19" s="207" t="s">
        <v>369</v>
      </c>
      <c r="F19" s="442" t="s">
        <v>3364</v>
      </c>
      <c r="G19" s="442" t="s">
        <v>3364</v>
      </c>
      <c r="H19" s="212" t="s">
        <v>24</v>
      </c>
      <c r="I19" s="207" t="s">
        <v>71</v>
      </c>
      <c r="J19" s="70" t="s">
        <v>3387</v>
      </c>
      <c r="K19" s="205" t="s">
        <v>706</v>
      </c>
      <c r="L19" s="580"/>
      <c r="M19" s="230"/>
    </row>
    <row r="20" spans="1:13" ht="13" customHeight="1">
      <c r="A20" s="567"/>
      <c r="B20" s="392" t="s">
        <v>3478</v>
      </c>
      <c r="C20" s="207" t="s">
        <v>1049</v>
      </c>
      <c r="D20" s="207" t="s">
        <v>1050</v>
      </c>
      <c r="E20" s="207" t="s">
        <v>369</v>
      </c>
      <c r="F20" s="442" t="s">
        <v>3351</v>
      </c>
      <c r="G20" s="442" t="s">
        <v>3352</v>
      </c>
      <c r="H20" s="212" t="s">
        <v>24</v>
      </c>
      <c r="I20" s="207" t="s">
        <v>806</v>
      </c>
      <c r="J20" s="70" t="s">
        <v>1098</v>
      </c>
      <c r="K20" s="205" t="s">
        <v>706</v>
      </c>
      <c r="L20" s="580"/>
    </row>
    <row r="21" spans="1:13" ht="13" customHeight="1">
      <c r="A21" s="567"/>
      <c r="B21" s="207" t="s">
        <v>1099</v>
      </c>
      <c r="C21" s="207" t="s">
        <v>1052</v>
      </c>
      <c r="D21" s="207" t="s">
        <v>1053</v>
      </c>
      <c r="E21" s="207" t="s">
        <v>369</v>
      </c>
      <c r="F21" s="442" t="s">
        <v>3351</v>
      </c>
      <c r="G21" s="442" t="s">
        <v>3353</v>
      </c>
      <c r="H21" s="212" t="s">
        <v>24</v>
      </c>
      <c r="I21" s="207" t="s">
        <v>806</v>
      </c>
      <c r="J21" s="70" t="s">
        <v>1100</v>
      </c>
      <c r="K21" s="205" t="s">
        <v>706</v>
      </c>
      <c r="L21" s="580"/>
    </row>
    <row r="22" spans="1:13" ht="13" customHeight="1">
      <c r="A22" s="567"/>
      <c r="B22" s="288" t="s">
        <v>2412</v>
      </c>
      <c r="C22" s="207" t="s">
        <v>1054</v>
      </c>
      <c r="D22" s="207" t="s">
        <v>1055</v>
      </c>
      <c r="E22" s="288" t="s">
        <v>369</v>
      </c>
      <c r="F22" s="442" t="s">
        <v>3351</v>
      </c>
      <c r="G22" s="442" t="s">
        <v>3354</v>
      </c>
      <c r="H22" s="212" t="s">
        <v>24</v>
      </c>
      <c r="I22" s="207" t="s">
        <v>806</v>
      </c>
      <c r="J22" s="70" t="s">
        <v>1056</v>
      </c>
      <c r="K22" s="205" t="s">
        <v>706</v>
      </c>
      <c r="L22" s="580"/>
    </row>
    <row r="23" spans="1:13" ht="13" customHeight="1">
      <c r="A23" s="567"/>
      <c r="B23" s="392" t="s">
        <v>3745</v>
      </c>
      <c r="C23" s="392" t="s">
        <v>3738</v>
      </c>
      <c r="D23" s="392" t="s">
        <v>3725</v>
      </c>
      <c r="E23" s="392" t="s">
        <v>3726</v>
      </c>
      <c r="F23" s="467" t="s">
        <v>3727</v>
      </c>
      <c r="G23" s="467" t="s">
        <v>3724</v>
      </c>
      <c r="H23" s="467" t="s">
        <v>24</v>
      </c>
      <c r="I23" s="392" t="s">
        <v>3728</v>
      </c>
      <c r="J23" s="70" t="s">
        <v>3735</v>
      </c>
      <c r="K23" s="466" t="s">
        <v>706</v>
      </c>
      <c r="L23" s="580"/>
    </row>
    <row r="24" spans="1:13" ht="13" customHeight="1">
      <c r="A24" s="567"/>
      <c r="B24" s="392" t="s">
        <v>3744</v>
      </c>
      <c r="C24" s="392" t="s">
        <v>3739</v>
      </c>
      <c r="D24" s="392" t="s">
        <v>3740</v>
      </c>
      <c r="E24" s="392" t="s">
        <v>3726</v>
      </c>
      <c r="F24" s="467" t="s">
        <v>3727</v>
      </c>
      <c r="G24" s="467" t="s">
        <v>3741</v>
      </c>
      <c r="H24" s="467" t="s">
        <v>24</v>
      </c>
      <c r="I24" s="392" t="s">
        <v>3742</v>
      </c>
      <c r="J24" s="70" t="s">
        <v>3743</v>
      </c>
      <c r="K24" s="466" t="s">
        <v>706</v>
      </c>
      <c r="L24" s="580"/>
    </row>
    <row r="25" spans="1:13" ht="13" customHeight="1">
      <c r="A25" s="567"/>
      <c r="B25" s="207" t="s">
        <v>1101</v>
      </c>
      <c r="C25" s="207" t="s">
        <v>1057</v>
      </c>
      <c r="D25" s="207" t="s">
        <v>1058</v>
      </c>
      <c r="E25" s="288" t="s">
        <v>369</v>
      </c>
      <c r="F25" s="442" t="s">
        <v>3364</v>
      </c>
      <c r="G25" s="442" t="s">
        <v>3364</v>
      </c>
      <c r="H25" s="212" t="s">
        <v>24</v>
      </c>
      <c r="I25" s="392" t="s">
        <v>2932</v>
      </c>
      <c r="J25" s="70" t="s">
        <v>3723</v>
      </c>
      <c r="K25" s="205" t="s">
        <v>706</v>
      </c>
      <c r="L25" s="580"/>
    </row>
    <row r="26" spans="1:13" ht="13" customHeight="1">
      <c r="A26" s="567"/>
      <c r="B26" s="207" t="s">
        <v>1102</v>
      </c>
      <c r="C26" s="207" t="s">
        <v>1061</v>
      </c>
      <c r="D26" s="207" t="s">
        <v>1062</v>
      </c>
      <c r="E26" s="207" t="s">
        <v>369</v>
      </c>
      <c r="F26" s="442" t="s">
        <v>3364</v>
      </c>
      <c r="G26" s="442" t="s">
        <v>3364</v>
      </c>
      <c r="H26" s="212" t="s">
        <v>24</v>
      </c>
      <c r="I26" s="207" t="s">
        <v>1063</v>
      </c>
      <c r="J26" s="70" t="s">
        <v>1064</v>
      </c>
      <c r="K26" s="205" t="s">
        <v>706</v>
      </c>
      <c r="L26" s="580"/>
    </row>
    <row r="27" spans="1:13" ht="13" customHeight="1">
      <c r="A27" s="567"/>
      <c r="B27" s="207" t="s">
        <v>1103</v>
      </c>
      <c r="C27" s="207" t="s">
        <v>1066</v>
      </c>
      <c r="D27" s="207" t="s">
        <v>1067</v>
      </c>
      <c r="E27" s="207" t="s">
        <v>369</v>
      </c>
      <c r="F27" s="442" t="s">
        <v>3351</v>
      </c>
      <c r="G27" s="442" t="s">
        <v>3355</v>
      </c>
      <c r="H27" s="212" t="s">
        <v>24</v>
      </c>
      <c r="I27" s="207" t="s">
        <v>1016</v>
      </c>
      <c r="J27" s="70" t="s">
        <v>1068</v>
      </c>
      <c r="K27" s="205" t="s">
        <v>706</v>
      </c>
      <c r="L27" s="580"/>
    </row>
    <row r="28" spans="1:13" ht="13" customHeight="1">
      <c r="A28" s="567"/>
      <c r="B28" s="207" t="s">
        <v>1104</v>
      </c>
      <c r="C28" s="207" t="s">
        <v>1070</v>
      </c>
      <c r="D28" s="207" t="s">
        <v>1071</v>
      </c>
      <c r="E28" s="207" t="s">
        <v>369</v>
      </c>
      <c r="F28" s="442" t="s">
        <v>3364</v>
      </c>
      <c r="G28" s="442" t="s">
        <v>3364</v>
      </c>
      <c r="H28" s="212" t="s">
        <v>57</v>
      </c>
      <c r="I28" s="207" t="s">
        <v>1072</v>
      </c>
      <c r="J28" s="288" t="s">
        <v>2417</v>
      </c>
      <c r="K28" s="205" t="s">
        <v>706</v>
      </c>
      <c r="L28" s="580"/>
      <c r="M28" s="230"/>
    </row>
    <row r="29" spans="1:13" ht="13" customHeight="1">
      <c r="A29" s="567"/>
      <c r="B29" s="392" t="s">
        <v>3717</v>
      </c>
      <c r="C29" s="207" t="s">
        <v>1074</v>
      </c>
      <c r="D29" s="70" t="s">
        <v>1075</v>
      </c>
      <c r="E29" s="207" t="s">
        <v>369</v>
      </c>
      <c r="F29" s="442" t="s">
        <v>3351</v>
      </c>
      <c r="G29" s="442" t="s">
        <v>3356</v>
      </c>
      <c r="H29" s="212" t="s">
        <v>24</v>
      </c>
      <c r="I29" s="207" t="s">
        <v>1076</v>
      </c>
      <c r="J29" s="70" t="s">
        <v>1077</v>
      </c>
      <c r="K29" s="205" t="s">
        <v>706</v>
      </c>
      <c r="L29" s="580"/>
    </row>
    <row r="30" spans="1:13" ht="13" customHeight="1">
      <c r="A30" s="567"/>
      <c r="B30" s="392" t="s">
        <v>3716</v>
      </c>
      <c r="C30" s="207" t="s">
        <v>1079</v>
      </c>
      <c r="D30" s="207" t="s">
        <v>1080</v>
      </c>
      <c r="E30" s="207" t="s">
        <v>369</v>
      </c>
      <c r="F30" s="442" t="s">
        <v>3351</v>
      </c>
      <c r="G30" s="442" t="s">
        <v>3357</v>
      </c>
      <c r="H30" s="212" t="s">
        <v>24</v>
      </c>
      <c r="I30" s="207" t="s">
        <v>1081</v>
      </c>
      <c r="J30" s="70" t="s">
        <v>1082</v>
      </c>
      <c r="K30" s="205" t="s">
        <v>706</v>
      </c>
      <c r="L30" s="580"/>
    </row>
    <row r="31" spans="1:13" ht="13" customHeight="1">
      <c r="A31" s="567"/>
      <c r="B31" s="392" t="s">
        <v>3718</v>
      </c>
      <c r="C31" s="207" t="s">
        <v>1083</v>
      </c>
      <c r="D31" s="207" t="s">
        <v>1084</v>
      </c>
      <c r="E31" s="207" t="s">
        <v>369</v>
      </c>
      <c r="F31" s="442" t="s">
        <v>3351</v>
      </c>
      <c r="G31" s="442" t="s">
        <v>3358</v>
      </c>
      <c r="H31" s="212" t="s">
        <v>24</v>
      </c>
      <c r="I31" s="207" t="s">
        <v>350</v>
      </c>
      <c r="J31" s="70" t="s">
        <v>2956</v>
      </c>
      <c r="K31" s="205" t="s">
        <v>706</v>
      </c>
      <c r="L31" s="580"/>
    </row>
    <row r="32" spans="1:13" ht="13" customHeight="1">
      <c r="A32" s="567"/>
      <c r="B32" s="207" t="s">
        <v>1106</v>
      </c>
      <c r="C32" s="207" t="s">
        <v>1087</v>
      </c>
      <c r="D32" s="207" t="s">
        <v>1088</v>
      </c>
      <c r="E32" s="207" t="s">
        <v>369</v>
      </c>
      <c r="F32" s="442" t="s">
        <v>3364</v>
      </c>
      <c r="G32" s="442" t="s">
        <v>3364</v>
      </c>
      <c r="H32" s="212" t="s">
        <v>24</v>
      </c>
      <c r="I32" s="207" t="s">
        <v>1089</v>
      </c>
      <c r="J32" s="70" t="s">
        <v>1090</v>
      </c>
      <c r="K32" s="205" t="s">
        <v>706</v>
      </c>
      <c r="L32" s="580"/>
    </row>
    <row r="33" spans="1:13" ht="13" customHeight="1">
      <c r="A33" s="567"/>
      <c r="B33" s="207" t="s">
        <v>1107</v>
      </c>
      <c r="C33" s="207" t="s">
        <v>1092</v>
      </c>
      <c r="D33" s="207" t="s">
        <v>1093</v>
      </c>
      <c r="E33" s="207" t="s">
        <v>369</v>
      </c>
      <c r="F33" s="442" t="s">
        <v>3364</v>
      </c>
      <c r="G33" s="442" t="s">
        <v>3364</v>
      </c>
      <c r="H33" s="212" t="s">
        <v>24</v>
      </c>
      <c r="I33" s="207" t="s">
        <v>350</v>
      </c>
      <c r="J33" s="70" t="s">
        <v>1094</v>
      </c>
      <c r="K33" s="205" t="s">
        <v>706</v>
      </c>
      <c r="L33" s="580"/>
    </row>
    <row r="34" spans="1:13" ht="13" customHeight="1">
      <c r="A34" s="567"/>
      <c r="B34" s="207" t="s">
        <v>1108</v>
      </c>
      <c r="C34" s="207" t="s">
        <v>1095</v>
      </c>
      <c r="D34" s="207" t="s">
        <v>1096</v>
      </c>
      <c r="E34" s="288" t="s">
        <v>369</v>
      </c>
      <c r="F34" s="442" t="s">
        <v>3351</v>
      </c>
      <c r="G34" s="442" t="s">
        <v>3359</v>
      </c>
      <c r="H34" s="212" t="s">
        <v>24</v>
      </c>
      <c r="I34" s="207" t="s">
        <v>71</v>
      </c>
      <c r="J34" s="70" t="s">
        <v>3386</v>
      </c>
      <c r="K34" s="205" t="s">
        <v>706</v>
      </c>
      <c r="L34" s="580"/>
    </row>
    <row r="35" spans="1:13" ht="13" customHeight="1">
      <c r="A35" s="567"/>
      <c r="B35" s="392" t="s">
        <v>3377</v>
      </c>
      <c r="C35" s="207" t="s">
        <v>675</v>
      </c>
      <c r="D35" s="207" t="s">
        <v>676</v>
      </c>
      <c r="E35" s="207" t="s">
        <v>1109</v>
      </c>
      <c r="F35" s="442" t="s">
        <v>3364</v>
      </c>
      <c r="G35" s="442" t="s">
        <v>3364</v>
      </c>
      <c r="H35" s="212" t="s">
        <v>24</v>
      </c>
      <c r="I35" s="207" t="s">
        <v>71</v>
      </c>
      <c r="J35" s="70" t="s">
        <v>3387</v>
      </c>
      <c r="K35" s="205" t="s">
        <v>706</v>
      </c>
      <c r="L35" s="580"/>
      <c r="M35" s="230"/>
    </row>
    <row r="36" spans="1:13" ht="13" customHeight="1">
      <c r="A36" s="567"/>
      <c r="B36" s="392" t="s">
        <v>3378</v>
      </c>
      <c r="C36" s="207" t="s">
        <v>1049</v>
      </c>
      <c r="D36" s="207" t="s">
        <v>1050</v>
      </c>
      <c r="E36" s="207" t="s">
        <v>1109</v>
      </c>
      <c r="F36" s="442" t="s">
        <v>3351</v>
      </c>
      <c r="G36" s="442" t="s">
        <v>3352</v>
      </c>
      <c r="H36" s="212" t="s">
        <v>24</v>
      </c>
      <c r="I36" s="207" t="s">
        <v>806</v>
      </c>
      <c r="J36" s="70" t="s">
        <v>1098</v>
      </c>
      <c r="K36" s="205" t="s">
        <v>706</v>
      </c>
      <c r="L36" s="580"/>
    </row>
    <row r="37" spans="1:13" ht="13" customHeight="1">
      <c r="A37" s="567"/>
      <c r="B37" s="207" t="s">
        <v>1110</v>
      </c>
      <c r="C37" s="207" t="s">
        <v>1052</v>
      </c>
      <c r="D37" s="207" t="s">
        <v>1053</v>
      </c>
      <c r="E37" s="207" t="s">
        <v>1109</v>
      </c>
      <c r="F37" s="442" t="s">
        <v>3351</v>
      </c>
      <c r="G37" s="442" t="s">
        <v>3353</v>
      </c>
      <c r="H37" s="212" t="s">
        <v>24</v>
      </c>
      <c r="I37" s="207" t="s">
        <v>806</v>
      </c>
      <c r="J37" s="70" t="s">
        <v>1100</v>
      </c>
      <c r="K37" s="205" t="s">
        <v>706</v>
      </c>
      <c r="L37" s="580"/>
    </row>
    <row r="38" spans="1:13" ht="13" customHeight="1">
      <c r="A38" s="567"/>
      <c r="B38" s="207" t="s">
        <v>1111</v>
      </c>
      <c r="C38" s="207" t="s">
        <v>1054</v>
      </c>
      <c r="D38" s="207" t="s">
        <v>1055</v>
      </c>
      <c r="E38" s="288" t="s">
        <v>1109</v>
      </c>
      <c r="F38" s="442" t="s">
        <v>3351</v>
      </c>
      <c r="G38" s="442" t="s">
        <v>3354</v>
      </c>
      <c r="H38" s="212" t="s">
        <v>24</v>
      </c>
      <c r="I38" s="207" t="s">
        <v>806</v>
      </c>
      <c r="J38" s="70" t="s">
        <v>1056</v>
      </c>
      <c r="K38" s="205" t="s">
        <v>706</v>
      </c>
      <c r="L38" s="580"/>
    </row>
    <row r="39" spans="1:13" ht="13" customHeight="1">
      <c r="A39" s="567"/>
      <c r="B39" s="392" t="s">
        <v>3747</v>
      </c>
      <c r="C39" s="392" t="s">
        <v>3738</v>
      </c>
      <c r="D39" s="392" t="s">
        <v>3725</v>
      </c>
      <c r="E39" s="392" t="s">
        <v>1109</v>
      </c>
      <c r="F39" s="467" t="s">
        <v>3727</v>
      </c>
      <c r="G39" s="467" t="s">
        <v>3724</v>
      </c>
      <c r="H39" s="467" t="s">
        <v>24</v>
      </c>
      <c r="I39" s="392" t="s">
        <v>3728</v>
      </c>
      <c r="J39" s="70" t="s">
        <v>3735</v>
      </c>
      <c r="K39" s="466"/>
      <c r="L39" s="580"/>
    </row>
    <row r="40" spans="1:13" ht="13" customHeight="1">
      <c r="A40" s="567"/>
      <c r="B40" s="392" t="s">
        <v>3746</v>
      </c>
      <c r="C40" s="392" t="s">
        <v>3739</v>
      </c>
      <c r="D40" s="392" t="s">
        <v>3740</v>
      </c>
      <c r="E40" s="392" t="s">
        <v>3726</v>
      </c>
      <c r="F40" s="467" t="s">
        <v>3727</v>
      </c>
      <c r="G40" s="467" t="s">
        <v>3741</v>
      </c>
      <c r="H40" s="467" t="s">
        <v>24</v>
      </c>
      <c r="I40" s="392" t="s">
        <v>3742</v>
      </c>
      <c r="J40" s="70" t="s">
        <v>3743</v>
      </c>
      <c r="K40" s="466" t="s">
        <v>706</v>
      </c>
      <c r="L40" s="580"/>
    </row>
    <row r="41" spans="1:13" ht="13" customHeight="1">
      <c r="A41" s="567"/>
      <c r="B41" s="207" t="s">
        <v>1112</v>
      </c>
      <c r="C41" s="207" t="s">
        <v>1057</v>
      </c>
      <c r="D41" s="207" t="s">
        <v>1058</v>
      </c>
      <c r="E41" s="288" t="s">
        <v>1109</v>
      </c>
      <c r="F41" s="442" t="s">
        <v>3364</v>
      </c>
      <c r="G41" s="442" t="s">
        <v>3364</v>
      </c>
      <c r="H41" s="212" t="s">
        <v>24</v>
      </c>
      <c r="I41" s="392" t="s">
        <v>2932</v>
      </c>
      <c r="J41" s="70" t="s">
        <v>1059</v>
      </c>
      <c r="K41" s="205" t="s">
        <v>706</v>
      </c>
      <c r="L41" s="580"/>
    </row>
    <row r="42" spans="1:13" ht="13" customHeight="1">
      <c r="A42" s="567"/>
      <c r="B42" s="207" t="s">
        <v>1113</v>
      </c>
      <c r="C42" s="207" t="s">
        <v>1061</v>
      </c>
      <c r="D42" s="207" t="s">
        <v>1062</v>
      </c>
      <c r="E42" s="207" t="s">
        <v>1109</v>
      </c>
      <c r="F42" s="442" t="s">
        <v>3364</v>
      </c>
      <c r="G42" s="442" t="s">
        <v>3364</v>
      </c>
      <c r="H42" s="212" t="s">
        <v>24</v>
      </c>
      <c r="I42" s="207" t="s">
        <v>1063</v>
      </c>
      <c r="J42" s="70" t="s">
        <v>1064</v>
      </c>
      <c r="K42" s="205" t="s">
        <v>706</v>
      </c>
      <c r="L42" s="580"/>
    </row>
    <row r="43" spans="1:13" ht="13" customHeight="1">
      <c r="A43" s="567"/>
      <c r="B43" s="207" t="s">
        <v>1114</v>
      </c>
      <c r="C43" s="207" t="s">
        <v>1066</v>
      </c>
      <c r="D43" s="207" t="s">
        <v>1067</v>
      </c>
      <c r="E43" s="207" t="s">
        <v>1109</v>
      </c>
      <c r="F43" s="442" t="s">
        <v>3351</v>
      </c>
      <c r="G43" s="442" t="s">
        <v>3355</v>
      </c>
      <c r="H43" s="212" t="s">
        <v>24</v>
      </c>
      <c r="I43" s="207" t="s">
        <v>1016</v>
      </c>
      <c r="J43" s="70" t="s">
        <v>1068</v>
      </c>
      <c r="K43" s="205" t="s">
        <v>706</v>
      </c>
      <c r="L43" s="580"/>
    </row>
    <row r="44" spans="1:13" ht="13" customHeight="1">
      <c r="A44" s="567"/>
      <c r="B44" s="207" t="s">
        <v>1115</v>
      </c>
      <c r="C44" s="370" t="s">
        <v>2844</v>
      </c>
      <c r="D44" s="207" t="s">
        <v>1071</v>
      </c>
      <c r="E44" s="207" t="s">
        <v>1109</v>
      </c>
      <c r="F44" s="442" t="s">
        <v>3364</v>
      </c>
      <c r="G44" s="442" t="s">
        <v>3364</v>
      </c>
      <c r="H44" s="212" t="s">
        <v>57</v>
      </c>
      <c r="I44" s="207" t="s">
        <v>1072</v>
      </c>
      <c r="J44" s="370" t="s">
        <v>2845</v>
      </c>
      <c r="K44" s="205" t="s">
        <v>706</v>
      </c>
      <c r="L44" s="580"/>
      <c r="M44" s="230"/>
    </row>
    <row r="45" spans="1:13" ht="13" customHeight="1">
      <c r="A45" s="567"/>
      <c r="B45" s="207" t="s">
        <v>1117</v>
      </c>
      <c r="C45" s="69" t="s">
        <v>1074</v>
      </c>
      <c r="D45" s="70" t="s">
        <v>1075</v>
      </c>
      <c r="E45" s="207" t="s">
        <v>1109</v>
      </c>
      <c r="F45" s="442" t="s">
        <v>3351</v>
      </c>
      <c r="G45" s="442" t="s">
        <v>3356</v>
      </c>
      <c r="H45" s="212" t="s">
        <v>24</v>
      </c>
      <c r="I45" s="207" t="s">
        <v>1076</v>
      </c>
      <c r="J45" s="70" t="s">
        <v>1077</v>
      </c>
      <c r="K45" s="205" t="s">
        <v>706</v>
      </c>
      <c r="L45" s="580"/>
    </row>
    <row r="46" spans="1:13" ht="13" customHeight="1">
      <c r="A46" s="567"/>
      <c r="B46" s="207" t="s">
        <v>1118</v>
      </c>
      <c r="C46" s="207" t="s">
        <v>1079</v>
      </c>
      <c r="D46" s="207" t="s">
        <v>1080</v>
      </c>
      <c r="E46" s="207" t="s">
        <v>1109</v>
      </c>
      <c r="F46" s="442" t="s">
        <v>3351</v>
      </c>
      <c r="G46" s="442" t="s">
        <v>3357</v>
      </c>
      <c r="H46" s="212" t="s">
        <v>24</v>
      </c>
      <c r="I46" s="207" t="s">
        <v>1081</v>
      </c>
      <c r="J46" s="70" t="s">
        <v>1082</v>
      </c>
      <c r="K46" s="205" t="s">
        <v>706</v>
      </c>
      <c r="L46" s="580"/>
    </row>
    <row r="47" spans="1:13" ht="13" customHeight="1">
      <c r="A47" s="567"/>
      <c r="B47" s="207" t="s">
        <v>1119</v>
      </c>
      <c r="C47" s="207" t="s">
        <v>1083</v>
      </c>
      <c r="D47" s="207" t="s">
        <v>1084</v>
      </c>
      <c r="E47" s="207" t="s">
        <v>1109</v>
      </c>
      <c r="F47" s="442" t="s">
        <v>3351</v>
      </c>
      <c r="G47" s="442" t="s">
        <v>3358</v>
      </c>
      <c r="H47" s="212" t="s">
        <v>24</v>
      </c>
      <c r="I47" s="207" t="s">
        <v>350</v>
      </c>
      <c r="J47" s="70" t="s">
        <v>2956</v>
      </c>
      <c r="K47" s="205" t="s">
        <v>706</v>
      </c>
      <c r="L47" s="580"/>
    </row>
    <row r="48" spans="1:13" ht="13" customHeight="1">
      <c r="A48" s="567"/>
      <c r="B48" s="392" t="s">
        <v>3715</v>
      </c>
      <c r="C48" s="207" t="s">
        <v>1087</v>
      </c>
      <c r="D48" s="207" t="s">
        <v>1088</v>
      </c>
      <c r="E48" s="207" t="s">
        <v>1109</v>
      </c>
      <c r="F48" s="442" t="s">
        <v>3364</v>
      </c>
      <c r="G48" s="442" t="s">
        <v>3364</v>
      </c>
      <c r="H48" s="212" t="s">
        <v>24</v>
      </c>
      <c r="I48" s="207" t="s">
        <v>1089</v>
      </c>
      <c r="J48" s="70" t="s">
        <v>1090</v>
      </c>
      <c r="K48" s="205" t="s">
        <v>706</v>
      </c>
      <c r="L48" s="580"/>
    </row>
    <row r="49" spans="1:13" ht="13" customHeight="1">
      <c r="A49" s="567"/>
      <c r="B49" s="207" t="s">
        <v>1120</v>
      </c>
      <c r="C49" s="207" t="s">
        <v>1092</v>
      </c>
      <c r="D49" s="207" t="s">
        <v>1093</v>
      </c>
      <c r="E49" s="207" t="s">
        <v>369</v>
      </c>
      <c r="F49" s="442" t="s">
        <v>3364</v>
      </c>
      <c r="G49" s="442" t="s">
        <v>3364</v>
      </c>
      <c r="H49" s="212" t="s">
        <v>24</v>
      </c>
      <c r="I49" s="207" t="s">
        <v>350</v>
      </c>
      <c r="J49" s="70" t="s">
        <v>1094</v>
      </c>
      <c r="K49" s="205" t="s">
        <v>706</v>
      </c>
      <c r="L49" s="580"/>
    </row>
    <row r="50" spans="1:13" ht="13" customHeight="1">
      <c r="A50" s="578"/>
      <c r="B50" s="207" t="s">
        <v>1121</v>
      </c>
      <c r="C50" s="207" t="s">
        <v>1095</v>
      </c>
      <c r="D50" s="207" t="s">
        <v>1096</v>
      </c>
      <c r="E50" s="288" t="s">
        <v>369</v>
      </c>
      <c r="F50" s="442" t="s">
        <v>3365</v>
      </c>
      <c r="G50" s="442" t="s">
        <v>3359</v>
      </c>
      <c r="H50" s="212" t="s">
        <v>24</v>
      </c>
      <c r="I50" s="392" t="s">
        <v>3379</v>
      </c>
      <c r="J50" s="70" t="s">
        <v>3380</v>
      </c>
      <c r="K50" s="205" t="s">
        <v>706</v>
      </c>
      <c r="L50" s="581"/>
    </row>
    <row r="51" spans="1:13" ht="13" customHeight="1">
      <c r="A51" s="577" t="s">
        <v>1122</v>
      </c>
      <c r="B51" s="207" t="s">
        <v>1123</v>
      </c>
      <c r="C51" s="207" t="s">
        <v>675</v>
      </c>
      <c r="D51" s="207" t="s">
        <v>676</v>
      </c>
      <c r="E51" s="207" t="s">
        <v>299</v>
      </c>
      <c r="F51" s="442" t="s">
        <v>3364</v>
      </c>
      <c r="G51" s="442" t="s">
        <v>3364</v>
      </c>
      <c r="H51" s="212" t="s">
        <v>24</v>
      </c>
      <c r="I51" s="207" t="s">
        <v>71</v>
      </c>
      <c r="J51" s="70" t="s">
        <v>1048</v>
      </c>
      <c r="K51" s="205" t="s">
        <v>706</v>
      </c>
      <c r="L51" s="577" t="s">
        <v>1124</v>
      </c>
      <c r="M51" s="230"/>
    </row>
    <row r="52" spans="1:13" ht="13" customHeight="1">
      <c r="A52" s="567"/>
      <c r="B52" s="207" t="s">
        <v>1125</v>
      </c>
      <c r="C52" s="207" t="s">
        <v>1126</v>
      </c>
      <c r="D52" s="207" t="s">
        <v>1127</v>
      </c>
      <c r="E52" s="207" t="s">
        <v>299</v>
      </c>
      <c r="F52" s="442" t="s">
        <v>3351</v>
      </c>
      <c r="G52" s="442" t="s">
        <v>3352</v>
      </c>
      <c r="H52" s="212" t="s">
        <v>24</v>
      </c>
      <c r="I52" s="207" t="s">
        <v>806</v>
      </c>
      <c r="J52" s="207" t="s">
        <v>1128</v>
      </c>
      <c r="K52" s="205" t="s">
        <v>706</v>
      </c>
      <c r="L52" s="567"/>
    </row>
    <row r="53" spans="1:13" ht="13" customHeight="1">
      <c r="A53" s="567"/>
      <c r="B53" s="207" t="s">
        <v>1129</v>
      </c>
      <c r="C53" s="207" t="s">
        <v>1130</v>
      </c>
      <c r="D53" s="207" t="s">
        <v>1131</v>
      </c>
      <c r="E53" s="207" t="s">
        <v>299</v>
      </c>
      <c r="F53" s="442" t="s">
        <v>3351</v>
      </c>
      <c r="G53" s="442" t="s">
        <v>3353</v>
      </c>
      <c r="H53" s="212" t="s">
        <v>24</v>
      </c>
      <c r="I53" s="207" t="s">
        <v>806</v>
      </c>
      <c r="J53" s="207" t="s">
        <v>1132</v>
      </c>
      <c r="K53" s="205" t="s">
        <v>706</v>
      </c>
      <c r="L53" s="567"/>
    </row>
    <row r="54" spans="1:13" ht="13" customHeight="1">
      <c r="A54" s="567"/>
      <c r="B54" s="207" t="s">
        <v>1133</v>
      </c>
      <c r="C54" s="207" t="s">
        <v>1134</v>
      </c>
      <c r="D54" s="207" t="s">
        <v>1135</v>
      </c>
      <c r="E54" s="288" t="s">
        <v>299</v>
      </c>
      <c r="F54" s="442" t="s">
        <v>3351</v>
      </c>
      <c r="G54" s="442" t="s">
        <v>3354</v>
      </c>
      <c r="H54" s="212" t="s">
        <v>24</v>
      </c>
      <c r="I54" s="207" t="s">
        <v>806</v>
      </c>
      <c r="J54" s="70" t="s">
        <v>1136</v>
      </c>
      <c r="K54" s="205" t="s">
        <v>706</v>
      </c>
      <c r="L54" s="567"/>
    </row>
    <row r="55" spans="1:13" ht="13" customHeight="1">
      <c r="A55" s="567"/>
      <c r="B55" s="392" t="s">
        <v>3749</v>
      </c>
      <c r="C55" s="392" t="s">
        <v>3738</v>
      </c>
      <c r="D55" s="392" t="s">
        <v>3730</v>
      </c>
      <c r="E55" s="392" t="s">
        <v>299</v>
      </c>
      <c r="F55" s="467" t="s">
        <v>3727</v>
      </c>
      <c r="G55" s="467" t="s">
        <v>3724</v>
      </c>
      <c r="H55" s="467" t="s">
        <v>24</v>
      </c>
      <c r="I55" s="392" t="s">
        <v>3728</v>
      </c>
      <c r="J55" s="70" t="s">
        <v>3735</v>
      </c>
      <c r="K55" s="466"/>
      <c r="L55" s="567"/>
    </row>
    <row r="56" spans="1:13" ht="13" customHeight="1">
      <c r="A56" s="567"/>
      <c r="B56" s="392" t="s">
        <v>3748</v>
      </c>
      <c r="C56" s="392" t="s">
        <v>3739</v>
      </c>
      <c r="D56" s="392" t="s">
        <v>3740</v>
      </c>
      <c r="E56" s="392" t="s">
        <v>3726</v>
      </c>
      <c r="F56" s="467" t="s">
        <v>3727</v>
      </c>
      <c r="G56" s="467" t="s">
        <v>3741</v>
      </c>
      <c r="H56" s="467" t="s">
        <v>24</v>
      </c>
      <c r="I56" s="392" t="s">
        <v>3742</v>
      </c>
      <c r="J56" s="70" t="s">
        <v>3743</v>
      </c>
      <c r="K56" s="466" t="s">
        <v>706</v>
      </c>
      <c r="L56" s="567"/>
    </row>
    <row r="57" spans="1:13" ht="13" customHeight="1">
      <c r="A57" s="567"/>
      <c r="B57" s="207" t="s">
        <v>1137</v>
      </c>
      <c r="C57" s="207" t="s">
        <v>1057</v>
      </c>
      <c r="D57" s="207" t="s">
        <v>1138</v>
      </c>
      <c r="E57" s="288" t="s">
        <v>299</v>
      </c>
      <c r="F57" s="442" t="s">
        <v>3364</v>
      </c>
      <c r="G57" s="442" t="s">
        <v>3364</v>
      </c>
      <c r="H57" s="212" t="s">
        <v>24</v>
      </c>
      <c r="I57" s="392" t="s">
        <v>2932</v>
      </c>
      <c r="J57" s="70" t="s">
        <v>3381</v>
      </c>
      <c r="K57" s="205" t="s">
        <v>706</v>
      </c>
      <c r="L57" s="567"/>
    </row>
    <row r="58" spans="1:13" ht="13" customHeight="1">
      <c r="A58" s="567"/>
      <c r="B58" s="207" t="s">
        <v>1139</v>
      </c>
      <c r="C58" s="207" t="s">
        <v>1061</v>
      </c>
      <c r="D58" s="207" t="s">
        <v>1062</v>
      </c>
      <c r="E58" s="207" t="s">
        <v>299</v>
      </c>
      <c r="F58" s="442" t="s">
        <v>3364</v>
      </c>
      <c r="G58" s="442" t="s">
        <v>3364</v>
      </c>
      <c r="H58" s="212" t="s">
        <v>24</v>
      </c>
      <c r="I58" s="207" t="s">
        <v>1063</v>
      </c>
      <c r="J58" s="207" t="s">
        <v>1140</v>
      </c>
      <c r="K58" s="205" t="s">
        <v>706</v>
      </c>
      <c r="L58" s="567"/>
    </row>
    <row r="59" spans="1:13" ht="13" customHeight="1">
      <c r="A59" s="567"/>
      <c r="B59" s="207" t="s">
        <v>1141</v>
      </c>
      <c r="C59" s="207" t="s">
        <v>1066</v>
      </c>
      <c r="D59" s="207" t="s">
        <v>1067</v>
      </c>
      <c r="E59" s="207" t="s">
        <v>299</v>
      </c>
      <c r="F59" s="442" t="s">
        <v>3351</v>
      </c>
      <c r="G59" s="442" t="s">
        <v>3355</v>
      </c>
      <c r="H59" s="212" t="s">
        <v>24</v>
      </c>
      <c r="I59" s="207" t="s">
        <v>1016</v>
      </c>
      <c r="J59" s="207" t="s">
        <v>1142</v>
      </c>
      <c r="K59" s="205" t="s">
        <v>706</v>
      </c>
      <c r="L59" s="567"/>
    </row>
    <row r="60" spans="1:13" ht="13" customHeight="1">
      <c r="A60" s="567"/>
      <c r="B60" s="207" t="s">
        <v>1143</v>
      </c>
      <c r="C60" s="207" t="s">
        <v>1070</v>
      </c>
      <c r="D60" s="207" t="s">
        <v>1071</v>
      </c>
      <c r="E60" s="207" t="s">
        <v>299</v>
      </c>
      <c r="F60" s="442" t="s">
        <v>3364</v>
      </c>
      <c r="G60" s="442" t="s">
        <v>3364</v>
      </c>
      <c r="H60" s="212" t="s">
        <v>57</v>
      </c>
      <c r="I60" s="207" t="s">
        <v>1072</v>
      </c>
      <c r="J60" s="207" t="s">
        <v>1073</v>
      </c>
      <c r="K60" s="205" t="s">
        <v>706</v>
      </c>
      <c r="L60" s="567"/>
      <c r="M60" s="230"/>
    </row>
    <row r="61" spans="1:13" ht="13" customHeight="1">
      <c r="A61" s="567"/>
      <c r="B61" s="207" t="s">
        <v>1144</v>
      </c>
      <c r="C61" s="207" t="s">
        <v>1074</v>
      </c>
      <c r="D61" s="70" t="s">
        <v>1075</v>
      </c>
      <c r="E61" s="207" t="s">
        <v>299</v>
      </c>
      <c r="F61" s="442" t="s">
        <v>3351</v>
      </c>
      <c r="G61" s="442" t="s">
        <v>3356</v>
      </c>
      <c r="H61" s="212" t="s">
        <v>24</v>
      </c>
      <c r="I61" s="207" t="s">
        <v>1076</v>
      </c>
      <c r="J61" s="70" t="s">
        <v>1077</v>
      </c>
      <c r="K61" s="205" t="s">
        <v>706</v>
      </c>
      <c r="L61" s="567"/>
    </row>
    <row r="62" spans="1:13" ht="13" customHeight="1">
      <c r="A62" s="567"/>
      <c r="B62" s="207" t="s">
        <v>1145</v>
      </c>
      <c r="C62" s="207" t="s">
        <v>1079</v>
      </c>
      <c r="D62" s="207" t="s">
        <v>1080</v>
      </c>
      <c r="E62" s="207" t="s">
        <v>299</v>
      </c>
      <c r="F62" s="442" t="s">
        <v>3351</v>
      </c>
      <c r="G62" s="442" t="s">
        <v>3357</v>
      </c>
      <c r="H62" s="212" t="s">
        <v>24</v>
      </c>
      <c r="I62" s="207" t="s">
        <v>1081</v>
      </c>
      <c r="J62" s="70" t="s">
        <v>1082</v>
      </c>
      <c r="K62" s="205" t="s">
        <v>706</v>
      </c>
      <c r="L62" s="567"/>
    </row>
    <row r="63" spans="1:13" ht="13" customHeight="1">
      <c r="A63" s="567"/>
      <c r="B63" s="207" t="s">
        <v>1146</v>
      </c>
      <c r="C63" s="207" t="s">
        <v>1083</v>
      </c>
      <c r="D63" s="207" t="s">
        <v>1084</v>
      </c>
      <c r="E63" s="207" t="s">
        <v>299</v>
      </c>
      <c r="F63" s="442" t="s">
        <v>3351</v>
      </c>
      <c r="G63" s="442" t="s">
        <v>3358</v>
      </c>
      <c r="H63" s="212" t="s">
        <v>24</v>
      </c>
      <c r="I63" s="207" t="s">
        <v>350</v>
      </c>
      <c r="J63" s="70" t="s">
        <v>2956</v>
      </c>
      <c r="K63" s="205" t="s">
        <v>706</v>
      </c>
      <c r="L63" s="567"/>
    </row>
    <row r="64" spans="1:13" ht="13" customHeight="1">
      <c r="A64" s="567"/>
      <c r="B64" s="207" t="s">
        <v>1147</v>
      </c>
      <c r="C64" s="207" t="s">
        <v>1087</v>
      </c>
      <c r="D64" s="207" t="s">
        <v>1088</v>
      </c>
      <c r="E64" s="207" t="s">
        <v>299</v>
      </c>
      <c r="F64" s="442" t="s">
        <v>3364</v>
      </c>
      <c r="G64" s="442" t="s">
        <v>3364</v>
      </c>
      <c r="H64" s="212" t="s">
        <v>24</v>
      </c>
      <c r="I64" s="207" t="s">
        <v>1089</v>
      </c>
      <c r="J64" s="207" t="s">
        <v>1148</v>
      </c>
      <c r="K64" s="205" t="s">
        <v>706</v>
      </c>
      <c r="L64" s="567"/>
    </row>
    <row r="65" spans="1:13" ht="13" customHeight="1">
      <c r="A65" s="567"/>
      <c r="B65" s="207" t="s">
        <v>1149</v>
      </c>
      <c r="C65" s="207" t="s">
        <v>1092</v>
      </c>
      <c r="D65" s="207" t="s">
        <v>1093</v>
      </c>
      <c r="E65" s="207" t="s">
        <v>369</v>
      </c>
      <c r="F65" s="442" t="s">
        <v>3364</v>
      </c>
      <c r="G65" s="442" t="s">
        <v>3364</v>
      </c>
      <c r="H65" s="212" t="s">
        <v>24</v>
      </c>
      <c r="I65" s="207" t="s">
        <v>350</v>
      </c>
      <c r="J65" s="70" t="s">
        <v>3722</v>
      </c>
      <c r="K65" s="205" t="s">
        <v>706</v>
      </c>
      <c r="L65" s="567"/>
    </row>
    <row r="66" spans="1:13" ht="13" customHeight="1">
      <c r="A66" s="567"/>
      <c r="B66" s="207" t="s">
        <v>1150</v>
      </c>
      <c r="C66" s="207" t="s">
        <v>1095</v>
      </c>
      <c r="D66" s="207" t="s">
        <v>1096</v>
      </c>
      <c r="E66" s="288" t="s">
        <v>369</v>
      </c>
      <c r="F66" s="442" t="s">
        <v>3351</v>
      </c>
      <c r="G66" s="442" t="s">
        <v>3359</v>
      </c>
      <c r="H66" s="212" t="s">
        <v>24</v>
      </c>
      <c r="I66" s="207" t="s">
        <v>71</v>
      </c>
      <c r="J66" s="70" t="s">
        <v>3380</v>
      </c>
      <c r="K66" s="205" t="s">
        <v>706</v>
      </c>
      <c r="L66" s="567"/>
    </row>
    <row r="67" spans="1:13" ht="13" customHeight="1">
      <c r="A67" s="567"/>
      <c r="B67" s="207" t="s">
        <v>1151</v>
      </c>
      <c r="C67" s="207" t="s">
        <v>675</v>
      </c>
      <c r="D67" s="207" t="s">
        <v>676</v>
      </c>
      <c r="E67" s="207" t="s">
        <v>299</v>
      </c>
      <c r="F67" s="442" t="s">
        <v>3364</v>
      </c>
      <c r="G67" s="442" t="s">
        <v>3364</v>
      </c>
      <c r="H67" s="212" t="s">
        <v>24</v>
      </c>
      <c r="I67" s="207" t="s">
        <v>71</v>
      </c>
      <c r="J67" s="70" t="s">
        <v>3382</v>
      </c>
      <c r="K67" s="205" t="s">
        <v>706</v>
      </c>
      <c r="L67" s="567"/>
      <c r="M67" s="230"/>
    </row>
    <row r="68" spans="1:13" ht="13" customHeight="1">
      <c r="A68" s="567"/>
      <c r="B68" s="207" t="s">
        <v>1152</v>
      </c>
      <c r="C68" s="207" t="s">
        <v>1126</v>
      </c>
      <c r="D68" s="207" t="s">
        <v>1127</v>
      </c>
      <c r="E68" s="207" t="s">
        <v>299</v>
      </c>
      <c r="F68" s="442" t="s">
        <v>3351</v>
      </c>
      <c r="G68" s="442" t="s">
        <v>3352</v>
      </c>
      <c r="H68" s="212" t="s">
        <v>24</v>
      </c>
      <c r="I68" s="207" t="s">
        <v>806</v>
      </c>
      <c r="J68" s="207" t="s">
        <v>1128</v>
      </c>
      <c r="K68" s="205" t="s">
        <v>706</v>
      </c>
      <c r="L68" s="567"/>
    </row>
    <row r="69" spans="1:13" ht="13" customHeight="1">
      <c r="A69" s="567"/>
      <c r="B69" s="207" t="s">
        <v>1153</v>
      </c>
      <c r="C69" s="207" t="s">
        <v>1130</v>
      </c>
      <c r="D69" s="207" t="s">
        <v>1131</v>
      </c>
      <c r="E69" s="207" t="s">
        <v>299</v>
      </c>
      <c r="F69" s="442" t="s">
        <v>3364</v>
      </c>
      <c r="G69" s="442" t="s">
        <v>3364</v>
      </c>
      <c r="H69" s="212" t="s">
        <v>24</v>
      </c>
      <c r="I69" s="207" t="s">
        <v>806</v>
      </c>
      <c r="J69" s="207" t="s">
        <v>1132</v>
      </c>
      <c r="K69" s="205" t="s">
        <v>706</v>
      </c>
      <c r="L69" s="567"/>
    </row>
    <row r="70" spans="1:13" ht="13" customHeight="1">
      <c r="A70" s="567"/>
      <c r="B70" s="207" t="s">
        <v>1154</v>
      </c>
      <c r="C70" s="207" t="s">
        <v>1134</v>
      </c>
      <c r="D70" s="207" t="s">
        <v>1135</v>
      </c>
      <c r="E70" s="288" t="s">
        <v>299</v>
      </c>
      <c r="F70" s="442" t="s">
        <v>3364</v>
      </c>
      <c r="G70" s="442" t="s">
        <v>3364</v>
      </c>
      <c r="H70" s="212" t="s">
        <v>24</v>
      </c>
      <c r="I70" s="207" t="s">
        <v>806</v>
      </c>
      <c r="J70" s="70" t="s">
        <v>1136</v>
      </c>
      <c r="K70" s="205" t="s">
        <v>706</v>
      </c>
      <c r="L70" s="567"/>
    </row>
    <row r="71" spans="1:13" ht="13" customHeight="1">
      <c r="A71" s="567"/>
      <c r="B71" s="392" t="s">
        <v>3750</v>
      </c>
      <c r="C71" s="392" t="s">
        <v>3738</v>
      </c>
      <c r="D71" s="392" t="s">
        <v>3730</v>
      </c>
      <c r="E71" s="392" t="s">
        <v>299</v>
      </c>
      <c r="F71" s="467" t="s">
        <v>3727</v>
      </c>
      <c r="G71" s="467" t="s">
        <v>3724</v>
      </c>
      <c r="H71" s="467" t="s">
        <v>24</v>
      </c>
      <c r="I71" s="392" t="s">
        <v>3728</v>
      </c>
      <c r="J71" s="70" t="s">
        <v>3735</v>
      </c>
      <c r="K71" s="466"/>
      <c r="L71" s="567"/>
    </row>
    <row r="72" spans="1:13" ht="13" customHeight="1">
      <c r="A72" s="567"/>
      <c r="B72" s="392" t="s">
        <v>3751</v>
      </c>
      <c r="C72" s="392" t="s">
        <v>3739</v>
      </c>
      <c r="D72" s="392" t="s">
        <v>3740</v>
      </c>
      <c r="E72" s="392" t="s">
        <v>299</v>
      </c>
      <c r="F72" s="467" t="s">
        <v>3727</v>
      </c>
      <c r="G72" s="467" t="s">
        <v>3741</v>
      </c>
      <c r="H72" s="467" t="s">
        <v>24</v>
      </c>
      <c r="I72" s="392" t="s">
        <v>3742</v>
      </c>
      <c r="J72" s="70" t="s">
        <v>3743</v>
      </c>
      <c r="K72" s="466" t="s">
        <v>706</v>
      </c>
      <c r="L72" s="567"/>
    </row>
    <row r="73" spans="1:13" ht="13" customHeight="1">
      <c r="A73" s="567"/>
      <c r="B73" s="207" t="s">
        <v>1155</v>
      </c>
      <c r="C73" s="207" t="s">
        <v>1057</v>
      </c>
      <c r="D73" s="207" t="s">
        <v>1138</v>
      </c>
      <c r="E73" s="288" t="s">
        <v>299</v>
      </c>
      <c r="F73" s="442" t="s">
        <v>3364</v>
      </c>
      <c r="G73" s="442" t="s">
        <v>3364</v>
      </c>
      <c r="H73" s="212" t="s">
        <v>24</v>
      </c>
      <c r="I73" s="392" t="s">
        <v>2932</v>
      </c>
      <c r="J73" s="70" t="s">
        <v>3381</v>
      </c>
      <c r="K73" s="205" t="s">
        <v>706</v>
      </c>
      <c r="L73" s="567"/>
    </row>
    <row r="74" spans="1:13" ht="13" customHeight="1">
      <c r="A74" s="567"/>
      <c r="B74" s="207" t="s">
        <v>1156</v>
      </c>
      <c r="C74" s="207" t="s">
        <v>1061</v>
      </c>
      <c r="D74" s="207" t="s">
        <v>1062</v>
      </c>
      <c r="E74" s="207" t="s">
        <v>299</v>
      </c>
      <c r="F74" s="442" t="s">
        <v>3364</v>
      </c>
      <c r="G74" s="442" t="s">
        <v>3364</v>
      </c>
      <c r="H74" s="212" t="s">
        <v>24</v>
      </c>
      <c r="I74" s="207" t="s">
        <v>1063</v>
      </c>
      <c r="J74" s="207" t="s">
        <v>1140</v>
      </c>
      <c r="K74" s="205" t="s">
        <v>706</v>
      </c>
      <c r="L74" s="567"/>
    </row>
    <row r="75" spans="1:13" ht="13" customHeight="1">
      <c r="A75" s="567"/>
      <c r="B75" s="207" t="s">
        <v>1157</v>
      </c>
      <c r="C75" s="207" t="s">
        <v>1066</v>
      </c>
      <c r="D75" s="207" t="s">
        <v>1067</v>
      </c>
      <c r="E75" s="207" t="s">
        <v>299</v>
      </c>
      <c r="F75" s="442" t="s">
        <v>3351</v>
      </c>
      <c r="G75" s="442" t="s">
        <v>3355</v>
      </c>
      <c r="H75" s="212" t="s">
        <v>24</v>
      </c>
      <c r="I75" s="207" t="s">
        <v>1016</v>
      </c>
      <c r="J75" s="207" t="s">
        <v>1142</v>
      </c>
      <c r="K75" s="205" t="s">
        <v>706</v>
      </c>
      <c r="L75" s="567"/>
    </row>
    <row r="76" spans="1:13" ht="13" customHeight="1">
      <c r="A76" s="567"/>
      <c r="B76" s="207" t="s">
        <v>1158</v>
      </c>
      <c r="C76" s="207" t="s">
        <v>1070</v>
      </c>
      <c r="D76" s="207" t="s">
        <v>1071</v>
      </c>
      <c r="E76" s="207" t="s">
        <v>299</v>
      </c>
      <c r="F76" s="442" t="s">
        <v>3364</v>
      </c>
      <c r="G76" s="442" t="s">
        <v>3364</v>
      </c>
      <c r="H76" s="212" t="s">
        <v>57</v>
      </c>
      <c r="I76" s="207" t="s">
        <v>1072</v>
      </c>
      <c r="J76" s="207" t="s">
        <v>1105</v>
      </c>
      <c r="K76" s="205" t="s">
        <v>706</v>
      </c>
      <c r="L76" s="567"/>
      <c r="M76" s="230"/>
    </row>
    <row r="77" spans="1:13" ht="13" customHeight="1">
      <c r="A77" s="567"/>
      <c r="B77" s="207" t="s">
        <v>1159</v>
      </c>
      <c r="C77" s="207" t="s">
        <v>1074</v>
      </c>
      <c r="D77" s="70" t="s">
        <v>1075</v>
      </c>
      <c r="E77" s="207" t="s">
        <v>299</v>
      </c>
      <c r="F77" s="442" t="s">
        <v>3351</v>
      </c>
      <c r="G77" s="442" t="s">
        <v>3356</v>
      </c>
      <c r="H77" s="212" t="s">
        <v>24</v>
      </c>
      <c r="I77" s="207" t="s">
        <v>1076</v>
      </c>
      <c r="J77" s="70" t="s">
        <v>1077</v>
      </c>
      <c r="K77" s="205" t="s">
        <v>706</v>
      </c>
      <c r="L77" s="567"/>
    </row>
    <row r="78" spans="1:13" ht="13" customHeight="1">
      <c r="A78" s="567"/>
      <c r="B78" s="207" t="s">
        <v>1160</v>
      </c>
      <c r="C78" s="207" t="s">
        <v>1079</v>
      </c>
      <c r="D78" s="207" t="s">
        <v>1080</v>
      </c>
      <c r="E78" s="207" t="s">
        <v>299</v>
      </c>
      <c r="F78" s="442" t="s">
        <v>3351</v>
      </c>
      <c r="G78" s="442" t="s">
        <v>3357</v>
      </c>
      <c r="H78" s="212" t="s">
        <v>24</v>
      </c>
      <c r="I78" s="207" t="s">
        <v>1081</v>
      </c>
      <c r="J78" s="70" t="s">
        <v>1082</v>
      </c>
      <c r="K78" s="205" t="s">
        <v>706</v>
      </c>
      <c r="L78" s="567"/>
    </row>
    <row r="79" spans="1:13" ht="13" customHeight="1">
      <c r="A79" s="567"/>
      <c r="B79" s="207" t="s">
        <v>1161</v>
      </c>
      <c r="C79" s="207" t="s">
        <v>1083</v>
      </c>
      <c r="D79" s="207" t="s">
        <v>1084</v>
      </c>
      <c r="E79" s="207" t="s">
        <v>299</v>
      </c>
      <c r="F79" s="442" t="s">
        <v>3351</v>
      </c>
      <c r="G79" s="442" t="s">
        <v>3358</v>
      </c>
      <c r="H79" s="212" t="s">
        <v>24</v>
      </c>
      <c r="I79" s="207" t="s">
        <v>350</v>
      </c>
      <c r="J79" s="70" t="s">
        <v>2956</v>
      </c>
      <c r="K79" s="205" t="s">
        <v>706</v>
      </c>
      <c r="L79" s="567"/>
    </row>
    <row r="80" spans="1:13" ht="13" customHeight="1">
      <c r="A80" s="567"/>
      <c r="B80" s="207" t="s">
        <v>1162</v>
      </c>
      <c r="C80" s="207" t="s">
        <v>1087</v>
      </c>
      <c r="D80" s="207" t="s">
        <v>1088</v>
      </c>
      <c r="E80" s="207" t="s">
        <v>299</v>
      </c>
      <c r="F80" s="442" t="s">
        <v>3364</v>
      </c>
      <c r="G80" s="442" t="s">
        <v>3364</v>
      </c>
      <c r="H80" s="212" t="s">
        <v>24</v>
      </c>
      <c r="I80" s="207" t="s">
        <v>1089</v>
      </c>
      <c r="J80" s="207" t="s">
        <v>1148</v>
      </c>
      <c r="K80" s="205" t="s">
        <v>706</v>
      </c>
      <c r="L80" s="567"/>
    </row>
    <row r="81" spans="1:13" ht="13" customHeight="1">
      <c r="A81" s="567"/>
      <c r="B81" s="207" t="s">
        <v>1163</v>
      </c>
      <c r="C81" s="207" t="s">
        <v>1092</v>
      </c>
      <c r="D81" s="207" t="s">
        <v>1093</v>
      </c>
      <c r="E81" s="207" t="s">
        <v>369</v>
      </c>
      <c r="F81" s="442" t="s">
        <v>3364</v>
      </c>
      <c r="G81" s="442" t="s">
        <v>3364</v>
      </c>
      <c r="H81" s="212" t="s">
        <v>24</v>
      </c>
      <c r="I81" s="207" t="s">
        <v>350</v>
      </c>
      <c r="J81" s="70" t="s">
        <v>1094</v>
      </c>
      <c r="K81" s="205" t="s">
        <v>706</v>
      </c>
      <c r="L81" s="567"/>
    </row>
    <row r="82" spans="1:13" ht="13" customHeight="1">
      <c r="A82" s="567"/>
      <c r="B82" s="207" t="s">
        <v>1164</v>
      </c>
      <c r="C82" s="207" t="s">
        <v>1095</v>
      </c>
      <c r="D82" s="207" t="s">
        <v>1096</v>
      </c>
      <c r="E82" s="288" t="s">
        <v>369</v>
      </c>
      <c r="F82" s="442" t="s">
        <v>3364</v>
      </c>
      <c r="G82" s="442" t="s">
        <v>3359</v>
      </c>
      <c r="H82" s="212" t="s">
        <v>24</v>
      </c>
      <c r="I82" s="207" t="s">
        <v>71</v>
      </c>
      <c r="J82" s="70" t="s">
        <v>3386</v>
      </c>
      <c r="K82" s="205" t="s">
        <v>706</v>
      </c>
      <c r="L82" s="567"/>
    </row>
    <row r="83" spans="1:13" ht="13" customHeight="1">
      <c r="A83" s="567"/>
      <c r="B83" s="392" t="s">
        <v>3371</v>
      </c>
      <c r="C83" s="207" t="s">
        <v>675</v>
      </c>
      <c r="D83" s="207" t="s">
        <v>676</v>
      </c>
      <c r="E83" s="207" t="s">
        <v>577</v>
      </c>
      <c r="F83" s="442" t="s">
        <v>3364</v>
      </c>
      <c r="G83" s="442" t="s">
        <v>3364</v>
      </c>
      <c r="H83" s="212" t="s">
        <v>24</v>
      </c>
      <c r="I83" s="207" t="s">
        <v>71</v>
      </c>
      <c r="J83" s="70" t="s">
        <v>3388</v>
      </c>
      <c r="K83" s="205" t="s">
        <v>706</v>
      </c>
      <c r="L83" s="567"/>
      <c r="M83" s="230"/>
    </row>
    <row r="84" spans="1:13" ht="13" customHeight="1">
      <c r="A84" s="567"/>
      <c r="B84" s="392" t="s">
        <v>3372</v>
      </c>
      <c r="C84" s="207" t="s">
        <v>1126</v>
      </c>
      <c r="D84" s="207" t="s">
        <v>1127</v>
      </c>
      <c r="E84" s="207" t="s">
        <v>577</v>
      </c>
      <c r="F84" s="442" t="s">
        <v>3351</v>
      </c>
      <c r="G84" s="442" t="s">
        <v>3352</v>
      </c>
      <c r="H84" s="212" t="s">
        <v>24</v>
      </c>
      <c r="I84" s="207" t="s">
        <v>806</v>
      </c>
      <c r="J84" s="392" t="s">
        <v>3370</v>
      </c>
      <c r="K84" s="205" t="s">
        <v>706</v>
      </c>
      <c r="L84" s="567"/>
    </row>
    <row r="85" spans="1:13" ht="13" customHeight="1">
      <c r="A85" s="567"/>
      <c r="B85" s="207" t="s">
        <v>1165</v>
      </c>
      <c r="C85" s="207" t="s">
        <v>1130</v>
      </c>
      <c r="D85" s="207" t="s">
        <v>1131</v>
      </c>
      <c r="E85" s="207" t="s">
        <v>577</v>
      </c>
      <c r="F85" s="442" t="s">
        <v>3351</v>
      </c>
      <c r="G85" s="442" t="s">
        <v>3353</v>
      </c>
      <c r="H85" s="212" t="s">
        <v>24</v>
      </c>
      <c r="I85" s="207" t="s">
        <v>806</v>
      </c>
      <c r="J85" s="207" t="s">
        <v>1132</v>
      </c>
      <c r="K85" s="205" t="s">
        <v>706</v>
      </c>
      <c r="L85" s="567"/>
    </row>
    <row r="86" spans="1:13" ht="13" customHeight="1">
      <c r="A86" s="567"/>
      <c r="B86" s="207" t="s">
        <v>1166</v>
      </c>
      <c r="C86" s="207" t="s">
        <v>1134</v>
      </c>
      <c r="D86" s="207" t="s">
        <v>1135</v>
      </c>
      <c r="E86" s="288" t="s">
        <v>577</v>
      </c>
      <c r="F86" s="442" t="s">
        <v>3351</v>
      </c>
      <c r="G86" s="442" t="s">
        <v>3354</v>
      </c>
      <c r="H86" s="212" t="s">
        <v>24</v>
      </c>
      <c r="I86" s="207" t="s">
        <v>806</v>
      </c>
      <c r="J86" s="70" t="s">
        <v>1136</v>
      </c>
      <c r="K86" s="205" t="s">
        <v>706</v>
      </c>
      <c r="L86" s="567"/>
    </row>
    <row r="87" spans="1:13" ht="13" customHeight="1">
      <c r="A87" s="567"/>
      <c r="B87" s="392" t="s">
        <v>3753</v>
      </c>
      <c r="C87" s="392" t="s">
        <v>3738</v>
      </c>
      <c r="D87" s="392" t="s">
        <v>3730</v>
      </c>
      <c r="E87" s="392" t="s">
        <v>577</v>
      </c>
      <c r="F87" s="467" t="s">
        <v>3727</v>
      </c>
      <c r="G87" s="467" t="s">
        <v>3724</v>
      </c>
      <c r="H87" s="467" t="s">
        <v>24</v>
      </c>
      <c r="I87" s="392" t="s">
        <v>3728</v>
      </c>
      <c r="J87" s="70" t="s">
        <v>3735</v>
      </c>
      <c r="K87" s="466"/>
      <c r="L87" s="567"/>
    </row>
    <row r="88" spans="1:13" ht="13" customHeight="1">
      <c r="A88" s="567"/>
      <c r="B88" s="392" t="s">
        <v>3752</v>
      </c>
      <c r="C88" s="392" t="s">
        <v>3739</v>
      </c>
      <c r="D88" s="392" t="s">
        <v>3740</v>
      </c>
      <c r="E88" s="392" t="s">
        <v>299</v>
      </c>
      <c r="F88" s="467" t="s">
        <v>3727</v>
      </c>
      <c r="G88" s="467" t="s">
        <v>3741</v>
      </c>
      <c r="H88" s="467" t="s">
        <v>24</v>
      </c>
      <c r="I88" s="392" t="s">
        <v>3742</v>
      </c>
      <c r="J88" s="70" t="s">
        <v>3743</v>
      </c>
      <c r="K88" s="466" t="s">
        <v>706</v>
      </c>
      <c r="L88" s="567"/>
    </row>
    <row r="89" spans="1:13" ht="13" customHeight="1">
      <c r="A89" s="567"/>
      <c r="B89" s="207" t="s">
        <v>1167</v>
      </c>
      <c r="C89" s="207" t="s">
        <v>1057</v>
      </c>
      <c r="D89" s="207" t="s">
        <v>1138</v>
      </c>
      <c r="E89" s="288" t="s">
        <v>577</v>
      </c>
      <c r="F89" s="442" t="s">
        <v>3364</v>
      </c>
      <c r="G89" s="442" t="s">
        <v>3364</v>
      </c>
      <c r="H89" s="212" t="s">
        <v>24</v>
      </c>
      <c r="I89" s="392" t="s">
        <v>2932</v>
      </c>
      <c r="J89" s="70" t="s">
        <v>1059</v>
      </c>
      <c r="K89" s="205" t="s">
        <v>706</v>
      </c>
      <c r="L89" s="567"/>
    </row>
    <row r="90" spans="1:13" ht="13" customHeight="1">
      <c r="A90" s="567"/>
      <c r="B90" s="207" t="s">
        <v>1168</v>
      </c>
      <c r="C90" s="207" t="s">
        <v>1061</v>
      </c>
      <c r="D90" s="207" t="s">
        <v>1062</v>
      </c>
      <c r="E90" s="207" t="s">
        <v>577</v>
      </c>
      <c r="F90" s="442" t="s">
        <v>3364</v>
      </c>
      <c r="G90" s="442" t="s">
        <v>3364</v>
      </c>
      <c r="H90" s="212" t="s">
        <v>24</v>
      </c>
      <c r="I90" s="207" t="s">
        <v>1063</v>
      </c>
      <c r="J90" s="207" t="s">
        <v>1140</v>
      </c>
      <c r="K90" s="205" t="s">
        <v>706</v>
      </c>
      <c r="L90" s="567"/>
    </row>
    <row r="91" spans="1:13" ht="13" customHeight="1">
      <c r="A91" s="567"/>
      <c r="B91" s="207" t="s">
        <v>1169</v>
      </c>
      <c r="C91" s="207" t="s">
        <v>1066</v>
      </c>
      <c r="D91" s="207" t="s">
        <v>1067</v>
      </c>
      <c r="E91" s="207" t="s">
        <v>577</v>
      </c>
      <c r="F91" s="442" t="s">
        <v>3351</v>
      </c>
      <c r="G91" s="442" t="s">
        <v>3355</v>
      </c>
      <c r="H91" s="212" t="s">
        <v>24</v>
      </c>
      <c r="I91" s="207" t="s">
        <v>1016</v>
      </c>
      <c r="J91" s="207" t="s">
        <v>1142</v>
      </c>
      <c r="K91" s="205" t="s">
        <v>706</v>
      </c>
      <c r="L91" s="567"/>
    </row>
    <row r="92" spans="1:13" ht="13" customHeight="1">
      <c r="A92" s="567"/>
      <c r="B92" s="207" t="s">
        <v>1170</v>
      </c>
      <c r="C92" s="207" t="s">
        <v>1070</v>
      </c>
      <c r="D92" s="207" t="s">
        <v>1071</v>
      </c>
      <c r="E92" s="207" t="s">
        <v>577</v>
      </c>
      <c r="F92" s="442" t="s">
        <v>3364</v>
      </c>
      <c r="G92" s="442" t="s">
        <v>3364</v>
      </c>
      <c r="H92" s="212" t="s">
        <v>57</v>
      </c>
      <c r="I92" s="207" t="s">
        <v>1072</v>
      </c>
      <c r="J92" s="207" t="s">
        <v>1116</v>
      </c>
      <c r="K92" s="205" t="s">
        <v>706</v>
      </c>
      <c r="L92" s="567"/>
      <c r="M92" s="230"/>
    </row>
    <row r="93" spans="1:13" ht="13" customHeight="1">
      <c r="A93" s="567"/>
      <c r="B93" s="207" t="s">
        <v>1171</v>
      </c>
      <c r="C93" s="207" t="s">
        <v>1074</v>
      </c>
      <c r="D93" s="70" t="s">
        <v>1075</v>
      </c>
      <c r="E93" s="207" t="s">
        <v>577</v>
      </c>
      <c r="F93" s="442" t="s">
        <v>3351</v>
      </c>
      <c r="G93" s="442" t="s">
        <v>3356</v>
      </c>
      <c r="H93" s="212" t="s">
        <v>24</v>
      </c>
      <c r="I93" s="207" t="s">
        <v>1076</v>
      </c>
      <c r="J93" s="70" t="s">
        <v>1077</v>
      </c>
      <c r="K93" s="205" t="s">
        <v>706</v>
      </c>
      <c r="L93" s="567"/>
    </row>
    <row r="94" spans="1:13" ht="13" customHeight="1">
      <c r="A94" s="567"/>
      <c r="B94" s="207" t="s">
        <v>1172</v>
      </c>
      <c r="C94" s="207" t="s">
        <v>1079</v>
      </c>
      <c r="D94" s="207" t="s">
        <v>1080</v>
      </c>
      <c r="E94" s="207" t="s">
        <v>577</v>
      </c>
      <c r="F94" s="442" t="s">
        <v>3351</v>
      </c>
      <c r="G94" s="442" t="s">
        <v>3357</v>
      </c>
      <c r="H94" s="212" t="s">
        <v>24</v>
      </c>
      <c r="I94" s="207" t="s">
        <v>1081</v>
      </c>
      <c r="J94" s="70" t="s">
        <v>1082</v>
      </c>
      <c r="K94" s="205" t="s">
        <v>706</v>
      </c>
      <c r="L94" s="567"/>
    </row>
    <row r="95" spans="1:13" ht="13" customHeight="1">
      <c r="A95" s="567"/>
      <c r="B95" s="207" t="s">
        <v>1173</v>
      </c>
      <c r="C95" s="207" t="s">
        <v>1083</v>
      </c>
      <c r="D95" s="207" t="s">
        <v>1084</v>
      </c>
      <c r="E95" s="207" t="s">
        <v>577</v>
      </c>
      <c r="F95" s="442" t="s">
        <v>3351</v>
      </c>
      <c r="G95" s="442" t="s">
        <v>3358</v>
      </c>
      <c r="H95" s="212" t="s">
        <v>24</v>
      </c>
      <c r="I95" s="207" t="s">
        <v>350</v>
      </c>
      <c r="J95" s="70" t="s">
        <v>2956</v>
      </c>
      <c r="K95" s="205" t="s">
        <v>706</v>
      </c>
      <c r="L95" s="567"/>
    </row>
    <row r="96" spans="1:13" ht="13" customHeight="1">
      <c r="A96" s="567"/>
      <c r="B96" s="207" t="s">
        <v>1174</v>
      </c>
      <c r="C96" s="207" t="s">
        <v>1087</v>
      </c>
      <c r="D96" s="207" t="s">
        <v>1088</v>
      </c>
      <c r="E96" s="207" t="s">
        <v>577</v>
      </c>
      <c r="F96" s="442" t="s">
        <v>3364</v>
      </c>
      <c r="G96" s="442" t="s">
        <v>3364</v>
      </c>
      <c r="H96" s="212" t="s">
        <v>24</v>
      </c>
      <c r="I96" s="207" t="s">
        <v>1089</v>
      </c>
      <c r="J96" s="207" t="s">
        <v>1148</v>
      </c>
      <c r="K96" s="205" t="s">
        <v>706</v>
      </c>
      <c r="L96" s="567"/>
    </row>
    <row r="97" spans="1:13" ht="13" customHeight="1">
      <c r="A97" s="567"/>
      <c r="B97" s="207" t="s">
        <v>1175</v>
      </c>
      <c r="C97" s="207" t="s">
        <v>1092</v>
      </c>
      <c r="D97" s="207" t="s">
        <v>1093</v>
      </c>
      <c r="E97" s="207" t="s">
        <v>369</v>
      </c>
      <c r="F97" s="442" t="s">
        <v>3364</v>
      </c>
      <c r="G97" s="442" t="s">
        <v>3364</v>
      </c>
      <c r="H97" s="212" t="s">
        <v>24</v>
      </c>
      <c r="I97" s="207" t="s">
        <v>350</v>
      </c>
      <c r="J97" s="70" t="s">
        <v>1094</v>
      </c>
      <c r="K97" s="205" t="s">
        <v>706</v>
      </c>
      <c r="L97" s="567"/>
    </row>
    <row r="98" spans="1:13" ht="13" customHeight="1">
      <c r="A98" s="578"/>
      <c r="B98" s="207" t="s">
        <v>1176</v>
      </c>
      <c r="C98" s="207" t="s">
        <v>1095</v>
      </c>
      <c r="D98" s="207" t="s">
        <v>1096</v>
      </c>
      <c r="E98" s="288" t="s">
        <v>369</v>
      </c>
      <c r="F98" s="442" t="s">
        <v>3351</v>
      </c>
      <c r="G98" s="442" t="s">
        <v>3359</v>
      </c>
      <c r="H98" s="212" t="s">
        <v>24</v>
      </c>
      <c r="I98" s="207" t="s">
        <v>71</v>
      </c>
      <c r="J98" s="70" t="s">
        <v>3389</v>
      </c>
      <c r="K98" s="205" t="s">
        <v>706</v>
      </c>
      <c r="L98" s="578"/>
    </row>
    <row r="99" spans="1:13" ht="13" customHeight="1">
      <c r="A99" s="577" t="s">
        <v>1177</v>
      </c>
      <c r="B99" s="207" t="s">
        <v>1178</v>
      </c>
      <c r="C99" s="207" t="s">
        <v>675</v>
      </c>
      <c r="D99" s="207" t="s">
        <v>676</v>
      </c>
      <c r="E99" s="207" t="s">
        <v>299</v>
      </c>
      <c r="F99" s="442" t="s">
        <v>3364</v>
      </c>
      <c r="G99" s="442" t="s">
        <v>3364</v>
      </c>
      <c r="H99" s="212" t="s">
        <v>24</v>
      </c>
      <c r="I99" s="207" t="s">
        <v>71</v>
      </c>
      <c r="J99" s="207" t="s">
        <v>1048</v>
      </c>
      <c r="K99" s="205" t="s">
        <v>706</v>
      </c>
      <c r="L99" s="577" t="s">
        <v>1179</v>
      </c>
      <c r="M99" s="230"/>
    </row>
    <row r="100" spans="1:13" ht="13" customHeight="1">
      <c r="A100" s="567"/>
      <c r="B100" s="207" t="s">
        <v>1180</v>
      </c>
      <c r="C100" s="207" t="s">
        <v>1181</v>
      </c>
      <c r="D100" s="207" t="s">
        <v>1182</v>
      </c>
      <c r="E100" s="207" t="s">
        <v>299</v>
      </c>
      <c r="F100" s="442" t="s">
        <v>3351</v>
      </c>
      <c r="G100" s="442" t="s">
        <v>3360</v>
      </c>
      <c r="H100" s="212" t="s">
        <v>24</v>
      </c>
      <c r="I100" s="207" t="s">
        <v>1183</v>
      </c>
      <c r="J100" s="70" t="s">
        <v>1184</v>
      </c>
      <c r="K100" s="205" t="s">
        <v>706</v>
      </c>
      <c r="L100" s="567"/>
    </row>
    <row r="101" spans="1:13" ht="13" customHeight="1">
      <c r="A101" s="567"/>
      <c r="B101" s="207" t="s">
        <v>1185</v>
      </c>
      <c r="C101" s="207" t="s">
        <v>1186</v>
      </c>
      <c r="D101" s="207" t="s">
        <v>1187</v>
      </c>
      <c r="E101" s="207" t="s">
        <v>299</v>
      </c>
      <c r="F101" s="442" t="s">
        <v>3351</v>
      </c>
      <c r="G101" s="442" t="s">
        <v>3360</v>
      </c>
      <c r="H101" s="212" t="s">
        <v>24</v>
      </c>
      <c r="I101" s="207" t="s">
        <v>1183</v>
      </c>
      <c r="J101" s="70" t="s">
        <v>1188</v>
      </c>
      <c r="K101" s="205" t="s">
        <v>706</v>
      </c>
      <c r="L101" s="567"/>
    </row>
    <row r="102" spans="1:13" ht="13" customHeight="1">
      <c r="A102" s="567"/>
      <c r="B102" s="207" t="s">
        <v>1189</v>
      </c>
      <c r="C102" s="207" t="s">
        <v>1190</v>
      </c>
      <c r="D102" s="207" t="s">
        <v>1191</v>
      </c>
      <c r="E102" s="207" t="s">
        <v>299</v>
      </c>
      <c r="F102" s="442" t="s">
        <v>3351</v>
      </c>
      <c r="G102" s="442" t="s">
        <v>3360</v>
      </c>
      <c r="H102" s="212" t="s">
        <v>24</v>
      </c>
      <c r="I102" s="207" t="s">
        <v>1183</v>
      </c>
      <c r="J102" s="70" t="s">
        <v>1192</v>
      </c>
      <c r="K102" s="205" t="s">
        <v>706</v>
      </c>
      <c r="L102" s="567"/>
    </row>
    <row r="103" spans="1:13" ht="13" customHeight="1">
      <c r="A103" s="567"/>
      <c r="B103" s="392" t="s">
        <v>3754</v>
      </c>
      <c r="C103" s="392" t="s">
        <v>3738</v>
      </c>
      <c r="D103" s="392" t="s">
        <v>3731</v>
      </c>
      <c r="E103" s="392" t="s">
        <v>299</v>
      </c>
      <c r="F103" s="467" t="s">
        <v>3727</v>
      </c>
      <c r="G103" s="467" t="s">
        <v>3724</v>
      </c>
      <c r="H103" s="467" t="s">
        <v>24</v>
      </c>
      <c r="I103" s="392" t="s">
        <v>3728</v>
      </c>
      <c r="J103" s="70" t="s">
        <v>3735</v>
      </c>
      <c r="K103" s="466"/>
      <c r="L103" s="567"/>
    </row>
    <row r="104" spans="1:13" ht="13" customHeight="1">
      <c r="A104" s="567"/>
      <c r="B104" s="392" t="s">
        <v>3755</v>
      </c>
      <c r="C104" s="392" t="s">
        <v>3739</v>
      </c>
      <c r="D104" s="392" t="s">
        <v>3740</v>
      </c>
      <c r="E104" s="392" t="s">
        <v>299</v>
      </c>
      <c r="F104" s="467" t="s">
        <v>3727</v>
      </c>
      <c r="G104" s="467" t="s">
        <v>3741</v>
      </c>
      <c r="H104" s="467" t="s">
        <v>24</v>
      </c>
      <c r="I104" s="392" t="s">
        <v>3742</v>
      </c>
      <c r="J104" s="70" t="s">
        <v>3743</v>
      </c>
      <c r="K104" s="466" t="s">
        <v>706</v>
      </c>
      <c r="L104" s="567"/>
    </row>
    <row r="105" spans="1:13" ht="13" customHeight="1">
      <c r="A105" s="567"/>
      <c r="B105" s="207" t="s">
        <v>1193</v>
      </c>
      <c r="C105" s="207" t="s">
        <v>1061</v>
      </c>
      <c r="D105" s="207" t="s">
        <v>1062</v>
      </c>
      <c r="E105" s="207" t="s">
        <v>299</v>
      </c>
      <c r="F105" s="442" t="s">
        <v>3364</v>
      </c>
      <c r="G105" s="442" t="s">
        <v>3364</v>
      </c>
      <c r="H105" s="212" t="s">
        <v>24</v>
      </c>
      <c r="I105" s="207" t="s">
        <v>1063</v>
      </c>
      <c r="J105" s="207" t="s">
        <v>1064</v>
      </c>
      <c r="K105" s="205" t="s">
        <v>706</v>
      </c>
      <c r="L105" s="567"/>
    </row>
    <row r="106" spans="1:13" ht="13" customHeight="1">
      <c r="A106" s="567"/>
      <c r="B106" s="207" t="s">
        <v>1194</v>
      </c>
      <c r="C106" s="207" t="s">
        <v>1066</v>
      </c>
      <c r="D106" s="207" t="s">
        <v>1067</v>
      </c>
      <c r="E106" s="207" t="s">
        <v>299</v>
      </c>
      <c r="F106" s="442" t="s">
        <v>3351</v>
      </c>
      <c r="G106" s="442" t="s">
        <v>3355</v>
      </c>
      <c r="H106" s="212" t="s">
        <v>24</v>
      </c>
      <c r="I106" s="207" t="s">
        <v>1016</v>
      </c>
      <c r="J106" s="207" t="s">
        <v>1068</v>
      </c>
      <c r="K106" s="205" t="s">
        <v>706</v>
      </c>
      <c r="L106" s="567"/>
    </row>
    <row r="107" spans="1:13" ht="13" customHeight="1">
      <c r="A107" s="567"/>
      <c r="B107" s="207" t="s">
        <v>1195</v>
      </c>
      <c r="C107" s="207" t="s">
        <v>1070</v>
      </c>
      <c r="D107" s="207" t="s">
        <v>1071</v>
      </c>
      <c r="E107" s="207" t="s">
        <v>299</v>
      </c>
      <c r="F107" s="442" t="s">
        <v>3364</v>
      </c>
      <c r="G107" s="442" t="s">
        <v>3364</v>
      </c>
      <c r="H107" s="212" t="s">
        <v>57</v>
      </c>
      <c r="I107" s="207" t="s">
        <v>1072</v>
      </c>
      <c r="J107" s="207" t="s">
        <v>1196</v>
      </c>
      <c r="K107" s="205" t="s">
        <v>706</v>
      </c>
      <c r="L107" s="567"/>
      <c r="M107" s="230"/>
    </row>
    <row r="108" spans="1:13" ht="13" customHeight="1">
      <c r="A108" s="567"/>
      <c r="B108" s="207" t="s">
        <v>1197</v>
      </c>
      <c r="C108" s="207" t="s">
        <v>1074</v>
      </c>
      <c r="D108" s="70" t="s">
        <v>1075</v>
      </c>
      <c r="E108" s="207" t="s">
        <v>299</v>
      </c>
      <c r="F108" s="442" t="s">
        <v>3351</v>
      </c>
      <c r="G108" s="442" t="s">
        <v>3356</v>
      </c>
      <c r="H108" s="212" t="s">
        <v>24</v>
      </c>
      <c r="I108" s="207" t="s">
        <v>1076</v>
      </c>
      <c r="J108" s="70" t="s">
        <v>1077</v>
      </c>
      <c r="K108" s="205" t="s">
        <v>706</v>
      </c>
      <c r="L108" s="567"/>
    </row>
    <row r="109" spans="1:13" ht="13" customHeight="1">
      <c r="A109" s="567"/>
      <c r="B109" s="207" t="s">
        <v>1198</v>
      </c>
      <c r="C109" s="207" t="s">
        <v>1057</v>
      </c>
      <c r="D109" s="207" t="s">
        <v>1199</v>
      </c>
      <c r="E109" s="207" t="s">
        <v>299</v>
      </c>
      <c r="F109" s="442" t="s">
        <v>3364</v>
      </c>
      <c r="G109" s="442" t="s">
        <v>3364</v>
      </c>
      <c r="H109" s="212" t="s">
        <v>24</v>
      </c>
      <c r="I109" s="207" t="s">
        <v>71</v>
      </c>
      <c r="J109" s="207" t="s">
        <v>1059</v>
      </c>
      <c r="K109" s="205" t="s">
        <v>706</v>
      </c>
      <c r="L109" s="567"/>
    </row>
    <row r="110" spans="1:13" ht="13" customHeight="1">
      <c r="A110" s="567"/>
      <c r="B110" s="207" t="s">
        <v>1200</v>
      </c>
      <c r="C110" s="207" t="s">
        <v>1079</v>
      </c>
      <c r="D110" s="207" t="s">
        <v>1080</v>
      </c>
      <c r="E110" s="207" t="s">
        <v>299</v>
      </c>
      <c r="F110" s="442" t="s">
        <v>3351</v>
      </c>
      <c r="G110" s="442" t="s">
        <v>3357</v>
      </c>
      <c r="H110" s="212" t="s">
        <v>24</v>
      </c>
      <c r="I110" s="207" t="s">
        <v>1081</v>
      </c>
      <c r="J110" s="207" t="s">
        <v>1201</v>
      </c>
      <c r="K110" s="205" t="s">
        <v>706</v>
      </c>
      <c r="L110" s="567"/>
    </row>
    <row r="111" spans="1:13" ht="13" customHeight="1">
      <c r="A111" s="567"/>
      <c r="B111" s="207" t="s">
        <v>1202</v>
      </c>
      <c r="C111" s="207" t="s">
        <v>1083</v>
      </c>
      <c r="D111" s="207" t="s">
        <v>1084</v>
      </c>
      <c r="E111" s="207" t="s">
        <v>299</v>
      </c>
      <c r="F111" s="442" t="s">
        <v>3351</v>
      </c>
      <c r="G111" s="442" t="s">
        <v>3358</v>
      </c>
      <c r="H111" s="212" t="s">
        <v>24</v>
      </c>
      <c r="I111" s="207" t="s">
        <v>350</v>
      </c>
      <c r="J111" s="70" t="s">
        <v>2956</v>
      </c>
      <c r="K111" s="205" t="s">
        <v>706</v>
      </c>
      <c r="L111" s="567"/>
    </row>
    <row r="112" spans="1:13" ht="13" customHeight="1">
      <c r="A112" s="567"/>
      <c r="B112" s="207" t="s">
        <v>1203</v>
      </c>
      <c r="C112" s="207" t="s">
        <v>1087</v>
      </c>
      <c r="D112" s="207" t="s">
        <v>1088</v>
      </c>
      <c r="E112" s="207" t="s">
        <v>299</v>
      </c>
      <c r="F112" s="442" t="s">
        <v>3364</v>
      </c>
      <c r="G112" s="442" t="s">
        <v>3364</v>
      </c>
      <c r="H112" s="212" t="s">
        <v>24</v>
      </c>
      <c r="I112" s="207" t="s">
        <v>1089</v>
      </c>
      <c r="J112" s="207" t="s">
        <v>1148</v>
      </c>
      <c r="K112" s="205" t="s">
        <v>706</v>
      </c>
      <c r="L112" s="567"/>
    </row>
    <row r="113" spans="1:13" ht="13" customHeight="1">
      <c r="A113" s="567"/>
      <c r="B113" s="207" t="s">
        <v>1204</v>
      </c>
      <c r="C113" s="207" t="s">
        <v>1205</v>
      </c>
      <c r="D113" s="207" t="s">
        <v>1206</v>
      </c>
      <c r="E113" s="207" t="s">
        <v>369</v>
      </c>
      <c r="F113" s="442" t="s">
        <v>3364</v>
      </c>
      <c r="G113" s="442" t="s">
        <v>3364</v>
      </c>
      <c r="H113" s="212" t="s">
        <v>24</v>
      </c>
      <c r="I113" s="207" t="s">
        <v>71</v>
      </c>
      <c r="J113" s="70" t="s">
        <v>1207</v>
      </c>
      <c r="K113" s="205" t="s">
        <v>706</v>
      </c>
      <c r="L113" s="567"/>
    </row>
    <row r="114" spans="1:13" ht="13" customHeight="1">
      <c r="A114" s="567"/>
      <c r="B114" s="207" t="s">
        <v>1208</v>
      </c>
      <c r="C114" s="207" t="s">
        <v>1092</v>
      </c>
      <c r="D114" s="207" t="s">
        <v>1093</v>
      </c>
      <c r="E114" s="207" t="s">
        <v>369</v>
      </c>
      <c r="F114" s="442" t="s">
        <v>3364</v>
      </c>
      <c r="G114" s="442" t="s">
        <v>3364</v>
      </c>
      <c r="H114" s="212" t="s">
        <v>24</v>
      </c>
      <c r="I114" s="207" t="s">
        <v>350</v>
      </c>
      <c r="J114" s="70" t="s">
        <v>1094</v>
      </c>
      <c r="K114" s="205" t="s">
        <v>706</v>
      </c>
      <c r="L114" s="567"/>
    </row>
    <row r="115" spans="1:13" ht="13" customHeight="1">
      <c r="A115" s="567"/>
      <c r="B115" s="207" t="s">
        <v>1209</v>
      </c>
      <c r="C115" s="207" t="s">
        <v>1095</v>
      </c>
      <c r="D115" s="207" t="s">
        <v>1096</v>
      </c>
      <c r="E115" s="288" t="s">
        <v>369</v>
      </c>
      <c r="F115" s="442" t="s">
        <v>3351</v>
      </c>
      <c r="G115" s="442" t="s">
        <v>3359</v>
      </c>
      <c r="H115" s="212" t="s">
        <v>24</v>
      </c>
      <c r="I115" s="207" t="s">
        <v>71</v>
      </c>
      <c r="J115" s="70" t="s">
        <v>3386</v>
      </c>
      <c r="K115" s="205" t="s">
        <v>706</v>
      </c>
      <c r="L115" s="567"/>
    </row>
    <row r="116" spans="1:13" ht="13" customHeight="1">
      <c r="A116" s="567"/>
      <c r="B116" s="207" t="s">
        <v>1210</v>
      </c>
      <c r="C116" s="207" t="s">
        <v>675</v>
      </c>
      <c r="D116" s="207" t="s">
        <v>676</v>
      </c>
      <c r="E116" s="207" t="s">
        <v>299</v>
      </c>
      <c r="F116" s="442" t="s">
        <v>3364</v>
      </c>
      <c r="G116" s="442" t="s">
        <v>3364</v>
      </c>
      <c r="H116" s="212" t="s">
        <v>24</v>
      </c>
      <c r="I116" s="207" t="s">
        <v>71</v>
      </c>
      <c r="J116" s="392" t="s">
        <v>3387</v>
      </c>
      <c r="K116" s="205" t="s">
        <v>706</v>
      </c>
      <c r="L116" s="567"/>
      <c r="M116" s="230"/>
    </row>
    <row r="117" spans="1:13" ht="13" customHeight="1">
      <c r="A117" s="567"/>
      <c r="B117" s="207" t="s">
        <v>1211</v>
      </c>
      <c r="C117" s="207" t="s">
        <v>1181</v>
      </c>
      <c r="D117" s="207" t="s">
        <v>1182</v>
      </c>
      <c r="E117" s="207" t="s">
        <v>299</v>
      </c>
      <c r="F117" s="442" t="s">
        <v>3351</v>
      </c>
      <c r="G117" s="442" t="s">
        <v>3360</v>
      </c>
      <c r="H117" s="212" t="s">
        <v>24</v>
      </c>
      <c r="I117" s="207" t="s">
        <v>1183</v>
      </c>
      <c r="J117" s="70" t="s">
        <v>1184</v>
      </c>
      <c r="K117" s="205" t="s">
        <v>706</v>
      </c>
      <c r="L117" s="567"/>
    </row>
    <row r="118" spans="1:13" ht="13" customHeight="1">
      <c r="A118" s="567"/>
      <c r="B118" s="207" t="s">
        <v>1212</v>
      </c>
      <c r="C118" s="207" t="s">
        <v>1186</v>
      </c>
      <c r="D118" s="207" t="s">
        <v>1187</v>
      </c>
      <c r="E118" s="207" t="s">
        <v>299</v>
      </c>
      <c r="F118" s="442" t="s">
        <v>3351</v>
      </c>
      <c r="G118" s="442" t="s">
        <v>3360</v>
      </c>
      <c r="H118" s="212" t="s">
        <v>24</v>
      </c>
      <c r="I118" s="207" t="s">
        <v>1183</v>
      </c>
      <c r="J118" s="70" t="s">
        <v>1188</v>
      </c>
      <c r="K118" s="205" t="s">
        <v>706</v>
      </c>
      <c r="L118" s="567"/>
    </row>
    <row r="119" spans="1:13" ht="13" customHeight="1">
      <c r="A119" s="567"/>
      <c r="B119" s="207" t="s">
        <v>1213</v>
      </c>
      <c r="C119" s="207" t="s">
        <v>1190</v>
      </c>
      <c r="D119" s="207" t="s">
        <v>1191</v>
      </c>
      <c r="E119" s="207" t="s">
        <v>299</v>
      </c>
      <c r="F119" s="442" t="s">
        <v>3351</v>
      </c>
      <c r="G119" s="442" t="s">
        <v>3360</v>
      </c>
      <c r="H119" s="212" t="s">
        <v>24</v>
      </c>
      <c r="I119" s="207" t="s">
        <v>1183</v>
      </c>
      <c r="J119" s="70" t="s">
        <v>1192</v>
      </c>
      <c r="K119" s="205" t="s">
        <v>706</v>
      </c>
      <c r="L119" s="567"/>
    </row>
    <row r="120" spans="1:13" ht="13" customHeight="1">
      <c r="A120" s="567"/>
      <c r="B120" s="392" t="s">
        <v>3756</v>
      </c>
      <c r="C120" s="392" t="s">
        <v>3738</v>
      </c>
      <c r="D120" s="392" t="s">
        <v>3731</v>
      </c>
      <c r="E120" s="392" t="s">
        <v>299</v>
      </c>
      <c r="F120" s="467" t="s">
        <v>3727</v>
      </c>
      <c r="G120" s="467" t="s">
        <v>3724</v>
      </c>
      <c r="H120" s="467" t="s">
        <v>24</v>
      </c>
      <c r="I120" s="392" t="s">
        <v>3728</v>
      </c>
      <c r="J120" s="70" t="s">
        <v>3735</v>
      </c>
      <c r="K120" s="466"/>
      <c r="L120" s="567"/>
    </row>
    <row r="121" spans="1:13" ht="13" customHeight="1">
      <c r="A121" s="567"/>
      <c r="B121" s="392" t="s">
        <v>3757</v>
      </c>
      <c r="C121" s="392" t="s">
        <v>3739</v>
      </c>
      <c r="D121" s="392" t="s">
        <v>3740</v>
      </c>
      <c r="E121" s="392" t="s">
        <v>299</v>
      </c>
      <c r="F121" s="467" t="s">
        <v>3727</v>
      </c>
      <c r="G121" s="467" t="s">
        <v>3741</v>
      </c>
      <c r="H121" s="467" t="s">
        <v>24</v>
      </c>
      <c r="I121" s="392" t="s">
        <v>3742</v>
      </c>
      <c r="J121" s="70" t="s">
        <v>3743</v>
      </c>
      <c r="K121" s="466" t="s">
        <v>706</v>
      </c>
      <c r="L121" s="567"/>
    </row>
    <row r="122" spans="1:13" ht="13" customHeight="1">
      <c r="A122" s="567"/>
      <c r="B122" s="207" t="s">
        <v>1214</v>
      </c>
      <c r="C122" s="207" t="s">
        <v>1061</v>
      </c>
      <c r="D122" s="207" t="s">
        <v>1062</v>
      </c>
      <c r="E122" s="207" t="s">
        <v>299</v>
      </c>
      <c r="F122" s="442" t="s">
        <v>3364</v>
      </c>
      <c r="G122" s="442" t="s">
        <v>3364</v>
      </c>
      <c r="H122" s="212" t="s">
        <v>24</v>
      </c>
      <c r="I122" s="207" t="s">
        <v>1063</v>
      </c>
      <c r="J122" s="207" t="s">
        <v>1064</v>
      </c>
      <c r="K122" s="205" t="s">
        <v>706</v>
      </c>
      <c r="L122" s="567"/>
    </row>
    <row r="123" spans="1:13" ht="13" customHeight="1">
      <c r="A123" s="567"/>
      <c r="B123" s="207" t="s">
        <v>1215</v>
      </c>
      <c r="C123" s="207" t="s">
        <v>1066</v>
      </c>
      <c r="D123" s="207" t="s">
        <v>1067</v>
      </c>
      <c r="E123" s="207" t="s">
        <v>299</v>
      </c>
      <c r="F123" s="442" t="s">
        <v>3351</v>
      </c>
      <c r="G123" s="442" t="s">
        <v>3355</v>
      </c>
      <c r="H123" s="212" t="s">
        <v>24</v>
      </c>
      <c r="I123" s="207" t="s">
        <v>1016</v>
      </c>
      <c r="J123" s="207" t="s">
        <v>1068</v>
      </c>
      <c r="K123" s="205" t="s">
        <v>706</v>
      </c>
      <c r="L123" s="567"/>
    </row>
    <row r="124" spans="1:13" ht="13" customHeight="1">
      <c r="A124" s="567"/>
      <c r="B124" s="207" t="s">
        <v>1216</v>
      </c>
      <c r="C124" s="207" t="s">
        <v>1070</v>
      </c>
      <c r="D124" s="207" t="s">
        <v>1071</v>
      </c>
      <c r="E124" s="207" t="s">
        <v>299</v>
      </c>
      <c r="F124" s="442" t="s">
        <v>3364</v>
      </c>
      <c r="G124" s="442" t="s">
        <v>3364</v>
      </c>
      <c r="H124" s="212" t="s">
        <v>57</v>
      </c>
      <c r="I124" s="207" t="s">
        <v>1072</v>
      </c>
      <c r="J124" s="207" t="s">
        <v>1217</v>
      </c>
      <c r="K124" s="205" t="s">
        <v>706</v>
      </c>
      <c r="L124" s="567"/>
      <c r="M124" s="230"/>
    </row>
    <row r="125" spans="1:13" ht="13" customHeight="1">
      <c r="A125" s="567"/>
      <c r="B125" s="207" t="s">
        <v>1218</v>
      </c>
      <c r="C125" s="207" t="s">
        <v>1074</v>
      </c>
      <c r="D125" s="70" t="s">
        <v>1075</v>
      </c>
      <c r="E125" s="207" t="s">
        <v>299</v>
      </c>
      <c r="F125" s="442" t="s">
        <v>3351</v>
      </c>
      <c r="G125" s="442" t="s">
        <v>3356</v>
      </c>
      <c r="H125" s="212" t="s">
        <v>24</v>
      </c>
      <c r="I125" s="207" t="s">
        <v>1076</v>
      </c>
      <c r="J125" s="70" t="s">
        <v>1077</v>
      </c>
      <c r="K125" s="205" t="s">
        <v>706</v>
      </c>
      <c r="L125" s="567"/>
    </row>
    <row r="126" spans="1:13" ht="13" customHeight="1">
      <c r="A126" s="567"/>
      <c r="B126" s="207" t="s">
        <v>1219</v>
      </c>
      <c r="C126" s="207" t="s">
        <v>1057</v>
      </c>
      <c r="D126" s="207" t="s">
        <v>1199</v>
      </c>
      <c r="E126" s="207" t="s">
        <v>299</v>
      </c>
      <c r="F126" s="442" t="s">
        <v>3364</v>
      </c>
      <c r="G126" s="442" t="s">
        <v>3364</v>
      </c>
      <c r="H126" s="212" t="s">
        <v>24</v>
      </c>
      <c r="I126" s="207" t="s">
        <v>71</v>
      </c>
      <c r="J126" s="207" t="s">
        <v>1059</v>
      </c>
      <c r="K126" s="205" t="s">
        <v>706</v>
      </c>
      <c r="L126" s="567"/>
    </row>
    <row r="127" spans="1:13" ht="13" customHeight="1">
      <c r="A127" s="567"/>
      <c r="B127" s="207" t="s">
        <v>1220</v>
      </c>
      <c r="C127" s="207" t="s">
        <v>1079</v>
      </c>
      <c r="D127" s="207" t="s">
        <v>1080</v>
      </c>
      <c r="E127" s="207" t="s">
        <v>299</v>
      </c>
      <c r="F127" s="442" t="s">
        <v>3351</v>
      </c>
      <c r="G127" s="442" t="s">
        <v>3357</v>
      </c>
      <c r="H127" s="212" t="s">
        <v>24</v>
      </c>
      <c r="I127" s="207" t="s">
        <v>1081</v>
      </c>
      <c r="J127" s="207" t="s">
        <v>1201</v>
      </c>
      <c r="K127" s="205" t="s">
        <v>706</v>
      </c>
      <c r="L127" s="567"/>
    </row>
    <row r="128" spans="1:13" ht="13" customHeight="1">
      <c r="A128" s="567"/>
      <c r="B128" s="207" t="s">
        <v>1221</v>
      </c>
      <c r="C128" s="207" t="s">
        <v>1083</v>
      </c>
      <c r="D128" s="207" t="s">
        <v>1084</v>
      </c>
      <c r="E128" s="207" t="s">
        <v>299</v>
      </c>
      <c r="F128" s="442" t="s">
        <v>3351</v>
      </c>
      <c r="G128" s="442" t="s">
        <v>3358</v>
      </c>
      <c r="H128" s="212" t="s">
        <v>24</v>
      </c>
      <c r="I128" s="207" t="s">
        <v>350</v>
      </c>
      <c r="J128" s="70" t="s">
        <v>2956</v>
      </c>
      <c r="K128" s="205" t="s">
        <v>706</v>
      </c>
      <c r="L128" s="567"/>
    </row>
    <row r="129" spans="1:13" ht="13" customHeight="1">
      <c r="A129" s="567"/>
      <c r="B129" s="207" t="s">
        <v>1222</v>
      </c>
      <c r="C129" s="207" t="s">
        <v>1087</v>
      </c>
      <c r="D129" s="207" t="s">
        <v>1088</v>
      </c>
      <c r="E129" s="207" t="s">
        <v>299</v>
      </c>
      <c r="F129" s="442" t="s">
        <v>3364</v>
      </c>
      <c r="G129" s="442" t="s">
        <v>3364</v>
      </c>
      <c r="H129" s="212" t="s">
        <v>24</v>
      </c>
      <c r="I129" s="207" t="s">
        <v>1089</v>
      </c>
      <c r="J129" s="207" t="s">
        <v>1148</v>
      </c>
      <c r="K129" s="205" t="s">
        <v>706</v>
      </c>
      <c r="L129" s="567"/>
    </row>
    <row r="130" spans="1:13" ht="13" customHeight="1">
      <c r="A130" s="567"/>
      <c r="B130" s="207" t="s">
        <v>1223</v>
      </c>
      <c r="C130" s="207" t="s">
        <v>1205</v>
      </c>
      <c r="D130" s="207" t="s">
        <v>1206</v>
      </c>
      <c r="E130" s="207" t="s">
        <v>369</v>
      </c>
      <c r="F130" s="442" t="s">
        <v>3364</v>
      </c>
      <c r="G130" s="442" t="s">
        <v>3364</v>
      </c>
      <c r="H130" s="212" t="s">
        <v>24</v>
      </c>
      <c r="I130" s="207" t="s">
        <v>71</v>
      </c>
      <c r="J130" s="70" t="s">
        <v>1207</v>
      </c>
      <c r="K130" s="205" t="s">
        <v>706</v>
      </c>
      <c r="L130" s="567"/>
    </row>
    <row r="131" spans="1:13" ht="13" customHeight="1">
      <c r="A131" s="567"/>
      <c r="B131" s="207" t="s">
        <v>1224</v>
      </c>
      <c r="C131" s="207" t="s">
        <v>1092</v>
      </c>
      <c r="D131" s="207" t="s">
        <v>1093</v>
      </c>
      <c r="E131" s="207" t="s">
        <v>369</v>
      </c>
      <c r="F131" s="442" t="s">
        <v>3364</v>
      </c>
      <c r="G131" s="442" t="s">
        <v>3364</v>
      </c>
      <c r="H131" s="212" t="s">
        <v>24</v>
      </c>
      <c r="I131" s="207" t="s">
        <v>350</v>
      </c>
      <c r="J131" s="70" t="s">
        <v>1094</v>
      </c>
      <c r="K131" s="205" t="s">
        <v>706</v>
      </c>
      <c r="L131" s="567"/>
    </row>
    <row r="132" spans="1:13" ht="13" customHeight="1">
      <c r="A132" s="567"/>
      <c r="B132" s="207" t="s">
        <v>1225</v>
      </c>
      <c r="C132" s="207" t="s">
        <v>1095</v>
      </c>
      <c r="D132" s="207" t="s">
        <v>1096</v>
      </c>
      <c r="E132" s="288" t="s">
        <v>369</v>
      </c>
      <c r="F132" s="442" t="s">
        <v>3351</v>
      </c>
      <c r="G132" s="442" t="s">
        <v>3359</v>
      </c>
      <c r="H132" s="212" t="s">
        <v>24</v>
      </c>
      <c r="I132" s="207" t="s">
        <v>71</v>
      </c>
      <c r="J132" s="70" t="s">
        <v>3386</v>
      </c>
      <c r="K132" s="205" t="s">
        <v>706</v>
      </c>
      <c r="L132" s="567"/>
    </row>
    <row r="133" spans="1:13" ht="13" customHeight="1">
      <c r="A133" s="567"/>
      <c r="B133" s="207" t="s">
        <v>1226</v>
      </c>
      <c r="C133" s="207" t="s">
        <v>675</v>
      </c>
      <c r="D133" s="207" t="s">
        <v>676</v>
      </c>
      <c r="E133" s="207" t="s">
        <v>577</v>
      </c>
      <c r="F133" s="442" t="s">
        <v>3364</v>
      </c>
      <c r="G133" s="442" t="s">
        <v>3364</v>
      </c>
      <c r="H133" s="212" t="s">
        <v>24</v>
      </c>
      <c r="I133" s="207" t="s">
        <v>71</v>
      </c>
      <c r="J133" s="392" t="s">
        <v>3387</v>
      </c>
      <c r="K133" s="205" t="s">
        <v>706</v>
      </c>
      <c r="L133" s="567"/>
      <c r="M133" s="230"/>
    </row>
    <row r="134" spans="1:13" ht="13" customHeight="1">
      <c r="A134" s="567"/>
      <c r="B134" s="392" t="s">
        <v>3713</v>
      </c>
      <c r="C134" s="207" t="s">
        <v>1181</v>
      </c>
      <c r="D134" s="207" t="s">
        <v>1182</v>
      </c>
      <c r="E134" s="207" t="s">
        <v>299</v>
      </c>
      <c r="F134" s="442" t="s">
        <v>3351</v>
      </c>
      <c r="G134" s="442" t="s">
        <v>3360</v>
      </c>
      <c r="H134" s="212" t="s">
        <v>24</v>
      </c>
      <c r="I134" s="207" t="s">
        <v>1183</v>
      </c>
      <c r="J134" s="70" t="s">
        <v>1184</v>
      </c>
      <c r="K134" s="205" t="s">
        <v>706</v>
      </c>
      <c r="L134" s="567"/>
    </row>
    <row r="135" spans="1:13" ht="13" customHeight="1">
      <c r="A135" s="567"/>
      <c r="B135" s="207" t="s">
        <v>1227</v>
      </c>
      <c r="C135" s="207" t="s">
        <v>1186</v>
      </c>
      <c r="D135" s="207" t="s">
        <v>1187</v>
      </c>
      <c r="E135" s="207" t="s">
        <v>299</v>
      </c>
      <c r="F135" s="442" t="s">
        <v>3351</v>
      </c>
      <c r="G135" s="442" t="s">
        <v>3360</v>
      </c>
      <c r="H135" s="212" t="s">
        <v>24</v>
      </c>
      <c r="I135" s="207" t="s">
        <v>1183</v>
      </c>
      <c r="J135" s="70" t="s">
        <v>1188</v>
      </c>
      <c r="K135" s="205" t="s">
        <v>706</v>
      </c>
      <c r="L135" s="567"/>
    </row>
    <row r="136" spans="1:13" ht="13" customHeight="1">
      <c r="A136" s="567"/>
      <c r="B136" s="392" t="s">
        <v>3714</v>
      </c>
      <c r="C136" s="207" t="s">
        <v>1190</v>
      </c>
      <c r="D136" s="207" t="s">
        <v>1191</v>
      </c>
      <c r="E136" s="207" t="s">
        <v>299</v>
      </c>
      <c r="F136" s="442" t="s">
        <v>3351</v>
      </c>
      <c r="G136" s="442" t="s">
        <v>3360</v>
      </c>
      <c r="H136" s="212" t="s">
        <v>24</v>
      </c>
      <c r="I136" s="207" t="s">
        <v>1183</v>
      </c>
      <c r="J136" s="70" t="s">
        <v>1192</v>
      </c>
      <c r="K136" s="205" t="s">
        <v>706</v>
      </c>
      <c r="L136" s="567"/>
    </row>
    <row r="137" spans="1:13" ht="13" customHeight="1">
      <c r="A137" s="567"/>
      <c r="B137" s="392" t="s">
        <v>3759</v>
      </c>
      <c r="C137" s="392" t="s">
        <v>3738</v>
      </c>
      <c r="D137" s="392" t="s">
        <v>3731</v>
      </c>
      <c r="E137" s="392" t="s">
        <v>299</v>
      </c>
      <c r="F137" s="467" t="s">
        <v>3727</v>
      </c>
      <c r="G137" s="467" t="s">
        <v>3724</v>
      </c>
      <c r="H137" s="467" t="s">
        <v>24</v>
      </c>
      <c r="I137" s="392" t="s">
        <v>3728</v>
      </c>
      <c r="J137" s="70" t="s">
        <v>3735</v>
      </c>
      <c r="K137" s="466"/>
      <c r="L137" s="567"/>
    </row>
    <row r="138" spans="1:13" ht="13" customHeight="1">
      <c r="A138" s="567"/>
      <c r="B138" s="392" t="s">
        <v>3758</v>
      </c>
      <c r="C138" s="392" t="s">
        <v>3739</v>
      </c>
      <c r="D138" s="392" t="s">
        <v>3740</v>
      </c>
      <c r="E138" s="392" t="s">
        <v>299</v>
      </c>
      <c r="F138" s="467" t="s">
        <v>3727</v>
      </c>
      <c r="G138" s="467" t="s">
        <v>3741</v>
      </c>
      <c r="H138" s="467" t="s">
        <v>24</v>
      </c>
      <c r="I138" s="392" t="s">
        <v>3742</v>
      </c>
      <c r="J138" s="70" t="s">
        <v>3743</v>
      </c>
      <c r="K138" s="466" t="s">
        <v>706</v>
      </c>
      <c r="L138" s="567"/>
    </row>
    <row r="139" spans="1:13" ht="13" customHeight="1">
      <c r="A139" s="567"/>
      <c r="B139" s="207" t="s">
        <v>1228</v>
      </c>
      <c r="C139" s="207" t="s">
        <v>1061</v>
      </c>
      <c r="D139" s="207" t="s">
        <v>1062</v>
      </c>
      <c r="E139" s="207" t="s">
        <v>577</v>
      </c>
      <c r="F139" s="442" t="s">
        <v>3364</v>
      </c>
      <c r="G139" s="442" t="s">
        <v>3364</v>
      </c>
      <c r="H139" s="212" t="s">
        <v>24</v>
      </c>
      <c r="I139" s="207" t="s">
        <v>1063</v>
      </c>
      <c r="J139" s="207" t="s">
        <v>1064</v>
      </c>
      <c r="K139" s="205" t="s">
        <v>706</v>
      </c>
      <c r="L139" s="567"/>
    </row>
    <row r="140" spans="1:13" ht="13" customHeight="1">
      <c r="A140" s="567"/>
      <c r="B140" s="207" t="s">
        <v>1229</v>
      </c>
      <c r="C140" s="207" t="s">
        <v>1066</v>
      </c>
      <c r="D140" s="207" t="s">
        <v>1067</v>
      </c>
      <c r="E140" s="207" t="s">
        <v>577</v>
      </c>
      <c r="F140" s="442" t="s">
        <v>3351</v>
      </c>
      <c r="G140" s="442" t="s">
        <v>3355</v>
      </c>
      <c r="H140" s="212" t="s">
        <v>24</v>
      </c>
      <c r="I140" s="207" t="s">
        <v>1016</v>
      </c>
      <c r="J140" s="207" t="s">
        <v>1068</v>
      </c>
      <c r="K140" s="205" t="s">
        <v>706</v>
      </c>
      <c r="L140" s="567"/>
    </row>
    <row r="141" spans="1:13" ht="13" customHeight="1">
      <c r="A141" s="567"/>
      <c r="B141" s="207" t="s">
        <v>1230</v>
      </c>
      <c r="C141" s="207" t="s">
        <v>1070</v>
      </c>
      <c r="D141" s="207" t="s">
        <v>1071</v>
      </c>
      <c r="E141" s="207" t="s">
        <v>577</v>
      </c>
      <c r="F141" s="442" t="s">
        <v>3364</v>
      </c>
      <c r="G141" s="442" t="s">
        <v>3364</v>
      </c>
      <c r="H141" s="212" t="s">
        <v>57</v>
      </c>
      <c r="I141" s="207" t="s">
        <v>1072</v>
      </c>
      <c r="J141" s="207" t="s">
        <v>1116</v>
      </c>
      <c r="K141" s="205" t="s">
        <v>706</v>
      </c>
      <c r="L141" s="567"/>
      <c r="M141" s="230"/>
    </row>
    <row r="142" spans="1:13" ht="13" customHeight="1">
      <c r="A142" s="567"/>
      <c r="B142" s="207" t="s">
        <v>1231</v>
      </c>
      <c r="C142" s="207" t="s">
        <v>1074</v>
      </c>
      <c r="D142" s="70" t="s">
        <v>1075</v>
      </c>
      <c r="E142" s="207" t="s">
        <v>577</v>
      </c>
      <c r="F142" s="442" t="s">
        <v>3351</v>
      </c>
      <c r="G142" s="442" t="s">
        <v>3356</v>
      </c>
      <c r="H142" s="212" t="s">
        <v>24</v>
      </c>
      <c r="I142" s="207" t="s">
        <v>1076</v>
      </c>
      <c r="J142" s="70" t="s">
        <v>1077</v>
      </c>
      <c r="K142" s="205" t="s">
        <v>706</v>
      </c>
      <c r="L142" s="567"/>
    </row>
    <row r="143" spans="1:13" ht="13" customHeight="1">
      <c r="A143" s="567"/>
      <c r="B143" s="207" t="s">
        <v>1232</v>
      </c>
      <c r="C143" s="207" t="s">
        <v>1057</v>
      </c>
      <c r="D143" s="207" t="s">
        <v>1199</v>
      </c>
      <c r="E143" s="207" t="s">
        <v>577</v>
      </c>
      <c r="F143" s="442" t="s">
        <v>3364</v>
      </c>
      <c r="G143" s="442" t="s">
        <v>3364</v>
      </c>
      <c r="H143" s="212" t="s">
        <v>24</v>
      </c>
      <c r="I143" s="207" t="s">
        <v>71</v>
      </c>
      <c r="J143" s="207" t="s">
        <v>1059</v>
      </c>
      <c r="K143" s="205" t="s">
        <v>706</v>
      </c>
      <c r="L143" s="567"/>
    </row>
    <row r="144" spans="1:13" ht="13" customHeight="1">
      <c r="A144" s="567"/>
      <c r="B144" s="207" t="s">
        <v>1233</v>
      </c>
      <c r="C144" s="207" t="s">
        <v>1079</v>
      </c>
      <c r="D144" s="207" t="s">
        <v>1080</v>
      </c>
      <c r="E144" s="207" t="s">
        <v>577</v>
      </c>
      <c r="F144" s="442" t="s">
        <v>3351</v>
      </c>
      <c r="G144" s="442" t="s">
        <v>3357</v>
      </c>
      <c r="H144" s="212" t="s">
        <v>24</v>
      </c>
      <c r="I144" s="207" t="s">
        <v>1081</v>
      </c>
      <c r="J144" s="207" t="s">
        <v>1201</v>
      </c>
      <c r="K144" s="205" t="s">
        <v>706</v>
      </c>
      <c r="L144" s="567"/>
    </row>
    <row r="145" spans="1:13" ht="13" customHeight="1">
      <c r="A145" s="567"/>
      <c r="B145" s="207" t="s">
        <v>1234</v>
      </c>
      <c r="C145" s="207" t="s">
        <v>1083</v>
      </c>
      <c r="D145" s="207" t="s">
        <v>1084</v>
      </c>
      <c r="E145" s="207" t="s">
        <v>577</v>
      </c>
      <c r="F145" s="442" t="s">
        <v>3351</v>
      </c>
      <c r="G145" s="442" t="s">
        <v>3358</v>
      </c>
      <c r="H145" s="212" t="s">
        <v>24</v>
      </c>
      <c r="I145" s="207" t="s">
        <v>350</v>
      </c>
      <c r="J145" s="70" t="s">
        <v>2956</v>
      </c>
      <c r="K145" s="205" t="s">
        <v>706</v>
      </c>
      <c r="L145" s="567"/>
    </row>
    <row r="146" spans="1:13" ht="13" customHeight="1">
      <c r="A146" s="567"/>
      <c r="B146" s="207" t="s">
        <v>1235</v>
      </c>
      <c r="C146" s="207" t="s">
        <v>1087</v>
      </c>
      <c r="D146" s="207" t="s">
        <v>1088</v>
      </c>
      <c r="E146" s="207" t="s">
        <v>577</v>
      </c>
      <c r="F146" s="442" t="s">
        <v>3364</v>
      </c>
      <c r="G146" s="442" t="s">
        <v>3364</v>
      </c>
      <c r="H146" s="212" t="s">
        <v>24</v>
      </c>
      <c r="I146" s="207" t="s">
        <v>1089</v>
      </c>
      <c r="J146" s="207" t="s">
        <v>1148</v>
      </c>
      <c r="K146" s="205" t="s">
        <v>706</v>
      </c>
      <c r="L146" s="567"/>
    </row>
    <row r="147" spans="1:13" ht="13" customHeight="1">
      <c r="A147" s="567"/>
      <c r="B147" s="207" t="s">
        <v>1236</v>
      </c>
      <c r="C147" s="207" t="s">
        <v>1205</v>
      </c>
      <c r="D147" s="207" t="s">
        <v>1206</v>
      </c>
      <c r="E147" s="207" t="s">
        <v>369</v>
      </c>
      <c r="F147" s="442" t="s">
        <v>3364</v>
      </c>
      <c r="G147" s="442" t="s">
        <v>3364</v>
      </c>
      <c r="H147" s="212" t="s">
        <v>24</v>
      </c>
      <c r="I147" s="207" t="s">
        <v>71</v>
      </c>
      <c r="J147" s="70" t="s">
        <v>1207</v>
      </c>
      <c r="K147" s="205" t="s">
        <v>706</v>
      </c>
      <c r="L147" s="567"/>
    </row>
    <row r="148" spans="1:13" ht="13" customHeight="1">
      <c r="A148" s="567"/>
      <c r="B148" s="207" t="s">
        <v>1237</v>
      </c>
      <c r="C148" s="207" t="s">
        <v>1092</v>
      </c>
      <c r="D148" s="207" t="s">
        <v>1093</v>
      </c>
      <c r="E148" s="207" t="s">
        <v>369</v>
      </c>
      <c r="F148" s="442" t="s">
        <v>3364</v>
      </c>
      <c r="G148" s="442" t="s">
        <v>3364</v>
      </c>
      <c r="H148" s="212" t="s">
        <v>24</v>
      </c>
      <c r="I148" s="207" t="s">
        <v>350</v>
      </c>
      <c r="J148" s="70" t="s">
        <v>1094</v>
      </c>
      <c r="K148" s="205" t="s">
        <v>706</v>
      </c>
      <c r="L148" s="567"/>
    </row>
    <row r="149" spans="1:13" ht="13" customHeight="1">
      <c r="A149" s="578"/>
      <c r="B149" s="392" t="s">
        <v>3570</v>
      </c>
      <c r="C149" s="207" t="s">
        <v>1095</v>
      </c>
      <c r="D149" s="207" t="s">
        <v>1096</v>
      </c>
      <c r="E149" s="288" t="s">
        <v>369</v>
      </c>
      <c r="F149" s="442" t="s">
        <v>3351</v>
      </c>
      <c r="G149" s="442" t="s">
        <v>3359</v>
      </c>
      <c r="H149" s="212" t="s">
        <v>24</v>
      </c>
      <c r="I149" s="207" t="s">
        <v>71</v>
      </c>
      <c r="J149" s="70" t="s">
        <v>3386</v>
      </c>
      <c r="K149" s="205" t="s">
        <v>706</v>
      </c>
      <c r="L149" s="578"/>
    </row>
    <row r="150" spans="1:13" ht="13" customHeight="1">
      <c r="A150" s="577" t="s">
        <v>1238</v>
      </c>
      <c r="B150" s="207" t="s">
        <v>1239</v>
      </c>
      <c r="C150" s="207" t="s">
        <v>675</v>
      </c>
      <c r="D150" s="207" t="s">
        <v>676</v>
      </c>
      <c r="E150" s="207" t="s">
        <v>299</v>
      </c>
      <c r="F150" s="442" t="s">
        <v>3364</v>
      </c>
      <c r="G150" s="442" t="s">
        <v>3364</v>
      </c>
      <c r="H150" s="212" t="s">
        <v>24</v>
      </c>
      <c r="I150" s="207" t="s">
        <v>71</v>
      </c>
      <c r="J150" s="392" t="s">
        <v>3387</v>
      </c>
      <c r="K150" s="205" t="s">
        <v>706</v>
      </c>
      <c r="L150" s="577" t="s">
        <v>1240</v>
      </c>
      <c r="M150" s="230"/>
    </row>
    <row r="151" spans="1:13" ht="13" customHeight="1">
      <c r="A151" s="567"/>
      <c r="B151" s="207" t="s">
        <v>1241</v>
      </c>
      <c r="C151" s="207" t="s">
        <v>1242</v>
      </c>
      <c r="D151" s="207" t="s">
        <v>1243</v>
      </c>
      <c r="E151" s="207" t="s">
        <v>299</v>
      </c>
      <c r="F151" s="442" t="s">
        <v>3351</v>
      </c>
      <c r="G151" s="442" t="s">
        <v>3352</v>
      </c>
      <c r="H151" s="212" t="s">
        <v>24</v>
      </c>
      <c r="I151" s="207" t="s">
        <v>806</v>
      </c>
      <c r="J151" s="207" t="s">
        <v>1244</v>
      </c>
      <c r="K151" s="205" t="s">
        <v>706</v>
      </c>
      <c r="L151" s="567"/>
    </row>
    <row r="152" spans="1:13" ht="13" customHeight="1">
      <c r="A152" s="567"/>
      <c r="B152" s="207" t="s">
        <v>1245</v>
      </c>
      <c r="C152" s="207" t="s">
        <v>1246</v>
      </c>
      <c r="D152" s="207" t="s">
        <v>1247</v>
      </c>
      <c r="E152" s="207" t="s">
        <v>299</v>
      </c>
      <c r="F152" s="442" t="s">
        <v>3351</v>
      </c>
      <c r="G152" s="442" t="s">
        <v>3353</v>
      </c>
      <c r="H152" s="212" t="s">
        <v>24</v>
      </c>
      <c r="I152" s="207" t="s">
        <v>806</v>
      </c>
      <c r="J152" s="207" t="s">
        <v>1248</v>
      </c>
      <c r="K152" s="205" t="s">
        <v>706</v>
      </c>
      <c r="L152" s="567"/>
    </row>
    <row r="153" spans="1:13" ht="13" customHeight="1">
      <c r="A153" s="567"/>
      <c r="B153" s="207" t="s">
        <v>1249</v>
      </c>
      <c r="C153" s="207" t="s">
        <v>1250</v>
      </c>
      <c r="D153" s="207" t="s">
        <v>1251</v>
      </c>
      <c r="E153" s="207" t="s">
        <v>299</v>
      </c>
      <c r="F153" s="442" t="s">
        <v>3351</v>
      </c>
      <c r="G153" s="442" t="s">
        <v>3354</v>
      </c>
      <c r="H153" s="212" t="s">
        <v>24</v>
      </c>
      <c r="I153" s="207" t="s">
        <v>806</v>
      </c>
      <c r="J153" s="207" t="s">
        <v>1252</v>
      </c>
      <c r="K153" s="205" t="s">
        <v>706</v>
      </c>
      <c r="L153" s="567"/>
    </row>
    <row r="154" spans="1:13" ht="13" customHeight="1">
      <c r="A154" s="567"/>
      <c r="B154" s="392" t="s">
        <v>3761</v>
      </c>
      <c r="C154" s="392" t="s">
        <v>3738</v>
      </c>
      <c r="D154" s="392" t="s">
        <v>3732</v>
      </c>
      <c r="E154" s="392" t="s">
        <v>299</v>
      </c>
      <c r="F154" s="467" t="s">
        <v>3727</v>
      </c>
      <c r="G154" s="467" t="s">
        <v>3724</v>
      </c>
      <c r="H154" s="467" t="s">
        <v>24</v>
      </c>
      <c r="I154" s="392" t="s">
        <v>3728</v>
      </c>
      <c r="J154" s="70" t="s">
        <v>3735</v>
      </c>
      <c r="K154" s="466"/>
      <c r="L154" s="567"/>
    </row>
    <row r="155" spans="1:13" ht="13" customHeight="1">
      <c r="A155" s="567"/>
      <c r="B155" s="392" t="s">
        <v>3760</v>
      </c>
      <c r="C155" s="392" t="s">
        <v>3739</v>
      </c>
      <c r="D155" s="392" t="s">
        <v>3740</v>
      </c>
      <c r="E155" s="392" t="s">
        <v>299</v>
      </c>
      <c r="F155" s="467" t="s">
        <v>3727</v>
      </c>
      <c r="G155" s="467" t="s">
        <v>3741</v>
      </c>
      <c r="H155" s="467" t="s">
        <v>24</v>
      </c>
      <c r="I155" s="392" t="s">
        <v>3742</v>
      </c>
      <c r="J155" s="70" t="s">
        <v>3743</v>
      </c>
      <c r="K155" s="466" t="s">
        <v>706</v>
      </c>
      <c r="L155" s="567"/>
    </row>
    <row r="156" spans="1:13" ht="13" customHeight="1">
      <c r="A156" s="567"/>
      <c r="B156" s="288" t="s">
        <v>2473</v>
      </c>
      <c r="C156" s="288" t="s">
        <v>2475</v>
      </c>
      <c r="D156" s="207" t="s">
        <v>1253</v>
      </c>
      <c r="E156" s="207" t="s">
        <v>577</v>
      </c>
      <c r="F156" s="442" t="s">
        <v>3364</v>
      </c>
      <c r="G156" s="442" t="s">
        <v>3364</v>
      </c>
      <c r="H156" s="212" t="s">
        <v>24</v>
      </c>
      <c r="I156" s="207" t="s">
        <v>71</v>
      </c>
      <c r="J156" s="207" t="s">
        <v>1059</v>
      </c>
      <c r="K156" s="205" t="s">
        <v>706</v>
      </c>
      <c r="L156" s="567"/>
    </row>
    <row r="157" spans="1:13" ht="13" customHeight="1">
      <c r="A157" s="567"/>
      <c r="B157" s="207" t="s">
        <v>1254</v>
      </c>
      <c r="C157" s="207" t="s">
        <v>1061</v>
      </c>
      <c r="D157" s="207" t="s">
        <v>1062</v>
      </c>
      <c r="E157" s="207" t="s">
        <v>299</v>
      </c>
      <c r="F157" s="442" t="s">
        <v>3364</v>
      </c>
      <c r="G157" s="442" t="s">
        <v>3364</v>
      </c>
      <c r="H157" s="212" t="s">
        <v>24</v>
      </c>
      <c r="I157" s="207" t="s">
        <v>1255</v>
      </c>
      <c r="J157" s="207" t="s">
        <v>1256</v>
      </c>
      <c r="K157" s="205" t="s">
        <v>706</v>
      </c>
      <c r="L157" s="567"/>
    </row>
    <row r="158" spans="1:13" ht="13" customHeight="1">
      <c r="A158" s="567"/>
      <c r="B158" s="207" t="s">
        <v>1257</v>
      </c>
      <c r="C158" s="207" t="s">
        <v>1066</v>
      </c>
      <c r="D158" s="207" t="s">
        <v>1067</v>
      </c>
      <c r="E158" s="207" t="s">
        <v>299</v>
      </c>
      <c r="F158" s="442" t="s">
        <v>3351</v>
      </c>
      <c r="G158" s="442" t="s">
        <v>3355</v>
      </c>
      <c r="H158" s="212" t="s">
        <v>24</v>
      </c>
      <c r="I158" s="207" t="s">
        <v>1016</v>
      </c>
      <c r="J158" s="207" t="s">
        <v>1068</v>
      </c>
      <c r="K158" s="205" t="s">
        <v>706</v>
      </c>
      <c r="L158" s="567"/>
    </row>
    <row r="159" spans="1:13" ht="13" customHeight="1">
      <c r="A159" s="567"/>
      <c r="B159" s="207" t="s">
        <v>1258</v>
      </c>
      <c r="C159" s="207" t="s">
        <v>1070</v>
      </c>
      <c r="D159" s="207" t="s">
        <v>1071</v>
      </c>
      <c r="E159" s="207" t="s">
        <v>299</v>
      </c>
      <c r="F159" s="442" t="s">
        <v>3364</v>
      </c>
      <c r="G159" s="442" t="s">
        <v>3364</v>
      </c>
      <c r="H159" s="212" t="s">
        <v>57</v>
      </c>
      <c r="I159" s="207" t="s">
        <v>1072</v>
      </c>
      <c r="J159" s="207" t="s">
        <v>1073</v>
      </c>
      <c r="K159" s="205" t="s">
        <v>706</v>
      </c>
      <c r="L159" s="567"/>
      <c r="M159" s="230"/>
    </row>
    <row r="160" spans="1:13" ht="13" customHeight="1">
      <c r="A160" s="567"/>
      <c r="B160" s="207" t="s">
        <v>1259</v>
      </c>
      <c r="C160" s="207" t="s">
        <v>1074</v>
      </c>
      <c r="D160" s="70" t="s">
        <v>1075</v>
      </c>
      <c r="E160" s="207" t="s">
        <v>299</v>
      </c>
      <c r="F160" s="442" t="s">
        <v>3351</v>
      </c>
      <c r="G160" s="442" t="s">
        <v>3356</v>
      </c>
      <c r="H160" s="212" t="s">
        <v>24</v>
      </c>
      <c r="I160" s="392" t="s">
        <v>2964</v>
      </c>
      <c r="J160" s="70" t="s">
        <v>2963</v>
      </c>
      <c r="K160" s="205" t="s">
        <v>706</v>
      </c>
      <c r="L160" s="567"/>
    </row>
    <row r="161" spans="1:13" ht="13" customHeight="1">
      <c r="A161" s="567"/>
      <c r="B161" s="207" t="s">
        <v>1260</v>
      </c>
      <c r="C161" s="207" t="s">
        <v>1079</v>
      </c>
      <c r="D161" s="207" t="s">
        <v>1080</v>
      </c>
      <c r="E161" s="207" t="s">
        <v>299</v>
      </c>
      <c r="F161" s="442" t="s">
        <v>3351</v>
      </c>
      <c r="G161" s="442" t="s">
        <v>3357</v>
      </c>
      <c r="H161" s="212" t="s">
        <v>24</v>
      </c>
      <c r="I161" s="207" t="s">
        <v>1081</v>
      </c>
      <c r="J161" s="207" t="s">
        <v>1261</v>
      </c>
      <c r="K161" s="205" t="s">
        <v>706</v>
      </c>
      <c r="L161" s="567"/>
    </row>
    <row r="162" spans="1:13" ht="13" customHeight="1">
      <c r="A162" s="567"/>
      <c r="B162" s="207" t="s">
        <v>1262</v>
      </c>
      <c r="C162" s="207" t="s">
        <v>1083</v>
      </c>
      <c r="D162" s="207" t="s">
        <v>1084</v>
      </c>
      <c r="E162" s="207" t="s">
        <v>299</v>
      </c>
      <c r="F162" s="442" t="s">
        <v>3351</v>
      </c>
      <c r="G162" s="442" t="s">
        <v>3358</v>
      </c>
      <c r="H162" s="212" t="s">
        <v>24</v>
      </c>
      <c r="I162" s="207" t="s">
        <v>350</v>
      </c>
      <c r="J162" s="70" t="s">
        <v>2956</v>
      </c>
      <c r="K162" s="205" t="s">
        <v>706</v>
      </c>
      <c r="L162" s="567"/>
    </row>
    <row r="163" spans="1:13" ht="13" customHeight="1">
      <c r="A163" s="567"/>
      <c r="B163" s="207" t="s">
        <v>1263</v>
      </c>
      <c r="C163" s="207" t="s">
        <v>1087</v>
      </c>
      <c r="D163" s="207" t="s">
        <v>1088</v>
      </c>
      <c r="E163" s="207" t="s">
        <v>299</v>
      </c>
      <c r="F163" s="442" t="s">
        <v>3364</v>
      </c>
      <c r="G163" s="442" t="s">
        <v>3364</v>
      </c>
      <c r="H163" s="212" t="s">
        <v>24</v>
      </c>
      <c r="I163" s="207" t="s">
        <v>1089</v>
      </c>
      <c r="J163" s="207" t="s">
        <v>1148</v>
      </c>
      <c r="K163" s="205" t="s">
        <v>706</v>
      </c>
      <c r="L163" s="567"/>
    </row>
    <row r="164" spans="1:13" ht="13" customHeight="1">
      <c r="A164" s="567"/>
      <c r="B164" s="207" t="s">
        <v>1264</v>
      </c>
      <c r="C164" s="207" t="s">
        <v>1205</v>
      </c>
      <c r="D164" s="207" t="s">
        <v>1206</v>
      </c>
      <c r="E164" s="207" t="s">
        <v>369</v>
      </c>
      <c r="F164" s="442" t="s">
        <v>3364</v>
      </c>
      <c r="G164" s="442" t="s">
        <v>3364</v>
      </c>
      <c r="H164" s="212" t="s">
        <v>24</v>
      </c>
      <c r="I164" s="207" t="s">
        <v>71</v>
      </c>
      <c r="J164" s="70" t="s">
        <v>1207</v>
      </c>
      <c r="K164" s="205" t="s">
        <v>706</v>
      </c>
      <c r="L164" s="567"/>
    </row>
    <row r="165" spans="1:13" ht="13" customHeight="1">
      <c r="A165" s="567"/>
      <c r="B165" s="207" t="s">
        <v>1265</v>
      </c>
      <c r="C165" s="207" t="s">
        <v>1092</v>
      </c>
      <c r="D165" s="207" t="s">
        <v>1093</v>
      </c>
      <c r="E165" s="207" t="s">
        <v>369</v>
      </c>
      <c r="F165" s="442" t="s">
        <v>3364</v>
      </c>
      <c r="G165" s="442" t="s">
        <v>3364</v>
      </c>
      <c r="H165" s="212" t="s">
        <v>24</v>
      </c>
      <c r="I165" s="207" t="s">
        <v>350</v>
      </c>
      <c r="J165" s="70" t="s">
        <v>1094</v>
      </c>
      <c r="K165" s="205" t="s">
        <v>706</v>
      </c>
      <c r="L165" s="567"/>
    </row>
    <row r="166" spans="1:13" ht="13" customHeight="1">
      <c r="A166" s="567"/>
      <c r="B166" s="207" t="s">
        <v>1266</v>
      </c>
      <c r="C166" s="207" t="s">
        <v>1095</v>
      </c>
      <c r="D166" s="207" t="s">
        <v>1096</v>
      </c>
      <c r="E166" s="288" t="s">
        <v>369</v>
      </c>
      <c r="F166" s="442" t="s">
        <v>3351</v>
      </c>
      <c r="G166" s="442" t="s">
        <v>3359</v>
      </c>
      <c r="H166" s="212" t="s">
        <v>24</v>
      </c>
      <c r="I166" s="207" t="s">
        <v>71</v>
      </c>
      <c r="J166" s="70" t="s">
        <v>3386</v>
      </c>
      <c r="K166" s="205" t="s">
        <v>706</v>
      </c>
      <c r="L166" s="567"/>
    </row>
    <row r="167" spans="1:13" ht="13" customHeight="1">
      <c r="A167" s="567"/>
      <c r="B167" s="207" t="s">
        <v>1267</v>
      </c>
      <c r="C167" s="207" t="s">
        <v>675</v>
      </c>
      <c r="D167" s="207" t="s">
        <v>676</v>
      </c>
      <c r="E167" s="207" t="s">
        <v>577</v>
      </c>
      <c r="F167" s="442" t="s">
        <v>3364</v>
      </c>
      <c r="G167" s="442" t="s">
        <v>3364</v>
      </c>
      <c r="H167" s="212" t="s">
        <v>24</v>
      </c>
      <c r="I167" s="207" t="s">
        <v>71</v>
      </c>
      <c r="J167" s="207" t="s">
        <v>1048</v>
      </c>
      <c r="K167" s="205" t="s">
        <v>706</v>
      </c>
      <c r="L167" s="567"/>
      <c r="M167" s="230"/>
    </row>
    <row r="168" spans="1:13" ht="13" customHeight="1">
      <c r="A168" s="567"/>
      <c r="B168" s="207" t="s">
        <v>1268</v>
      </c>
      <c r="C168" s="207" t="s">
        <v>1242</v>
      </c>
      <c r="D168" s="207" t="s">
        <v>1243</v>
      </c>
      <c r="E168" s="207" t="s">
        <v>577</v>
      </c>
      <c r="F168" s="442" t="s">
        <v>3351</v>
      </c>
      <c r="G168" s="442" t="s">
        <v>3352</v>
      </c>
      <c r="H168" s="212" t="s">
        <v>24</v>
      </c>
      <c r="I168" s="207" t="s">
        <v>806</v>
      </c>
      <c r="J168" s="207" t="s">
        <v>1244</v>
      </c>
      <c r="K168" s="205" t="s">
        <v>706</v>
      </c>
      <c r="L168" s="567"/>
    </row>
    <row r="169" spans="1:13" ht="13" customHeight="1">
      <c r="A169" s="567"/>
      <c r="B169" s="207" t="s">
        <v>1269</v>
      </c>
      <c r="C169" s="207" t="s">
        <v>1246</v>
      </c>
      <c r="D169" s="207" t="s">
        <v>1247</v>
      </c>
      <c r="E169" s="207" t="s">
        <v>577</v>
      </c>
      <c r="F169" s="442" t="s">
        <v>3351</v>
      </c>
      <c r="G169" s="442" t="s">
        <v>3353</v>
      </c>
      <c r="H169" s="212" t="s">
        <v>24</v>
      </c>
      <c r="I169" s="207" t="s">
        <v>806</v>
      </c>
      <c r="J169" s="207" t="s">
        <v>1248</v>
      </c>
      <c r="K169" s="205" t="s">
        <v>706</v>
      </c>
      <c r="L169" s="567"/>
    </row>
    <row r="170" spans="1:13" ht="13" customHeight="1">
      <c r="A170" s="567"/>
      <c r="B170" s="207" t="s">
        <v>1270</v>
      </c>
      <c r="C170" s="207" t="s">
        <v>1250</v>
      </c>
      <c r="D170" s="207" t="s">
        <v>1251</v>
      </c>
      <c r="E170" s="207" t="s">
        <v>299</v>
      </c>
      <c r="F170" s="442" t="s">
        <v>3351</v>
      </c>
      <c r="G170" s="442" t="s">
        <v>3354</v>
      </c>
      <c r="H170" s="212" t="s">
        <v>24</v>
      </c>
      <c r="I170" s="207" t="s">
        <v>806</v>
      </c>
      <c r="J170" s="207" t="s">
        <v>1252</v>
      </c>
      <c r="K170" s="205" t="s">
        <v>706</v>
      </c>
      <c r="L170" s="567"/>
    </row>
    <row r="171" spans="1:13" ht="13" customHeight="1">
      <c r="A171" s="567"/>
      <c r="B171" s="392" t="s">
        <v>3763</v>
      </c>
      <c r="C171" s="392" t="s">
        <v>3738</v>
      </c>
      <c r="D171" s="392" t="s">
        <v>3732</v>
      </c>
      <c r="E171" s="392" t="s">
        <v>3726</v>
      </c>
      <c r="F171" s="467" t="s">
        <v>3727</v>
      </c>
      <c r="G171" s="467" t="s">
        <v>3724</v>
      </c>
      <c r="H171" s="467" t="s">
        <v>24</v>
      </c>
      <c r="I171" s="392" t="s">
        <v>3728</v>
      </c>
      <c r="J171" s="70" t="s">
        <v>3735</v>
      </c>
      <c r="K171" s="466"/>
      <c r="L171" s="567"/>
    </row>
    <row r="172" spans="1:13" ht="13" customHeight="1">
      <c r="A172" s="567"/>
      <c r="B172" s="392" t="s">
        <v>3762</v>
      </c>
      <c r="C172" s="392" t="s">
        <v>3739</v>
      </c>
      <c r="D172" s="392" t="s">
        <v>3740</v>
      </c>
      <c r="E172" s="392" t="s">
        <v>299</v>
      </c>
      <c r="F172" s="467" t="s">
        <v>3727</v>
      </c>
      <c r="G172" s="467" t="s">
        <v>3741</v>
      </c>
      <c r="H172" s="467" t="s">
        <v>24</v>
      </c>
      <c r="I172" s="392" t="s">
        <v>3742</v>
      </c>
      <c r="J172" s="70" t="s">
        <v>3743</v>
      </c>
      <c r="K172" s="466" t="s">
        <v>706</v>
      </c>
      <c r="L172" s="567"/>
    </row>
    <row r="173" spans="1:13" ht="13" customHeight="1">
      <c r="A173" s="567"/>
      <c r="B173" s="288" t="s">
        <v>2476</v>
      </c>
      <c r="C173" s="288" t="s">
        <v>2475</v>
      </c>
      <c r="D173" s="207" t="s">
        <v>1253</v>
      </c>
      <c r="E173" s="207" t="s">
        <v>577</v>
      </c>
      <c r="F173" s="442" t="s">
        <v>3364</v>
      </c>
      <c r="G173" s="442" t="s">
        <v>3364</v>
      </c>
      <c r="H173" s="212" t="s">
        <v>24</v>
      </c>
      <c r="I173" s="207" t="s">
        <v>71</v>
      </c>
      <c r="J173" s="207" t="s">
        <v>1059</v>
      </c>
      <c r="K173" s="205" t="s">
        <v>706</v>
      </c>
      <c r="L173" s="567"/>
    </row>
    <row r="174" spans="1:13" ht="13" customHeight="1">
      <c r="A174" s="567"/>
      <c r="B174" s="207" t="s">
        <v>1271</v>
      </c>
      <c r="C174" s="207" t="s">
        <v>1061</v>
      </c>
      <c r="D174" s="207" t="s">
        <v>1062</v>
      </c>
      <c r="E174" s="207" t="s">
        <v>577</v>
      </c>
      <c r="F174" s="442" t="s">
        <v>3364</v>
      </c>
      <c r="G174" s="442" t="s">
        <v>3364</v>
      </c>
      <c r="H174" s="212" t="s">
        <v>24</v>
      </c>
      <c r="I174" s="207" t="s">
        <v>1255</v>
      </c>
      <c r="J174" s="207" t="s">
        <v>1256</v>
      </c>
      <c r="K174" s="205" t="s">
        <v>706</v>
      </c>
      <c r="L174" s="567"/>
    </row>
    <row r="175" spans="1:13" ht="13" customHeight="1">
      <c r="A175" s="567"/>
      <c r="B175" s="207" t="s">
        <v>1272</v>
      </c>
      <c r="C175" s="207" t="s">
        <v>1066</v>
      </c>
      <c r="D175" s="207" t="s">
        <v>1067</v>
      </c>
      <c r="E175" s="207" t="s">
        <v>577</v>
      </c>
      <c r="F175" s="442" t="s">
        <v>3351</v>
      </c>
      <c r="G175" s="442" t="s">
        <v>3355</v>
      </c>
      <c r="H175" s="212" t="s">
        <v>24</v>
      </c>
      <c r="I175" s="207" t="s">
        <v>1016</v>
      </c>
      <c r="J175" s="207" t="s">
        <v>1068</v>
      </c>
      <c r="K175" s="205" t="s">
        <v>706</v>
      </c>
      <c r="L175" s="567"/>
    </row>
    <row r="176" spans="1:13" ht="13" customHeight="1">
      <c r="A176" s="567"/>
      <c r="B176" s="207" t="s">
        <v>1273</v>
      </c>
      <c r="C176" s="207" t="s">
        <v>1070</v>
      </c>
      <c r="D176" s="207" t="s">
        <v>1071</v>
      </c>
      <c r="E176" s="207" t="s">
        <v>577</v>
      </c>
      <c r="F176" s="442" t="s">
        <v>3364</v>
      </c>
      <c r="G176" s="442" t="s">
        <v>3364</v>
      </c>
      <c r="H176" s="212" t="s">
        <v>57</v>
      </c>
      <c r="I176" s="207" t="s">
        <v>1072</v>
      </c>
      <c r="J176" s="207" t="s">
        <v>1116</v>
      </c>
      <c r="K176" s="205" t="s">
        <v>706</v>
      </c>
      <c r="L176" s="567"/>
      <c r="M176" s="230"/>
    </row>
    <row r="177" spans="1:13" ht="13" customHeight="1">
      <c r="A177" s="567"/>
      <c r="B177" s="207" t="s">
        <v>1274</v>
      </c>
      <c r="C177" s="207" t="s">
        <v>1074</v>
      </c>
      <c r="D177" s="70" t="s">
        <v>1075</v>
      </c>
      <c r="E177" s="207" t="s">
        <v>577</v>
      </c>
      <c r="F177" s="442" t="s">
        <v>3351</v>
      </c>
      <c r="G177" s="442" t="s">
        <v>3356</v>
      </c>
      <c r="H177" s="212" t="s">
        <v>24</v>
      </c>
      <c r="I177" s="207" t="s">
        <v>1076</v>
      </c>
      <c r="J177" s="70" t="s">
        <v>1077</v>
      </c>
      <c r="K177" s="205" t="s">
        <v>706</v>
      </c>
      <c r="L177" s="567"/>
    </row>
    <row r="178" spans="1:13" ht="13" customHeight="1">
      <c r="A178" s="567"/>
      <c r="B178" s="207" t="s">
        <v>1275</v>
      </c>
      <c r="C178" s="207" t="s">
        <v>1079</v>
      </c>
      <c r="D178" s="207" t="s">
        <v>1080</v>
      </c>
      <c r="E178" s="207" t="s">
        <v>577</v>
      </c>
      <c r="F178" s="442" t="s">
        <v>3351</v>
      </c>
      <c r="G178" s="442" t="s">
        <v>3357</v>
      </c>
      <c r="H178" s="212" t="s">
        <v>24</v>
      </c>
      <c r="I178" s="207" t="s">
        <v>1081</v>
      </c>
      <c r="J178" s="207" t="s">
        <v>1261</v>
      </c>
      <c r="K178" s="205" t="s">
        <v>706</v>
      </c>
      <c r="L178" s="567"/>
    </row>
    <row r="179" spans="1:13" ht="13" customHeight="1">
      <c r="A179" s="567"/>
      <c r="B179" s="207" t="s">
        <v>1276</v>
      </c>
      <c r="C179" s="207" t="s">
        <v>1083</v>
      </c>
      <c r="D179" s="207" t="s">
        <v>1084</v>
      </c>
      <c r="E179" s="207" t="s">
        <v>577</v>
      </c>
      <c r="F179" s="442" t="s">
        <v>3351</v>
      </c>
      <c r="G179" s="442" t="s">
        <v>3358</v>
      </c>
      <c r="H179" s="212" t="s">
        <v>24</v>
      </c>
      <c r="I179" s="207" t="s">
        <v>350</v>
      </c>
      <c r="J179" s="70" t="s">
        <v>2956</v>
      </c>
      <c r="K179" s="205" t="s">
        <v>706</v>
      </c>
      <c r="L179" s="567"/>
    </row>
    <row r="180" spans="1:13" ht="13" customHeight="1">
      <c r="A180" s="567"/>
      <c r="B180" s="207" t="s">
        <v>1277</v>
      </c>
      <c r="C180" s="207" t="s">
        <v>1087</v>
      </c>
      <c r="D180" s="207" t="s">
        <v>1088</v>
      </c>
      <c r="E180" s="207" t="s">
        <v>577</v>
      </c>
      <c r="F180" s="442" t="s">
        <v>3364</v>
      </c>
      <c r="G180" s="442" t="s">
        <v>3364</v>
      </c>
      <c r="H180" s="212" t="s">
        <v>24</v>
      </c>
      <c r="I180" s="207" t="s">
        <v>1089</v>
      </c>
      <c r="J180" s="207" t="s">
        <v>1148</v>
      </c>
      <c r="K180" s="205" t="s">
        <v>706</v>
      </c>
      <c r="L180" s="567"/>
    </row>
    <row r="181" spans="1:13" ht="13" customHeight="1">
      <c r="A181" s="567"/>
      <c r="B181" s="207" t="s">
        <v>1278</v>
      </c>
      <c r="C181" s="207" t="s">
        <v>1205</v>
      </c>
      <c r="D181" s="207" t="s">
        <v>1206</v>
      </c>
      <c r="E181" s="207" t="s">
        <v>369</v>
      </c>
      <c r="F181" s="442" t="s">
        <v>3364</v>
      </c>
      <c r="G181" s="442" t="s">
        <v>3364</v>
      </c>
      <c r="H181" s="212" t="s">
        <v>24</v>
      </c>
      <c r="I181" s="207" t="s">
        <v>71</v>
      </c>
      <c r="J181" s="70" t="s">
        <v>1207</v>
      </c>
      <c r="K181" s="205" t="s">
        <v>706</v>
      </c>
      <c r="L181" s="567"/>
    </row>
    <row r="182" spans="1:13" ht="13" customHeight="1">
      <c r="A182" s="567"/>
      <c r="B182" s="207" t="s">
        <v>1279</v>
      </c>
      <c r="C182" s="207" t="s">
        <v>1092</v>
      </c>
      <c r="D182" s="207" t="s">
        <v>1093</v>
      </c>
      <c r="E182" s="207" t="s">
        <v>369</v>
      </c>
      <c r="F182" s="442" t="s">
        <v>3364</v>
      </c>
      <c r="G182" s="442" t="s">
        <v>3364</v>
      </c>
      <c r="H182" s="212" t="s">
        <v>24</v>
      </c>
      <c r="I182" s="207" t="s">
        <v>350</v>
      </c>
      <c r="J182" s="70" t="s">
        <v>1094</v>
      </c>
      <c r="K182" s="205" t="s">
        <v>706</v>
      </c>
      <c r="L182" s="567"/>
    </row>
    <row r="183" spans="1:13" ht="13" customHeight="1">
      <c r="A183" s="578"/>
      <c r="B183" s="207" t="s">
        <v>1280</v>
      </c>
      <c r="C183" s="207" t="s">
        <v>1095</v>
      </c>
      <c r="D183" s="207" t="s">
        <v>1096</v>
      </c>
      <c r="E183" s="288" t="s">
        <v>369</v>
      </c>
      <c r="F183" s="442" t="s">
        <v>3351</v>
      </c>
      <c r="G183" s="442" t="s">
        <v>3359</v>
      </c>
      <c r="H183" s="212" t="s">
        <v>24</v>
      </c>
      <c r="I183" s="207" t="s">
        <v>71</v>
      </c>
      <c r="J183" s="70" t="s">
        <v>3386</v>
      </c>
      <c r="K183" s="205" t="s">
        <v>706</v>
      </c>
      <c r="L183" s="578"/>
    </row>
    <row r="184" spans="1:13" ht="13" customHeight="1">
      <c r="A184" s="577" t="s">
        <v>1281</v>
      </c>
      <c r="B184" s="207" t="s">
        <v>1282</v>
      </c>
      <c r="C184" s="207" t="s">
        <v>675</v>
      </c>
      <c r="D184" s="207" t="s">
        <v>676</v>
      </c>
      <c r="E184" s="207" t="s">
        <v>299</v>
      </c>
      <c r="F184" s="442" t="s">
        <v>3364</v>
      </c>
      <c r="G184" s="442" t="s">
        <v>3364</v>
      </c>
      <c r="H184" s="212" t="s">
        <v>24</v>
      </c>
      <c r="I184" s="207" t="s">
        <v>71</v>
      </c>
      <c r="J184" s="207" t="s">
        <v>1048</v>
      </c>
      <c r="K184" s="205" t="s">
        <v>706</v>
      </c>
      <c r="L184" s="577" t="s">
        <v>1283</v>
      </c>
      <c r="M184" s="230"/>
    </row>
    <row r="185" spans="1:13" ht="13" customHeight="1">
      <c r="A185" s="567"/>
      <c r="B185" s="207" t="s">
        <v>1284</v>
      </c>
      <c r="C185" s="207" t="s">
        <v>1285</v>
      </c>
      <c r="D185" s="207" t="s">
        <v>1286</v>
      </c>
      <c r="E185" s="207" t="s">
        <v>299</v>
      </c>
      <c r="F185" s="442" t="s">
        <v>3351</v>
      </c>
      <c r="G185" s="442" t="s">
        <v>3352</v>
      </c>
      <c r="H185" s="212" t="s">
        <v>24</v>
      </c>
      <c r="I185" s="207" t="s">
        <v>806</v>
      </c>
      <c r="J185" s="207" t="s">
        <v>1287</v>
      </c>
      <c r="K185" s="205" t="s">
        <v>706</v>
      </c>
      <c r="L185" s="567"/>
    </row>
    <row r="186" spans="1:13" ht="13" customHeight="1">
      <c r="A186" s="567"/>
      <c r="B186" s="207" t="s">
        <v>1288</v>
      </c>
      <c r="C186" s="207" t="s">
        <v>1289</v>
      </c>
      <c r="D186" s="207" t="s">
        <v>1290</v>
      </c>
      <c r="E186" s="207" t="s">
        <v>299</v>
      </c>
      <c r="F186" s="442" t="s">
        <v>3351</v>
      </c>
      <c r="G186" s="442" t="s">
        <v>3353</v>
      </c>
      <c r="H186" s="212" t="s">
        <v>24</v>
      </c>
      <c r="I186" s="207" t="s">
        <v>806</v>
      </c>
      <c r="J186" s="207" t="s">
        <v>1291</v>
      </c>
      <c r="K186" s="205" t="s">
        <v>706</v>
      </c>
      <c r="L186" s="567"/>
    </row>
    <row r="187" spans="1:13" ht="13" customHeight="1">
      <c r="A187" s="567"/>
      <c r="B187" s="207" t="s">
        <v>1292</v>
      </c>
      <c r="C187" s="207" t="s">
        <v>1293</v>
      </c>
      <c r="D187" s="207" t="s">
        <v>1294</v>
      </c>
      <c r="E187" s="207" t="s">
        <v>299</v>
      </c>
      <c r="F187" s="442" t="s">
        <v>3351</v>
      </c>
      <c r="G187" s="442" t="s">
        <v>3354</v>
      </c>
      <c r="H187" s="212" t="s">
        <v>24</v>
      </c>
      <c r="I187" s="207" t="s">
        <v>806</v>
      </c>
      <c r="J187" s="207" t="s">
        <v>1295</v>
      </c>
      <c r="K187" s="205" t="s">
        <v>706</v>
      </c>
      <c r="L187" s="567"/>
    </row>
    <row r="188" spans="1:13" ht="13" customHeight="1">
      <c r="A188" s="567"/>
      <c r="B188" s="207" t="s">
        <v>1296</v>
      </c>
      <c r="C188" s="207" t="s">
        <v>1297</v>
      </c>
      <c r="D188" s="207" t="s">
        <v>1298</v>
      </c>
      <c r="E188" s="207" t="s">
        <v>299</v>
      </c>
      <c r="F188" s="442" t="s">
        <v>3351</v>
      </c>
      <c r="G188" s="442" t="s">
        <v>3361</v>
      </c>
      <c r="H188" s="212" t="s">
        <v>24</v>
      </c>
      <c r="I188" s="207" t="s">
        <v>806</v>
      </c>
      <c r="J188" s="207" t="s">
        <v>1299</v>
      </c>
      <c r="K188" s="205" t="s">
        <v>706</v>
      </c>
      <c r="L188" s="567"/>
    </row>
    <row r="189" spans="1:13" ht="13" customHeight="1">
      <c r="A189" s="567"/>
      <c r="B189" s="207" t="s">
        <v>1300</v>
      </c>
      <c r="C189" s="207" t="s">
        <v>1301</v>
      </c>
      <c r="D189" s="207" t="s">
        <v>1302</v>
      </c>
      <c r="E189" s="207" t="s">
        <v>299</v>
      </c>
      <c r="F189" s="442" t="s">
        <v>3351</v>
      </c>
      <c r="G189" s="442" t="s">
        <v>3362</v>
      </c>
      <c r="H189" s="212" t="s">
        <v>24</v>
      </c>
      <c r="I189" s="207" t="s">
        <v>806</v>
      </c>
      <c r="J189" s="207" t="s">
        <v>1303</v>
      </c>
      <c r="K189" s="205" t="s">
        <v>706</v>
      </c>
      <c r="L189" s="567"/>
    </row>
    <row r="190" spans="1:13" ht="13" customHeight="1">
      <c r="A190" s="567"/>
      <c r="B190" s="207" t="s">
        <v>1304</v>
      </c>
      <c r="C190" s="207" t="s">
        <v>1305</v>
      </c>
      <c r="D190" s="207" t="s">
        <v>1306</v>
      </c>
      <c r="E190" s="207" t="s">
        <v>299</v>
      </c>
      <c r="F190" s="442" t="s">
        <v>3351</v>
      </c>
      <c r="G190" s="442" t="s">
        <v>3363</v>
      </c>
      <c r="H190" s="212" t="s">
        <v>24</v>
      </c>
      <c r="I190" s="207" t="s">
        <v>806</v>
      </c>
      <c r="J190" s="207" t="s">
        <v>1307</v>
      </c>
      <c r="K190" s="205" t="s">
        <v>706</v>
      </c>
      <c r="L190" s="567"/>
    </row>
    <row r="191" spans="1:13" ht="13" customHeight="1">
      <c r="A191" s="567"/>
      <c r="B191" s="392" t="s">
        <v>3765</v>
      </c>
      <c r="C191" s="392" t="s">
        <v>3738</v>
      </c>
      <c r="D191" s="392" t="s">
        <v>3733</v>
      </c>
      <c r="E191" s="392" t="s">
        <v>299</v>
      </c>
      <c r="F191" s="467" t="s">
        <v>3727</v>
      </c>
      <c r="G191" s="467" t="s">
        <v>3724</v>
      </c>
      <c r="H191" s="467" t="s">
        <v>24</v>
      </c>
      <c r="I191" s="392" t="s">
        <v>3728</v>
      </c>
      <c r="J191" s="70" t="s">
        <v>3735</v>
      </c>
      <c r="K191" s="466"/>
      <c r="L191" s="567"/>
    </row>
    <row r="192" spans="1:13" ht="13" customHeight="1">
      <c r="A192" s="567"/>
      <c r="B192" s="392" t="s">
        <v>3764</v>
      </c>
      <c r="C192" s="392" t="s">
        <v>3739</v>
      </c>
      <c r="D192" s="392" t="s">
        <v>3740</v>
      </c>
      <c r="E192" s="392" t="s">
        <v>299</v>
      </c>
      <c r="F192" s="467" t="s">
        <v>3727</v>
      </c>
      <c r="G192" s="467" t="s">
        <v>3741</v>
      </c>
      <c r="H192" s="467" t="s">
        <v>24</v>
      </c>
      <c r="I192" s="392" t="s">
        <v>3742</v>
      </c>
      <c r="J192" s="70" t="s">
        <v>3743</v>
      </c>
      <c r="K192" s="466" t="s">
        <v>706</v>
      </c>
      <c r="L192" s="567"/>
    </row>
    <row r="193" spans="1:13" ht="13" customHeight="1">
      <c r="A193" s="567"/>
      <c r="B193" s="288" t="s">
        <v>2477</v>
      </c>
      <c r="C193" s="288" t="s">
        <v>2474</v>
      </c>
      <c r="D193" s="207" t="s">
        <v>1308</v>
      </c>
      <c r="E193" s="207" t="s">
        <v>577</v>
      </c>
      <c r="F193" s="442" t="s">
        <v>3364</v>
      </c>
      <c r="G193" s="442" t="s">
        <v>3364</v>
      </c>
      <c r="H193" s="212" t="s">
        <v>24</v>
      </c>
      <c r="I193" s="207" t="s">
        <v>71</v>
      </c>
      <c r="J193" s="207" t="s">
        <v>1059</v>
      </c>
      <c r="K193" s="205" t="s">
        <v>706</v>
      </c>
      <c r="L193" s="567"/>
    </row>
    <row r="194" spans="1:13" ht="13" customHeight="1">
      <c r="A194" s="567"/>
      <c r="B194" s="207" t="s">
        <v>1309</v>
      </c>
      <c r="C194" s="207" t="s">
        <v>1061</v>
      </c>
      <c r="D194" s="207" t="s">
        <v>1062</v>
      </c>
      <c r="E194" s="207" t="s">
        <v>299</v>
      </c>
      <c r="F194" s="442" t="s">
        <v>3364</v>
      </c>
      <c r="G194" s="442" t="s">
        <v>3364</v>
      </c>
      <c r="H194" s="212" t="s">
        <v>24</v>
      </c>
      <c r="I194" s="207" t="s">
        <v>1063</v>
      </c>
      <c r="J194" s="207" t="s">
        <v>1064</v>
      </c>
      <c r="K194" s="205" t="s">
        <v>706</v>
      </c>
      <c r="L194" s="567"/>
    </row>
    <row r="195" spans="1:13" ht="13" customHeight="1">
      <c r="A195" s="567"/>
      <c r="B195" s="207" t="s">
        <v>1310</v>
      </c>
      <c r="C195" s="207" t="s">
        <v>1066</v>
      </c>
      <c r="D195" s="207" t="s">
        <v>1067</v>
      </c>
      <c r="E195" s="207" t="s">
        <v>299</v>
      </c>
      <c r="F195" s="442" t="s">
        <v>3351</v>
      </c>
      <c r="G195" s="442" t="s">
        <v>3355</v>
      </c>
      <c r="H195" s="212" t="s">
        <v>24</v>
      </c>
      <c r="I195" s="207" t="s">
        <v>1016</v>
      </c>
      <c r="J195" s="207" t="s">
        <v>1068</v>
      </c>
      <c r="K195" s="205" t="s">
        <v>706</v>
      </c>
      <c r="L195" s="567"/>
    </row>
    <row r="196" spans="1:13" ht="13" customHeight="1">
      <c r="A196" s="567"/>
      <c r="B196" s="207" t="s">
        <v>1311</v>
      </c>
      <c r="C196" s="207" t="s">
        <v>1070</v>
      </c>
      <c r="D196" s="207" t="s">
        <v>1071</v>
      </c>
      <c r="E196" s="207" t="s">
        <v>299</v>
      </c>
      <c r="F196" s="442" t="s">
        <v>3364</v>
      </c>
      <c r="G196" s="442" t="s">
        <v>3364</v>
      </c>
      <c r="H196" s="212" t="s">
        <v>57</v>
      </c>
      <c r="I196" s="207" t="s">
        <v>1072</v>
      </c>
      <c r="J196" s="207" t="s">
        <v>1073</v>
      </c>
      <c r="K196" s="205" t="s">
        <v>706</v>
      </c>
      <c r="L196" s="567"/>
      <c r="M196" s="230"/>
    </row>
    <row r="197" spans="1:13" ht="13" customHeight="1">
      <c r="A197" s="567"/>
      <c r="B197" s="207" t="s">
        <v>1312</v>
      </c>
      <c r="C197" s="207" t="s">
        <v>1074</v>
      </c>
      <c r="D197" s="70" t="s">
        <v>1075</v>
      </c>
      <c r="E197" s="207" t="s">
        <v>299</v>
      </c>
      <c r="F197" s="442" t="s">
        <v>3351</v>
      </c>
      <c r="G197" s="442" t="s">
        <v>3356</v>
      </c>
      <c r="H197" s="212" t="s">
        <v>24</v>
      </c>
      <c r="I197" s="207" t="s">
        <v>1076</v>
      </c>
      <c r="J197" s="70" t="s">
        <v>1077</v>
      </c>
      <c r="K197" s="205" t="s">
        <v>706</v>
      </c>
      <c r="L197" s="567"/>
    </row>
    <row r="198" spans="1:13" ht="13" customHeight="1">
      <c r="A198" s="567"/>
      <c r="B198" s="207" t="s">
        <v>1313</v>
      </c>
      <c r="C198" s="207" t="s">
        <v>1079</v>
      </c>
      <c r="D198" s="207" t="s">
        <v>1080</v>
      </c>
      <c r="E198" s="207" t="s">
        <v>299</v>
      </c>
      <c r="F198" s="442" t="s">
        <v>3351</v>
      </c>
      <c r="G198" s="442" t="s">
        <v>3357</v>
      </c>
      <c r="H198" s="212" t="s">
        <v>24</v>
      </c>
      <c r="I198" s="207" t="s">
        <v>1081</v>
      </c>
      <c r="J198" s="207" t="s">
        <v>1261</v>
      </c>
      <c r="K198" s="205" t="s">
        <v>706</v>
      </c>
      <c r="L198" s="567"/>
    </row>
    <row r="199" spans="1:13" ht="13" customHeight="1">
      <c r="A199" s="567"/>
      <c r="B199" s="207" t="s">
        <v>1314</v>
      </c>
      <c r="C199" s="207" t="s">
        <v>1083</v>
      </c>
      <c r="D199" s="207" t="s">
        <v>1084</v>
      </c>
      <c r="E199" s="207" t="s">
        <v>299</v>
      </c>
      <c r="F199" s="442" t="s">
        <v>3351</v>
      </c>
      <c r="G199" s="442" t="s">
        <v>3358</v>
      </c>
      <c r="H199" s="212" t="s">
        <v>24</v>
      </c>
      <c r="I199" s="207" t="s">
        <v>350</v>
      </c>
      <c r="J199" s="70" t="s">
        <v>2956</v>
      </c>
      <c r="K199" s="205" t="s">
        <v>706</v>
      </c>
      <c r="L199" s="567"/>
    </row>
    <row r="200" spans="1:13" ht="13" customHeight="1">
      <c r="A200" s="567"/>
      <c r="B200" s="207" t="s">
        <v>1315</v>
      </c>
      <c r="C200" s="207" t="s">
        <v>1087</v>
      </c>
      <c r="D200" s="207" t="s">
        <v>1088</v>
      </c>
      <c r="E200" s="207" t="s">
        <v>299</v>
      </c>
      <c r="F200" s="442" t="s">
        <v>3364</v>
      </c>
      <c r="G200" s="442" t="s">
        <v>3364</v>
      </c>
      <c r="H200" s="212" t="s">
        <v>24</v>
      </c>
      <c r="I200" s="207" t="s">
        <v>1089</v>
      </c>
      <c r="J200" s="207" t="s">
        <v>1148</v>
      </c>
      <c r="K200" s="205" t="s">
        <v>706</v>
      </c>
      <c r="L200" s="567"/>
    </row>
    <row r="201" spans="1:13" ht="13" customHeight="1">
      <c r="A201" s="567"/>
      <c r="B201" s="207" t="s">
        <v>1316</v>
      </c>
      <c r="C201" s="207" t="s">
        <v>1205</v>
      </c>
      <c r="D201" s="207" t="s">
        <v>1206</v>
      </c>
      <c r="E201" s="207" t="s">
        <v>369</v>
      </c>
      <c r="F201" s="442" t="s">
        <v>3364</v>
      </c>
      <c r="G201" s="442" t="s">
        <v>3364</v>
      </c>
      <c r="H201" s="212" t="s">
        <v>24</v>
      </c>
      <c r="I201" s="207" t="s">
        <v>71</v>
      </c>
      <c r="J201" s="70" t="s">
        <v>1207</v>
      </c>
      <c r="K201" s="205" t="s">
        <v>706</v>
      </c>
      <c r="L201" s="567"/>
    </row>
    <row r="202" spans="1:13" ht="13" customHeight="1">
      <c r="A202" s="567"/>
      <c r="B202" s="207" t="s">
        <v>1317</v>
      </c>
      <c r="C202" s="207" t="s">
        <v>1092</v>
      </c>
      <c r="D202" s="207" t="s">
        <v>1093</v>
      </c>
      <c r="E202" s="207" t="s">
        <v>369</v>
      </c>
      <c r="F202" s="442" t="s">
        <v>3364</v>
      </c>
      <c r="G202" s="442" t="s">
        <v>3364</v>
      </c>
      <c r="H202" s="212" t="s">
        <v>24</v>
      </c>
      <c r="I202" s="207" t="s">
        <v>350</v>
      </c>
      <c r="J202" s="70" t="s">
        <v>1094</v>
      </c>
      <c r="K202" s="205" t="s">
        <v>706</v>
      </c>
      <c r="L202" s="567"/>
    </row>
    <row r="203" spans="1:13" ht="13" customHeight="1">
      <c r="A203" s="567"/>
      <c r="B203" s="392" t="s">
        <v>3721</v>
      </c>
      <c r="C203" s="207" t="s">
        <v>1095</v>
      </c>
      <c r="D203" s="207" t="s">
        <v>1096</v>
      </c>
      <c r="E203" s="288" t="s">
        <v>369</v>
      </c>
      <c r="F203" s="442" t="s">
        <v>3351</v>
      </c>
      <c r="G203" s="442" t="s">
        <v>3359</v>
      </c>
      <c r="H203" s="212" t="s">
        <v>24</v>
      </c>
      <c r="I203" s="207" t="s">
        <v>71</v>
      </c>
      <c r="J203" s="70" t="s">
        <v>3386</v>
      </c>
      <c r="K203" s="205" t="s">
        <v>706</v>
      </c>
      <c r="L203" s="567"/>
    </row>
    <row r="204" spans="1:13" ht="13" customHeight="1">
      <c r="A204" s="567"/>
      <c r="B204" s="207" t="s">
        <v>1318</v>
      </c>
      <c r="C204" s="207" t="s">
        <v>675</v>
      </c>
      <c r="D204" s="207" t="s">
        <v>676</v>
      </c>
      <c r="E204" s="207" t="s">
        <v>577</v>
      </c>
      <c r="F204" s="442" t="s">
        <v>3364</v>
      </c>
      <c r="G204" s="442" t="s">
        <v>3364</v>
      </c>
      <c r="H204" s="212" t="s">
        <v>24</v>
      </c>
      <c r="I204" s="207" t="s">
        <v>71</v>
      </c>
      <c r="J204" s="70" t="s">
        <v>3387</v>
      </c>
      <c r="K204" s="205" t="s">
        <v>706</v>
      </c>
      <c r="L204" s="567"/>
      <c r="M204" s="230"/>
    </row>
    <row r="205" spans="1:13" ht="13" customHeight="1">
      <c r="A205" s="567"/>
      <c r="B205" s="207" t="s">
        <v>1319</v>
      </c>
      <c r="C205" s="207" t="s">
        <v>1285</v>
      </c>
      <c r="D205" s="207" t="s">
        <v>1286</v>
      </c>
      <c r="E205" s="207" t="s">
        <v>577</v>
      </c>
      <c r="F205" s="442" t="s">
        <v>3351</v>
      </c>
      <c r="G205" s="442" t="s">
        <v>3352</v>
      </c>
      <c r="H205" s="212" t="s">
        <v>24</v>
      </c>
      <c r="I205" s="207" t="s">
        <v>806</v>
      </c>
      <c r="J205" s="207" t="s">
        <v>1287</v>
      </c>
      <c r="K205" s="205" t="s">
        <v>706</v>
      </c>
      <c r="L205" s="567"/>
    </row>
    <row r="206" spans="1:13" ht="13" customHeight="1">
      <c r="A206" s="567"/>
      <c r="B206" s="207" t="s">
        <v>1320</v>
      </c>
      <c r="C206" s="207" t="s">
        <v>1289</v>
      </c>
      <c r="D206" s="207" t="s">
        <v>1290</v>
      </c>
      <c r="E206" s="207" t="s">
        <v>577</v>
      </c>
      <c r="F206" s="442" t="s">
        <v>3351</v>
      </c>
      <c r="G206" s="442" t="s">
        <v>3353</v>
      </c>
      <c r="H206" s="212" t="s">
        <v>24</v>
      </c>
      <c r="I206" s="207" t="s">
        <v>806</v>
      </c>
      <c r="J206" s="207" t="s">
        <v>1291</v>
      </c>
      <c r="K206" s="205" t="s">
        <v>706</v>
      </c>
      <c r="L206" s="567"/>
    </row>
    <row r="207" spans="1:13" ht="13" customHeight="1">
      <c r="A207" s="567"/>
      <c r="B207" s="207" t="s">
        <v>1321</v>
      </c>
      <c r="C207" s="207" t="s">
        <v>1293</v>
      </c>
      <c r="D207" s="207" t="s">
        <v>1294</v>
      </c>
      <c r="E207" s="207" t="s">
        <v>299</v>
      </c>
      <c r="F207" s="442" t="s">
        <v>3351</v>
      </c>
      <c r="G207" s="442" t="s">
        <v>3354</v>
      </c>
      <c r="H207" s="212" t="s">
        <v>24</v>
      </c>
      <c r="I207" s="207" t="s">
        <v>806</v>
      </c>
      <c r="J207" s="207" t="s">
        <v>1295</v>
      </c>
      <c r="K207" s="205" t="s">
        <v>706</v>
      </c>
      <c r="L207" s="567"/>
    </row>
    <row r="208" spans="1:13" ht="13" customHeight="1">
      <c r="A208" s="567"/>
      <c r="B208" s="207" t="s">
        <v>1322</v>
      </c>
      <c r="C208" s="207" t="s">
        <v>1297</v>
      </c>
      <c r="D208" s="207" t="s">
        <v>1298</v>
      </c>
      <c r="E208" s="207" t="s">
        <v>577</v>
      </c>
      <c r="F208" s="442" t="s">
        <v>3364</v>
      </c>
      <c r="G208" s="442" t="s">
        <v>3364</v>
      </c>
      <c r="H208" s="212" t="s">
        <v>24</v>
      </c>
      <c r="I208" s="207" t="s">
        <v>806</v>
      </c>
      <c r="J208" s="207" t="s">
        <v>1299</v>
      </c>
      <c r="K208" s="205" t="s">
        <v>706</v>
      </c>
      <c r="L208" s="567"/>
    </row>
    <row r="209" spans="1:13" ht="13" customHeight="1">
      <c r="A209" s="567"/>
      <c r="B209" s="207" t="s">
        <v>1323</v>
      </c>
      <c r="C209" s="207" t="s">
        <v>1301</v>
      </c>
      <c r="D209" s="207" t="s">
        <v>1302</v>
      </c>
      <c r="E209" s="207" t="s">
        <v>577</v>
      </c>
      <c r="F209" s="442" t="s">
        <v>3364</v>
      </c>
      <c r="G209" s="442" t="s">
        <v>3364</v>
      </c>
      <c r="H209" s="212" t="s">
        <v>24</v>
      </c>
      <c r="I209" s="207" t="s">
        <v>806</v>
      </c>
      <c r="J209" s="207" t="s">
        <v>1303</v>
      </c>
      <c r="K209" s="205" t="s">
        <v>706</v>
      </c>
      <c r="L209" s="567"/>
    </row>
    <row r="210" spans="1:13" ht="13" customHeight="1">
      <c r="A210" s="567"/>
      <c r="B210" s="207" t="s">
        <v>1324</v>
      </c>
      <c r="C210" s="207" t="s">
        <v>1305</v>
      </c>
      <c r="D210" s="207" t="s">
        <v>1306</v>
      </c>
      <c r="E210" s="207" t="s">
        <v>299</v>
      </c>
      <c r="F210" s="442" t="s">
        <v>3364</v>
      </c>
      <c r="G210" s="442" t="s">
        <v>3364</v>
      </c>
      <c r="H210" s="212" t="s">
        <v>24</v>
      </c>
      <c r="I210" s="207" t="s">
        <v>806</v>
      </c>
      <c r="J210" s="207" t="s">
        <v>1307</v>
      </c>
      <c r="K210" s="205" t="s">
        <v>706</v>
      </c>
      <c r="L210" s="567"/>
    </row>
    <row r="211" spans="1:13" ht="13" customHeight="1">
      <c r="A211" s="567"/>
      <c r="B211" s="392" t="s">
        <v>3767</v>
      </c>
      <c r="C211" s="392" t="s">
        <v>3738</v>
      </c>
      <c r="D211" s="392" t="s">
        <v>3733</v>
      </c>
      <c r="E211" s="392" t="s">
        <v>299</v>
      </c>
      <c r="F211" s="467" t="s">
        <v>3727</v>
      </c>
      <c r="G211" s="467" t="s">
        <v>3724</v>
      </c>
      <c r="H211" s="467" t="s">
        <v>24</v>
      </c>
      <c r="I211" s="392" t="s">
        <v>3728</v>
      </c>
      <c r="J211" s="70" t="s">
        <v>3735</v>
      </c>
      <c r="K211" s="466"/>
      <c r="L211" s="567"/>
    </row>
    <row r="212" spans="1:13" ht="13" customHeight="1">
      <c r="A212" s="567"/>
      <c r="B212" s="392" t="s">
        <v>3766</v>
      </c>
      <c r="C212" s="392" t="s">
        <v>3739</v>
      </c>
      <c r="D212" s="392" t="s">
        <v>3740</v>
      </c>
      <c r="E212" s="392" t="s">
        <v>299</v>
      </c>
      <c r="F212" s="467" t="s">
        <v>3727</v>
      </c>
      <c r="G212" s="467" t="s">
        <v>3741</v>
      </c>
      <c r="H212" s="467" t="s">
        <v>24</v>
      </c>
      <c r="I212" s="392" t="s">
        <v>3742</v>
      </c>
      <c r="J212" s="70" t="s">
        <v>3743</v>
      </c>
      <c r="K212" s="466" t="s">
        <v>706</v>
      </c>
      <c r="L212" s="567"/>
    </row>
    <row r="213" spans="1:13" ht="13" customHeight="1">
      <c r="A213" s="567"/>
      <c r="B213" s="288" t="s">
        <v>2478</v>
      </c>
      <c r="C213" s="288" t="s">
        <v>2474</v>
      </c>
      <c r="D213" s="207" t="s">
        <v>1308</v>
      </c>
      <c r="E213" s="207" t="s">
        <v>577</v>
      </c>
      <c r="F213" s="442" t="s">
        <v>3364</v>
      </c>
      <c r="G213" s="442" t="s">
        <v>3364</v>
      </c>
      <c r="H213" s="212" t="s">
        <v>24</v>
      </c>
      <c r="I213" s="207" t="s">
        <v>71</v>
      </c>
      <c r="J213" s="207" t="s">
        <v>1059</v>
      </c>
      <c r="K213" s="205" t="s">
        <v>706</v>
      </c>
      <c r="L213" s="567"/>
    </row>
    <row r="214" spans="1:13" ht="13" customHeight="1">
      <c r="A214" s="567"/>
      <c r="B214" s="207" t="s">
        <v>1325</v>
      </c>
      <c r="C214" s="207" t="s">
        <v>1061</v>
      </c>
      <c r="D214" s="207" t="s">
        <v>1062</v>
      </c>
      <c r="E214" s="207" t="s">
        <v>577</v>
      </c>
      <c r="F214" s="442" t="s">
        <v>3364</v>
      </c>
      <c r="G214" s="442" t="s">
        <v>3364</v>
      </c>
      <c r="H214" s="212" t="s">
        <v>24</v>
      </c>
      <c r="I214" s="207" t="s">
        <v>1063</v>
      </c>
      <c r="J214" s="207" t="s">
        <v>1064</v>
      </c>
      <c r="K214" s="205" t="s">
        <v>706</v>
      </c>
      <c r="L214" s="567"/>
    </row>
    <row r="215" spans="1:13" ht="13" customHeight="1">
      <c r="A215" s="567"/>
      <c r="B215" s="207" t="s">
        <v>1326</v>
      </c>
      <c r="C215" s="207" t="s">
        <v>1066</v>
      </c>
      <c r="D215" s="207" t="s">
        <v>1067</v>
      </c>
      <c r="E215" s="207" t="s">
        <v>577</v>
      </c>
      <c r="F215" s="442" t="s">
        <v>3351</v>
      </c>
      <c r="G215" s="442" t="s">
        <v>3355</v>
      </c>
      <c r="H215" s="212" t="s">
        <v>24</v>
      </c>
      <c r="I215" s="207" t="s">
        <v>1016</v>
      </c>
      <c r="J215" s="207" t="s">
        <v>1068</v>
      </c>
      <c r="K215" s="205" t="s">
        <v>706</v>
      </c>
      <c r="L215" s="567"/>
    </row>
    <row r="216" spans="1:13" ht="13" customHeight="1">
      <c r="A216" s="567"/>
      <c r="B216" s="207" t="s">
        <v>1327</v>
      </c>
      <c r="C216" s="207" t="s">
        <v>1070</v>
      </c>
      <c r="D216" s="207" t="s">
        <v>1071</v>
      </c>
      <c r="E216" s="207" t="s">
        <v>577</v>
      </c>
      <c r="F216" s="442" t="s">
        <v>3364</v>
      </c>
      <c r="G216" s="442" t="s">
        <v>3364</v>
      </c>
      <c r="H216" s="212" t="s">
        <v>57</v>
      </c>
      <c r="I216" s="207" t="s">
        <v>1072</v>
      </c>
      <c r="J216" s="207" t="s">
        <v>1116</v>
      </c>
      <c r="K216" s="205" t="s">
        <v>706</v>
      </c>
      <c r="L216" s="567"/>
      <c r="M216" s="230"/>
    </row>
    <row r="217" spans="1:13" ht="13" customHeight="1">
      <c r="A217" s="567"/>
      <c r="B217" s="207" t="s">
        <v>1328</v>
      </c>
      <c r="C217" s="207" t="s">
        <v>1074</v>
      </c>
      <c r="D217" s="70" t="s">
        <v>1075</v>
      </c>
      <c r="E217" s="207" t="s">
        <v>577</v>
      </c>
      <c r="F217" s="442" t="s">
        <v>3351</v>
      </c>
      <c r="G217" s="442" t="s">
        <v>3356</v>
      </c>
      <c r="H217" s="212" t="s">
        <v>24</v>
      </c>
      <c r="I217" s="207" t="s">
        <v>1076</v>
      </c>
      <c r="J217" s="70" t="s">
        <v>1077</v>
      </c>
      <c r="K217" s="205" t="s">
        <v>706</v>
      </c>
      <c r="L217" s="567"/>
    </row>
    <row r="218" spans="1:13" ht="13" customHeight="1">
      <c r="A218" s="567"/>
      <c r="B218" s="207" t="s">
        <v>1329</v>
      </c>
      <c r="C218" s="207" t="s">
        <v>1079</v>
      </c>
      <c r="D218" s="207" t="s">
        <v>1080</v>
      </c>
      <c r="E218" s="207" t="s">
        <v>577</v>
      </c>
      <c r="F218" s="442" t="s">
        <v>3351</v>
      </c>
      <c r="G218" s="442" t="s">
        <v>3357</v>
      </c>
      <c r="H218" s="212" t="s">
        <v>24</v>
      </c>
      <c r="I218" s="207" t="s">
        <v>1081</v>
      </c>
      <c r="J218" s="207" t="s">
        <v>1261</v>
      </c>
      <c r="K218" s="205" t="s">
        <v>706</v>
      </c>
      <c r="L218" s="567"/>
    </row>
    <row r="219" spans="1:13" ht="13" customHeight="1">
      <c r="A219" s="567"/>
      <c r="B219" s="207" t="s">
        <v>1330</v>
      </c>
      <c r="C219" s="207" t="s">
        <v>1083</v>
      </c>
      <c r="D219" s="207" t="s">
        <v>1084</v>
      </c>
      <c r="E219" s="207" t="s">
        <v>577</v>
      </c>
      <c r="F219" s="442" t="s">
        <v>3351</v>
      </c>
      <c r="G219" s="442" t="s">
        <v>3358</v>
      </c>
      <c r="H219" s="212" t="s">
        <v>24</v>
      </c>
      <c r="I219" s="207" t="s">
        <v>350</v>
      </c>
      <c r="J219" s="70" t="s">
        <v>2956</v>
      </c>
      <c r="K219" s="205" t="s">
        <v>706</v>
      </c>
      <c r="L219" s="567"/>
    </row>
    <row r="220" spans="1:13" ht="13" customHeight="1">
      <c r="A220" s="567"/>
      <c r="B220" s="207" t="s">
        <v>1331</v>
      </c>
      <c r="C220" s="207" t="s">
        <v>1087</v>
      </c>
      <c r="D220" s="207" t="s">
        <v>1088</v>
      </c>
      <c r="E220" s="207" t="s">
        <v>577</v>
      </c>
      <c r="F220" s="442" t="s">
        <v>3364</v>
      </c>
      <c r="G220" s="442" t="s">
        <v>3364</v>
      </c>
      <c r="H220" s="212" t="s">
        <v>24</v>
      </c>
      <c r="I220" s="207" t="s">
        <v>1089</v>
      </c>
      <c r="J220" s="207" t="s">
        <v>1148</v>
      </c>
      <c r="K220" s="205" t="s">
        <v>706</v>
      </c>
      <c r="L220" s="567"/>
    </row>
    <row r="221" spans="1:13" ht="13" customHeight="1">
      <c r="A221" s="567"/>
      <c r="B221" s="207" t="s">
        <v>1332</v>
      </c>
      <c r="C221" s="207" t="s">
        <v>1205</v>
      </c>
      <c r="D221" s="207" t="s">
        <v>1206</v>
      </c>
      <c r="E221" s="207" t="s">
        <v>369</v>
      </c>
      <c r="F221" s="442" t="s">
        <v>3364</v>
      </c>
      <c r="G221" s="442" t="s">
        <v>3364</v>
      </c>
      <c r="H221" s="212" t="s">
        <v>24</v>
      </c>
      <c r="I221" s="207" t="s">
        <v>71</v>
      </c>
      <c r="J221" s="70" t="s">
        <v>1207</v>
      </c>
      <c r="K221" s="205" t="s">
        <v>706</v>
      </c>
      <c r="L221" s="567"/>
    </row>
    <row r="222" spans="1:13" ht="13" customHeight="1">
      <c r="A222" s="567"/>
      <c r="B222" s="207" t="s">
        <v>1333</v>
      </c>
      <c r="C222" s="207" t="s">
        <v>1092</v>
      </c>
      <c r="D222" s="207" t="s">
        <v>1093</v>
      </c>
      <c r="E222" s="207" t="s">
        <v>369</v>
      </c>
      <c r="F222" s="442" t="s">
        <v>3364</v>
      </c>
      <c r="G222" s="442" t="s">
        <v>3364</v>
      </c>
      <c r="H222" s="212" t="s">
        <v>24</v>
      </c>
      <c r="I222" s="207" t="s">
        <v>350</v>
      </c>
      <c r="J222" s="70" t="s">
        <v>1094</v>
      </c>
      <c r="K222" s="205" t="s">
        <v>706</v>
      </c>
      <c r="L222" s="567"/>
    </row>
    <row r="223" spans="1:13" ht="13" customHeight="1">
      <c r="A223" s="578"/>
      <c r="B223" s="207" t="s">
        <v>1334</v>
      </c>
      <c r="C223" s="207" t="s">
        <v>1095</v>
      </c>
      <c r="D223" s="207" t="s">
        <v>1096</v>
      </c>
      <c r="E223" s="288" t="s">
        <v>369</v>
      </c>
      <c r="F223" s="442" t="s">
        <v>3351</v>
      </c>
      <c r="G223" s="442" t="s">
        <v>3359</v>
      </c>
      <c r="H223" s="212" t="s">
        <v>24</v>
      </c>
      <c r="I223" s="207" t="s">
        <v>71</v>
      </c>
      <c r="J223" s="70" t="s">
        <v>3386</v>
      </c>
      <c r="K223" s="205" t="s">
        <v>706</v>
      </c>
      <c r="L223" s="578"/>
    </row>
    <row r="224" spans="1:13" ht="13" customHeight="1">
      <c r="A224" s="577" t="s">
        <v>1335</v>
      </c>
      <c r="B224" s="207" t="s">
        <v>1336</v>
      </c>
      <c r="C224" s="207" t="s">
        <v>675</v>
      </c>
      <c r="D224" s="207" t="s">
        <v>676</v>
      </c>
      <c r="E224" s="207" t="s">
        <v>299</v>
      </c>
      <c r="F224" s="442" t="s">
        <v>3364</v>
      </c>
      <c r="G224" s="442" t="s">
        <v>3364</v>
      </c>
      <c r="H224" s="212" t="s">
        <v>24</v>
      </c>
      <c r="I224" s="207" t="s">
        <v>71</v>
      </c>
      <c r="J224" s="392" t="s">
        <v>3387</v>
      </c>
      <c r="K224" s="205" t="s">
        <v>706</v>
      </c>
      <c r="L224" s="577" t="s">
        <v>1337</v>
      </c>
      <c r="M224" s="230"/>
    </row>
    <row r="225" spans="1:13" ht="13" customHeight="1">
      <c r="A225" s="567"/>
      <c r="B225" s="207" t="s">
        <v>1338</v>
      </c>
      <c r="C225" s="207" t="s">
        <v>1339</v>
      </c>
      <c r="D225" s="207" t="s">
        <v>1340</v>
      </c>
      <c r="E225" s="207" t="s">
        <v>299</v>
      </c>
      <c r="F225" s="442" t="s">
        <v>3351</v>
      </c>
      <c r="G225" s="442" t="s">
        <v>3352</v>
      </c>
      <c r="H225" s="212" t="s">
        <v>24</v>
      </c>
      <c r="I225" s="207" t="s">
        <v>1341</v>
      </c>
      <c r="J225" s="207" t="s">
        <v>1342</v>
      </c>
      <c r="K225" s="205" t="s">
        <v>706</v>
      </c>
      <c r="L225" s="567"/>
    </row>
    <row r="226" spans="1:13" ht="13" customHeight="1">
      <c r="A226" s="567"/>
      <c r="B226" s="207" t="s">
        <v>1343</v>
      </c>
      <c r="C226" s="207" t="s">
        <v>1344</v>
      </c>
      <c r="D226" s="207" t="s">
        <v>1345</v>
      </c>
      <c r="E226" s="207" t="s">
        <v>299</v>
      </c>
      <c r="F226" s="442" t="s">
        <v>3351</v>
      </c>
      <c r="G226" s="442" t="s">
        <v>3353</v>
      </c>
      <c r="H226" s="212" t="s">
        <v>24</v>
      </c>
      <c r="I226" s="207" t="s">
        <v>1255</v>
      </c>
      <c r="J226" s="207" t="s">
        <v>1346</v>
      </c>
      <c r="K226" s="205" t="s">
        <v>706</v>
      </c>
      <c r="L226" s="567"/>
    </row>
    <row r="227" spans="1:13" ht="13" customHeight="1">
      <c r="A227" s="567"/>
      <c r="B227" s="207" t="s">
        <v>1347</v>
      </c>
      <c r="C227" s="207" t="s">
        <v>1348</v>
      </c>
      <c r="D227" s="207" t="s">
        <v>1349</v>
      </c>
      <c r="E227" s="207" t="s">
        <v>299</v>
      </c>
      <c r="F227" s="442" t="s">
        <v>3351</v>
      </c>
      <c r="G227" s="442" t="s">
        <v>3354</v>
      </c>
      <c r="H227" s="212" t="s">
        <v>24</v>
      </c>
      <c r="I227" s="207" t="s">
        <v>806</v>
      </c>
      <c r="J227" s="207" t="s">
        <v>1350</v>
      </c>
      <c r="K227" s="205" t="s">
        <v>706</v>
      </c>
      <c r="L227" s="567"/>
    </row>
    <row r="228" spans="1:13" ht="13" customHeight="1">
      <c r="A228" s="567"/>
      <c r="B228" s="207" t="s">
        <v>1351</v>
      </c>
      <c r="C228" s="207" t="s">
        <v>1061</v>
      </c>
      <c r="D228" s="207" t="s">
        <v>1062</v>
      </c>
      <c r="E228" s="207" t="s">
        <v>299</v>
      </c>
      <c r="F228" s="442" t="s">
        <v>3364</v>
      </c>
      <c r="G228" s="442" t="s">
        <v>3364</v>
      </c>
      <c r="H228" s="212" t="s">
        <v>24</v>
      </c>
      <c r="I228" s="207" t="s">
        <v>1063</v>
      </c>
      <c r="J228" s="207" t="s">
        <v>1352</v>
      </c>
      <c r="K228" s="205" t="s">
        <v>706</v>
      </c>
      <c r="L228" s="567"/>
    </row>
    <row r="229" spans="1:13" ht="13" customHeight="1">
      <c r="A229" s="567"/>
      <c r="B229" s="207" t="s">
        <v>1353</v>
      </c>
      <c r="C229" s="207" t="s">
        <v>1066</v>
      </c>
      <c r="D229" s="207" t="s">
        <v>1067</v>
      </c>
      <c r="E229" s="207" t="s">
        <v>299</v>
      </c>
      <c r="F229" s="442" t="s">
        <v>3351</v>
      </c>
      <c r="G229" s="442" t="s">
        <v>3355</v>
      </c>
      <c r="H229" s="212" t="s">
        <v>24</v>
      </c>
      <c r="I229" s="207" t="s">
        <v>1016</v>
      </c>
      <c r="J229" s="207" t="s">
        <v>1354</v>
      </c>
      <c r="K229" s="205" t="s">
        <v>706</v>
      </c>
      <c r="L229" s="567"/>
    </row>
    <row r="230" spans="1:13" ht="13" customHeight="1">
      <c r="A230" s="567"/>
      <c r="B230" s="207" t="s">
        <v>1355</v>
      </c>
      <c r="C230" s="207" t="s">
        <v>1070</v>
      </c>
      <c r="D230" s="207" t="s">
        <v>1071</v>
      </c>
      <c r="E230" s="207" t="s">
        <v>299</v>
      </c>
      <c r="F230" s="442" t="s">
        <v>3364</v>
      </c>
      <c r="G230" s="442" t="s">
        <v>3364</v>
      </c>
      <c r="H230" s="212" t="s">
        <v>57</v>
      </c>
      <c r="I230" s="207" t="s">
        <v>1072</v>
      </c>
      <c r="J230" s="207" t="s">
        <v>1356</v>
      </c>
      <c r="K230" s="205" t="s">
        <v>706</v>
      </c>
      <c r="L230" s="567"/>
      <c r="M230" s="230"/>
    </row>
    <row r="231" spans="1:13" ht="13" customHeight="1">
      <c r="A231" s="567"/>
      <c r="B231" s="207" t="s">
        <v>1357</v>
      </c>
      <c r="C231" s="207" t="s">
        <v>1074</v>
      </c>
      <c r="D231" s="70" t="s">
        <v>1075</v>
      </c>
      <c r="E231" s="207" t="s">
        <v>299</v>
      </c>
      <c r="F231" s="442" t="s">
        <v>3351</v>
      </c>
      <c r="G231" s="442" t="s">
        <v>3356</v>
      </c>
      <c r="H231" s="212" t="s">
        <v>24</v>
      </c>
      <c r="I231" s="207" t="s">
        <v>1076</v>
      </c>
      <c r="J231" s="70" t="s">
        <v>1077</v>
      </c>
      <c r="K231" s="205" t="s">
        <v>706</v>
      </c>
      <c r="L231" s="567"/>
    </row>
    <row r="232" spans="1:13" ht="13" customHeight="1">
      <c r="A232" s="567"/>
      <c r="B232" s="207" t="s">
        <v>1358</v>
      </c>
      <c r="C232" s="207" t="s">
        <v>1079</v>
      </c>
      <c r="D232" s="207" t="s">
        <v>1080</v>
      </c>
      <c r="E232" s="207" t="s">
        <v>299</v>
      </c>
      <c r="F232" s="442" t="s">
        <v>3351</v>
      </c>
      <c r="G232" s="442" t="s">
        <v>3357</v>
      </c>
      <c r="H232" s="212" t="s">
        <v>24</v>
      </c>
      <c r="I232" s="207" t="s">
        <v>1081</v>
      </c>
      <c r="J232" s="207" t="s">
        <v>1359</v>
      </c>
      <c r="K232" s="205" t="s">
        <v>706</v>
      </c>
      <c r="L232" s="567"/>
    </row>
    <row r="233" spans="1:13" ht="13" customHeight="1">
      <c r="A233" s="567"/>
      <c r="B233" s="207" t="s">
        <v>1360</v>
      </c>
      <c r="C233" s="207" t="s">
        <v>1087</v>
      </c>
      <c r="D233" s="207" t="s">
        <v>1088</v>
      </c>
      <c r="E233" s="207" t="s">
        <v>299</v>
      </c>
      <c r="F233" s="442" t="s">
        <v>3364</v>
      </c>
      <c r="G233" s="442" t="s">
        <v>3364</v>
      </c>
      <c r="H233" s="212" t="s">
        <v>24</v>
      </c>
      <c r="I233" s="207" t="s">
        <v>1089</v>
      </c>
      <c r="J233" s="207" t="s">
        <v>1361</v>
      </c>
      <c r="K233" s="205" t="s">
        <v>706</v>
      </c>
      <c r="L233" s="567"/>
    </row>
    <row r="234" spans="1:13" ht="13" customHeight="1">
      <c r="A234" s="567"/>
      <c r="B234" s="207" t="s">
        <v>1362</v>
      </c>
      <c r="C234" s="207" t="s">
        <v>1363</v>
      </c>
      <c r="D234" s="207" t="s">
        <v>1084</v>
      </c>
      <c r="E234" s="288" t="s">
        <v>299</v>
      </c>
      <c r="F234" s="442" t="s">
        <v>3364</v>
      </c>
      <c r="G234" s="442" t="s">
        <v>3364</v>
      </c>
      <c r="H234" s="212" t="s">
        <v>24</v>
      </c>
      <c r="I234" s="207" t="s">
        <v>350</v>
      </c>
      <c r="J234" s="392" t="s">
        <v>2956</v>
      </c>
      <c r="K234" s="205" t="s">
        <v>706</v>
      </c>
      <c r="L234" s="567"/>
    </row>
    <row r="235" spans="1:13" ht="13" customHeight="1">
      <c r="A235" s="567"/>
      <c r="B235" s="207" t="s">
        <v>1364</v>
      </c>
      <c r="C235" s="207" t="s">
        <v>1057</v>
      </c>
      <c r="D235" s="207" t="s">
        <v>1365</v>
      </c>
      <c r="E235" s="207" t="s">
        <v>299</v>
      </c>
      <c r="F235" s="442" t="s">
        <v>3364</v>
      </c>
      <c r="G235" s="442" t="s">
        <v>3364</v>
      </c>
      <c r="H235" s="212" t="s">
        <v>24</v>
      </c>
      <c r="I235" s="207" t="s">
        <v>71</v>
      </c>
      <c r="J235" s="207" t="s">
        <v>1059</v>
      </c>
      <c r="K235" s="205" t="s">
        <v>706</v>
      </c>
      <c r="L235" s="567"/>
    </row>
    <row r="236" spans="1:13" ht="13" customHeight="1">
      <c r="A236" s="567"/>
      <c r="B236" s="207" t="s">
        <v>1366</v>
      </c>
      <c r="C236" s="207" t="s">
        <v>675</v>
      </c>
      <c r="D236" s="207" t="s">
        <v>676</v>
      </c>
      <c r="E236" s="207" t="s">
        <v>577</v>
      </c>
      <c r="F236" s="442" t="s">
        <v>3364</v>
      </c>
      <c r="G236" s="442" t="s">
        <v>3364</v>
      </c>
      <c r="H236" s="212" t="s">
        <v>24</v>
      </c>
      <c r="I236" s="207" t="s">
        <v>71</v>
      </c>
      <c r="J236" s="207" t="s">
        <v>1048</v>
      </c>
      <c r="K236" s="205" t="s">
        <v>706</v>
      </c>
      <c r="L236" s="567"/>
      <c r="M236" s="230"/>
    </row>
    <row r="237" spans="1:13" ht="13" customHeight="1">
      <c r="A237" s="567"/>
      <c r="B237" s="207" t="s">
        <v>1367</v>
      </c>
      <c r="C237" s="207" t="s">
        <v>1339</v>
      </c>
      <c r="D237" s="207" t="s">
        <v>1340</v>
      </c>
      <c r="E237" s="207" t="s">
        <v>299</v>
      </c>
      <c r="F237" s="442" t="s">
        <v>3351</v>
      </c>
      <c r="G237" s="442" t="s">
        <v>3352</v>
      </c>
      <c r="H237" s="212" t="s">
        <v>24</v>
      </c>
      <c r="I237" s="207" t="s">
        <v>1341</v>
      </c>
      <c r="J237" s="207" t="s">
        <v>1342</v>
      </c>
      <c r="K237" s="205" t="s">
        <v>706</v>
      </c>
      <c r="L237" s="567"/>
    </row>
    <row r="238" spans="1:13" ht="13" customHeight="1">
      <c r="A238" s="567"/>
      <c r="B238" s="207" t="s">
        <v>1368</v>
      </c>
      <c r="C238" s="207" t="s">
        <v>1344</v>
      </c>
      <c r="D238" s="207" t="s">
        <v>1345</v>
      </c>
      <c r="E238" s="207" t="s">
        <v>299</v>
      </c>
      <c r="F238" s="442" t="s">
        <v>3351</v>
      </c>
      <c r="G238" s="442" t="s">
        <v>3353</v>
      </c>
      <c r="H238" s="212" t="s">
        <v>24</v>
      </c>
      <c r="I238" s="207" t="s">
        <v>1255</v>
      </c>
      <c r="J238" s="207" t="s">
        <v>1346</v>
      </c>
      <c r="K238" s="205" t="s">
        <v>706</v>
      </c>
      <c r="L238" s="567"/>
    </row>
    <row r="239" spans="1:13" ht="13" customHeight="1">
      <c r="A239" s="567"/>
      <c r="B239" s="207" t="s">
        <v>1369</v>
      </c>
      <c r="C239" s="207" t="s">
        <v>1348</v>
      </c>
      <c r="D239" s="207" t="s">
        <v>1349</v>
      </c>
      <c r="E239" s="207" t="s">
        <v>299</v>
      </c>
      <c r="F239" s="442" t="s">
        <v>3351</v>
      </c>
      <c r="G239" s="442" t="s">
        <v>3354</v>
      </c>
      <c r="H239" s="212" t="s">
        <v>24</v>
      </c>
      <c r="I239" s="207" t="s">
        <v>806</v>
      </c>
      <c r="J239" s="207" t="s">
        <v>1350</v>
      </c>
      <c r="K239" s="205" t="s">
        <v>706</v>
      </c>
      <c r="L239" s="567"/>
    </row>
    <row r="240" spans="1:13" ht="13" customHeight="1">
      <c r="A240" s="567"/>
      <c r="B240" s="207" t="s">
        <v>1370</v>
      </c>
      <c r="C240" s="207" t="s">
        <v>1061</v>
      </c>
      <c r="D240" s="207" t="s">
        <v>1062</v>
      </c>
      <c r="E240" s="207" t="s">
        <v>577</v>
      </c>
      <c r="F240" s="442" t="s">
        <v>3364</v>
      </c>
      <c r="G240" s="442" t="s">
        <v>3364</v>
      </c>
      <c r="H240" s="212" t="s">
        <v>24</v>
      </c>
      <c r="I240" s="207" t="s">
        <v>1063</v>
      </c>
      <c r="J240" s="207" t="s">
        <v>1352</v>
      </c>
      <c r="K240" s="205" t="s">
        <v>706</v>
      </c>
      <c r="L240" s="567"/>
    </row>
    <row r="241" spans="1:13" ht="13" customHeight="1">
      <c r="A241" s="567"/>
      <c r="B241" s="392" t="s">
        <v>3719</v>
      </c>
      <c r="C241" s="207" t="s">
        <v>1066</v>
      </c>
      <c r="D241" s="207" t="s">
        <v>1067</v>
      </c>
      <c r="E241" s="207" t="s">
        <v>577</v>
      </c>
      <c r="F241" s="442" t="s">
        <v>3365</v>
      </c>
      <c r="G241" s="442" t="s">
        <v>3355</v>
      </c>
      <c r="H241" s="212" t="s">
        <v>24</v>
      </c>
      <c r="I241" s="207" t="s">
        <v>1016</v>
      </c>
      <c r="J241" s="207" t="s">
        <v>1354</v>
      </c>
      <c r="K241" s="205" t="s">
        <v>706</v>
      </c>
      <c r="L241" s="567"/>
    </row>
    <row r="242" spans="1:13" ht="13" customHeight="1">
      <c r="A242" s="567"/>
      <c r="B242" s="207" t="s">
        <v>1371</v>
      </c>
      <c r="C242" s="207" t="s">
        <v>1070</v>
      </c>
      <c r="D242" s="207" t="s">
        <v>1071</v>
      </c>
      <c r="E242" s="207" t="s">
        <v>577</v>
      </c>
      <c r="F242" s="442" t="s">
        <v>3364</v>
      </c>
      <c r="G242" s="442" t="s">
        <v>3364</v>
      </c>
      <c r="H242" s="212" t="s">
        <v>57</v>
      </c>
      <c r="I242" s="207" t="s">
        <v>1072</v>
      </c>
      <c r="J242" s="207" t="s">
        <v>1116</v>
      </c>
      <c r="K242" s="205" t="s">
        <v>706</v>
      </c>
      <c r="L242" s="567"/>
      <c r="M242" s="230"/>
    </row>
    <row r="243" spans="1:13" ht="13" customHeight="1">
      <c r="A243" s="567"/>
      <c r="B243" s="207" t="s">
        <v>1372</v>
      </c>
      <c r="C243" s="207" t="s">
        <v>1074</v>
      </c>
      <c r="D243" s="70" t="s">
        <v>1075</v>
      </c>
      <c r="E243" s="207" t="s">
        <v>577</v>
      </c>
      <c r="F243" s="442" t="s">
        <v>3364</v>
      </c>
      <c r="G243" s="442" t="s">
        <v>3356</v>
      </c>
      <c r="H243" s="212" t="s">
        <v>24</v>
      </c>
      <c r="I243" s="207" t="s">
        <v>1076</v>
      </c>
      <c r="J243" s="70" t="s">
        <v>1077</v>
      </c>
      <c r="K243" s="205" t="s">
        <v>706</v>
      </c>
      <c r="L243" s="567"/>
    </row>
    <row r="244" spans="1:13" ht="13" customHeight="1">
      <c r="A244" s="567"/>
      <c r="B244" s="207" t="s">
        <v>1373</v>
      </c>
      <c r="C244" s="207" t="s">
        <v>1079</v>
      </c>
      <c r="D244" s="207" t="s">
        <v>1080</v>
      </c>
      <c r="E244" s="207" t="s">
        <v>577</v>
      </c>
      <c r="F244" s="442" t="s">
        <v>3364</v>
      </c>
      <c r="G244" s="442" t="s">
        <v>3357</v>
      </c>
      <c r="H244" s="212" t="s">
        <v>24</v>
      </c>
      <c r="I244" s="207" t="s">
        <v>1081</v>
      </c>
      <c r="J244" s="207" t="s">
        <v>1359</v>
      </c>
      <c r="K244" s="205" t="s">
        <v>706</v>
      </c>
      <c r="L244" s="567"/>
    </row>
    <row r="245" spans="1:13" ht="13" customHeight="1">
      <c r="A245" s="567"/>
      <c r="B245" s="207" t="s">
        <v>1374</v>
      </c>
      <c r="C245" s="207" t="s">
        <v>1087</v>
      </c>
      <c r="D245" s="207" t="s">
        <v>1088</v>
      </c>
      <c r="E245" s="207" t="s">
        <v>577</v>
      </c>
      <c r="F245" s="442" t="s">
        <v>3364</v>
      </c>
      <c r="G245" s="442" t="s">
        <v>3364</v>
      </c>
      <c r="H245" s="212" t="s">
        <v>24</v>
      </c>
      <c r="I245" s="207" t="s">
        <v>1089</v>
      </c>
      <c r="J245" s="207" t="s">
        <v>1361</v>
      </c>
      <c r="K245" s="205" t="s">
        <v>706</v>
      </c>
      <c r="L245" s="578"/>
    </row>
    <row r="246" spans="1:13" ht="13" customHeight="1">
      <c r="A246" s="567"/>
      <c r="B246" s="207" t="s">
        <v>1375</v>
      </c>
      <c r="C246" s="207" t="s">
        <v>1363</v>
      </c>
      <c r="D246" s="207" t="s">
        <v>1084</v>
      </c>
      <c r="E246" s="288" t="s">
        <v>2414</v>
      </c>
      <c r="F246" s="442" t="s">
        <v>3364</v>
      </c>
      <c r="G246" s="442" t="s">
        <v>3364</v>
      </c>
      <c r="H246" s="212" t="s">
        <v>24</v>
      </c>
      <c r="I246" s="207" t="s">
        <v>350</v>
      </c>
      <c r="J246" s="392" t="s">
        <v>2956</v>
      </c>
      <c r="K246" s="205" t="s">
        <v>706</v>
      </c>
      <c r="L246" s="204"/>
    </row>
    <row r="247" spans="1:13" ht="13" customHeight="1">
      <c r="A247" s="578"/>
      <c r="B247" s="207" t="s">
        <v>1376</v>
      </c>
      <c r="C247" s="207" t="s">
        <v>1057</v>
      </c>
      <c r="D247" s="207" t="s">
        <v>1365</v>
      </c>
      <c r="E247" s="207" t="s">
        <v>299</v>
      </c>
      <c r="F247" s="442" t="s">
        <v>3364</v>
      </c>
      <c r="G247" s="442" t="s">
        <v>3364</v>
      </c>
      <c r="H247" s="212" t="s">
        <v>24</v>
      </c>
      <c r="I247" s="207" t="s">
        <v>71</v>
      </c>
      <c r="J247" s="392" t="s">
        <v>3381</v>
      </c>
      <c r="K247" s="205" t="s">
        <v>706</v>
      </c>
      <c r="L247" s="204"/>
    </row>
    <row r="248" spans="1:13" ht="13" customHeight="1">
      <c r="A248" s="577" t="s">
        <v>1377</v>
      </c>
      <c r="B248" s="207" t="s">
        <v>1378</v>
      </c>
      <c r="C248" s="207" t="s">
        <v>675</v>
      </c>
      <c r="D248" s="207" t="s">
        <v>676</v>
      </c>
      <c r="E248" s="207" t="s">
        <v>299</v>
      </c>
      <c r="F248" s="442" t="s">
        <v>3364</v>
      </c>
      <c r="G248" s="442" t="s">
        <v>3364</v>
      </c>
      <c r="H248" s="212" t="s">
        <v>24</v>
      </c>
      <c r="I248" s="207" t="s">
        <v>71</v>
      </c>
      <c r="J248" s="392" t="s">
        <v>3387</v>
      </c>
      <c r="K248" s="205" t="s">
        <v>706</v>
      </c>
      <c r="L248" s="577" t="s">
        <v>1379</v>
      </c>
      <c r="M248" s="230"/>
    </row>
    <row r="249" spans="1:13" ht="13" customHeight="1">
      <c r="A249" s="586"/>
      <c r="B249" s="207" t="s">
        <v>1380</v>
      </c>
      <c r="C249" s="207" t="s">
        <v>1381</v>
      </c>
      <c r="D249" s="207" t="s">
        <v>1382</v>
      </c>
      <c r="E249" s="207" t="s">
        <v>299</v>
      </c>
      <c r="F249" s="442" t="s">
        <v>3351</v>
      </c>
      <c r="G249" s="442" t="s">
        <v>3352</v>
      </c>
      <c r="H249" s="212" t="s">
        <v>24</v>
      </c>
      <c r="I249" s="207" t="s">
        <v>806</v>
      </c>
      <c r="J249" s="207" t="s">
        <v>1383</v>
      </c>
      <c r="K249" s="205" t="s">
        <v>706</v>
      </c>
      <c r="L249" s="567"/>
    </row>
    <row r="250" spans="1:13" ht="13" customHeight="1">
      <c r="A250" s="586"/>
      <c r="B250" s="207" t="s">
        <v>1384</v>
      </c>
      <c r="C250" s="207" t="s">
        <v>1385</v>
      </c>
      <c r="D250" s="207" t="s">
        <v>1386</v>
      </c>
      <c r="E250" s="207" t="s">
        <v>299</v>
      </c>
      <c r="F250" s="442" t="s">
        <v>3351</v>
      </c>
      <c r="G250" s="442" t="s">
        <v>3353</v>
      </c>
      <c r="H250" s="212" t="s">
        <v>24</v>
      </c>
      <c r="I250" s="207" t="s">
        <v>806</v>
      </c>
      <c r="J250" s="207" t="s">
        <v>1387</v>
      </c>
      <c r="K250" s="205" t="s">
        <v>706</v>
      </c>
      <c r="L250" s="567"/>
    </row>
    <row r="251" spans="1:13" ht="13" customHeight="1">
      <c r="A251" s="586"/>
      <c r="B251" s="207" t="s">
        <v>1388</v>
      </c>
      <c r="C251" s="207" t="s">
        <v>1389</v>
      </c>
      <c r="D251" s="207" t="s">
        <v>1390</v>
      </c>
      <c r="E251" s="207" t="s">
        <v>299</v>
      </c>
      <c r="F251" s="442" t="s">
        <v>3351</v>
      </c>
      <c r="G251" s="442" t="s">
        <v>3354</v>
      </c>
      <c r="H251" s="212" t="s">
        <v>24</v>
      </c>
      <c r="I251" s="207" t="s">
        <v>806</v>
      </c>
      <c r="J251" s="207" t="s">
        <v>1391</v>
      </c>
      <c r="K251" s="205" t="s">
        <v>706</v>
      </c>
      <c r="L251" s="567"/>
    </row>
    <row r="252" spans="1:13" ht="13" customHeight="1">
      <c r="A252" s="586"/>
      <c r="B252" s="392" t="s">
        <v>2959</v>
      </c>
      <c r="C252" s="207" t="s">
        <v>1392</v>
      </c>
      <c r="D252" s="207" t="s">
        <v>1393</v>
      </c>
      <c r="E252" s="207" t="s">
        <v>299</v>
      </c>
      <c r="F252" s="442" t="s">
        <v>3351</v>
      </c>
      <c r="G252" s="442" t="s">
        <v>3361</v>
      </c>
      <c r="H252" s="212" t="s">
        <v>24</v>
      </c>
      <c r="I252" s="207" t="s">
        <v>1341</v>
      </c>
      <c r="J252" s="207" t="s">
        <v>1394</v>
      </c>
      <c r="K252" s="205" t="s">
        <v>706</v>
      </c>
      <c r="L252" s="567"/>
    </row>
    <row r="253" spans="1:13" ht="13" customHeight="1">
      <c r="A253" s="586"/>
      <c r="B253" s="392" t="s">
        <v>2960</v>
      </c>
      <c r="C253" s="288" t="s">
        <v>1395</v>
      </c>
      <c r="D253" s="288" t="s">
        <v>1396</v>
      </c>
      <c r="E253" s="288" t="s">
        <v>299</v>
      </c>
      <c r="F253" s="442" t="s">
        <v>3351</v>
      </c>
      <c r="G253" s="442" t="s">
        <v>3362</v>
      </c>
      <c r="H253" s="289" t="s">
        <v>24</v>
      </c>
      <c r="I253" s="288" t="s">
        <v>1255</v>
      </c>
      <c r="J253" s="288" t="s">
        <v>1397</v>
      </c>
      <c r="K253" s="287" t="s">
        <v>706</v>
      </c>
      <c r="L253" s="567"/>
      <c r="M253" s="230"/>
    </row>
    <row r="254" spans="1:13" ht="13" customHeight="1">
      <c r="A254" s="586"/>
      <c r="B254" s="392" t="s">
        <v>2961</v>
      </c>
      <c r="C254" s="207" t="s">
        <v>1398</v>
      </c>
      <c r="D254" s="207" t="s">
        <v>1399</v>
      </c>
      <c r="E254" s="207" t="s">
        <v>299</v>
      </c>
      <c r="F254" s="442" t="s">
        <v>3351</v>
      </c>
      <c r="G254" s="442" t="s">
        <v>3363</v>
      </c>
      <c r="H254" s="212" t="s">
        <v>24</v>
      </c>
      <c r="I254" s="207" t="s">
        <v>806</v>
      </c>
      <c r="J254" s="207" t="s">
        <v>1400</v>
      </c>
      <c r="K254" s="205" t="s">
        <v>706</v>
      </c>
      <c r="L254" s="567"/>
      <c r="M254" s="230"/>
    </row>
    <row r="255" spans="1:13" ht="13" customHeight="1">
      <c r="A255" s="586"/>
      <c r="B255" s="207" t="s">
        <v>1401</v>
      </c>
      <c r="C255" s="207" t="s">
        <v>1061</v>
      </c>
      <c r="D255" s="207" t="s">
        <v>1062</v>
      </c>
      <c r="E255" s="207" t="s">
        <v>299</v>
      </c>
      <c r="F255" s="442" t="s">
        <v>3364</v>
      </c>
      <c r="G255" s="442" t="s">
        <v>3364</v>
      </c>
      <c r="H255" s="212" t="s">
        <v>24</v>
      </c>
      <c r="I255" s="207" t="s">
        <v>1063</v>
      </c>
      <c r="J255" s="207" t="s">
        <v>1402</v>
      </c>
      <c r="K255" s="205" t="s">
        <v>706</v>
      </c>
      <c r="L255" s="567"/>
      <c r="M255" s="230"/>
    </row>
    <row r="256" spans="1:13" ht="13" customHeight="1">
      <c r="A256" s="586"/>
      <c r="B256" s="207" t="s">
        <v>1403</v>
      </c>
      <c r="C256" s="207" t="s">
        <v>1066</v>
      </c>
      <c r="D256" s="207" t="s">
        <v>1067</v>
      </c>
      <c r="E256" s="207" t="s">
        <v>299</v>
      </c>
      <c r="F256" s="442" t="s">
        <v>3351</v>
      </c>
      <c r="G256" s="442" t="s">
        <v>3355</v>
      </c>
      <c r="H256" s="212" t="s">
        <v>24</v>
      </c>
      <c r="I256" s="207" t="s">
        <v>1016</v>
      </c>
      <c r="J256" s="207" t="s">
        <v>1354</v>
      </c>
      <c r="K256" s="205" t="s">
        <v>706</v>
      </c>
      <c r="L256" s="567"/>
    </row>
    <row r="257" spans="1:13" ht="13" customHeight="1">
      <c r="A257" s="586"/>
      <c r="B257" s="207" t="s">
        <v>1404</v>
      </c>
      <c r="C257" s="207" t="s">
        <v>1070</v>
      </c>
      <c r="D257" s="207" t="s">
        <v>1071</v>
      </c>
      <c r="E257" s="207" t="s">
        <v>299</v>
      </c>
      <c r="F257" s="442" t="s">
        <v>3364</v>
      </c>
      <c r="G257" s="442" t="s">
        <v>3364</v>
      </c>
      <c r="H257" s="212" t="s">
        <v>57</v>
      </c>
      <c r="I257" s="207" t="s">
        <v>1072</v>
      </c>
      <c r="J257" s="207" t="s">
        <v>1356</v>
      </c>
      <c r="K257" s="205" t="s">
        <v>706</v>
      </c>
      <c r="L257" s="567"/>
      <c r="M257" s="230"/>
    </row>
    <row r="258" spans="1:13" ht="13" customHeight="1">
      <c r="A258" s="586"/>
      <c r="B258" s="207" t="s">
        <v>1405</v>
      </c>
      <c r="C258" s="207" t="s">
        <v>1074</v>
      </c>
      <c r="D258" s="70" t="s">
        <v>1075</v>
      </c>
      <c r="E258" s="207" t="s">
        <v>299</v>
      </c>
      <c r="F258" s="442" t="s">
        <v>3351</v>
      </c>
      <c r="G258" s="442" t="s">
        <v>3356</v>
      </c>
      <c r="H258" s="212" t="s">
        <v>24</v>
      </c>
      <c r="I258" s="207" t="s">
        <v>1076</v>
      </c>
      <c r="J258" s="70" t="s">
        <v>1077</v>
      </c>
      <c r="K258" s="205" t="s">
        <v>706</v>
      </c>
      <c r="L258" s="567"/>
    </row>
    <row r="259" spans="1:13" ht="13" customHeight="1">
      <c r="A259" s="586"/>
      <c r="B259" s="207" t="s">
        <v>1406</v>
      </c>
      <c r="C259" s="207" t="s">
        <v>1079</v>
      </c>
      <c r="D259" s="207" t="s">
        <v>1080</v>
      </c>
      <c r="E259" s="207" t="s">
        <v>299</v>
      </c>
      <c r="F259" s="442" t="s">
        <v>3351</v>
      </c>
      <c r="G259" s="442" t="s">
        <v>3357</v>
      </c>
      <c r="H259" s="212" t="s">
        <v>24</v>
      </c>
      <c r="I259" s="207" t="s">
        <v>1081</v>
      </c>
      <c r="J259" s="207" t="s">
        <v>1407</v>
      </c>
      <c r="K259" s="205" t="s">
        <v>706</v>
      </c>
      <c r="L259" s="567"/>
    </row>
    <row r="260" spans="1:13" ht="13" customHeight="1">
      <c r="A260" s="586"/>
      <c r="B260" s="207" t="s">
        <v>1408</v>
      </c>
      <c r="C260" s="207" t="s">
        <v>1087</v>
      </c>
      <c r="D260" s="207" t="s">
        <v>1088</v>
      </c>
      <c r="E260" s="207" t="s">
        <v>299</v>
      </c>
      <c r="F260" s="442" t="s">
        <v>3364</v>
      </c>
      <c r="G260" s="442" t="s">
        <v>3364</v>
      </c>
      <c r="H260" s="212" t="s">
        <v>24</v>
      </c>
      <c r="I260" s="207" t="s">
        <v>1089</v>
      </c>
      <c r="J260" s="207" t="s">
        <v>1361</v>
      </c>
      <c r="K260" s="205" t="s">
        <v>706</v>
      </c>
      <c r="L260" s="567"/>
    </row>
    <row r="261" spans="1:13" ht="13" customHeight="1">
      <c r="A261" s="586"/>
      <c r="B261" s="207" t="s">
        <v>1409</v>
      </c>
      <c r="C261" s="207" t="s">
        <v>1363</v>
      </c>
      <c r="D261" s="207" t="s">
        <v>1084</v>
      </c>
      <c r="E261" s="288" t="s">
        <v>299</v>
      </c>
      <c r="F261" s="442" t="s">
        <v>3364</v>
      </c>
      <c r="G261" s="442" t="s">
        <v>3364</v>
      </c>
      <c r="H261" s="212" t="s">
        <v>24</v>
      </c>
      <c r="I261" s="207" t="s">
        <v>350</v>
      </c>
      <c r="J261" s="392" t="s">
        <v>2956</v>
      </c>
      <c r="K261" s="205" t="s">
        <v>706</v>
      </c>
      <c r="L261" s="567"/>
    </row>
    <row r="262" spans="1:13" ht="13" customHeight="1">
      <c r="A262" s="586"/>
      <c r="B262" s="207" t="s">
        <v>1410</v>
      </c>
      <c r="C262" s="207" t="s">
        <v>1057</v>
      </c>
      <c r="D262" s="207" t="s">
        <v>1411</v>
      </c>
      <c r="E262" s="207" t="s">
        <v>299</v>
      </c>
      <c r="F262" s="442" t="s">
        <v>3364</v>
      </c>
      <c r="G262" s="442" t="s">
        <v>3364</v>
      </c>
      <c r="H262" s="212" t="s">
        <v>24</v>
      </c>
      <c r="I262" s="207" t="s">
        <v>71</v>
      </c>
      <c r="J262" s="392" t="s">
        <v>2962</v>
      </c>
      <c r="K262" s="205" t="s">
        <v>706</v>
      </c>
      <c r="L262" s="567"/>
    </row>
    <row r="263" spans="1:13" ht="13" customHeight="1">
      <c r="A263" s="586"/>
      <c r="B263" s="207" t="s">
        <v>1412</v>
      </c>
      <c r="C263" s="207" t="s">
        <v>675</v>
      </c>
      <c r="D263" s="207" t="s">
        <v>676</v>
      </c>
      <c r="E263" s="207" t="s">
        <v>299</v>
      </c>
      <c r="F263" s="442" t="s">
        <v>3364</v>
      </c>
      <c r="G263" s="442" t="s">
        <v>3364</v>
      </c>
      <c r="H263" s="212" t="s">
        <v>24</v>
      </c>
      <c r="I263" s="207" t="s">
        <v>71</v>
      </c>
      <c r="J263" s="392" t="s">
        <v>3387</v>
      </c>
      <c r="K263" s="205" t="s">
        <v>706</v>
      </c>
      <c r="L263" s="567"/>
      <c r="M263" s="230"/>
    </row>
    <row r="264" spans="1:13" ht="13" customHeight="1">
      <c r="A264" s="586"/>
      <c r="B264" s="207" t="s">
        <v>1413</v>
      </c>
      <c r="C264" s="207" t="s">
        <v>1381</v>
      </c>
      <c r="D264" s="207" t="s">
        <v>1382</v>
      </c>
      <c r="E264" s="207" t="s">
        <v>299</v>
      </c>
      <c r="F264" s="442" t="s">
        <v>3351</v>
      </c>
      <c r="G264" s="442" t="s">
        <v>3352</v>
      </c>
      <c r="H264" s="212" t="s">
        <v>24</v>
      </c>
      <c r="I264" s="392" t="s">
        <v>2957</v>
      </c>
      <c r="J264" s="392" t="s">
        <v>2958</v>
      </c>
      <c r="K264" s="205" t="s">
        <v>706</v>
      </c>
      <c r="L264" s="567"/>
    </row>
    <row r="265" spans="1:13" ht="13" customHeight="1">
      <c r="A265" s="586"/>
      <c r="B265" s="207" t="s">
        <v>1414</v>
      </c>
      <c r="C265" s="207" t="s">
        <v>1385</v>
      </c>
      <c r="D265" s="207" t="s">
        <v>1386</v>
      </c>
      <c r="E265" s="207" t="s">
        <v>299</v>
      </c>
      <c r="F265" s="442" t="s">
        <v>3351</v>
      </c>
      <c r="G265" s="442" t="s">
        <v>3353</v>
      </c>
      <c r="H265" s="212" t="s">
        <v>24</v>
      </c>
      <c r="I265" s="207" t="s">
        <v>806</v>
      </c>
      <c r="J265" s="207" t="s">
        <v>1387</v>
      </c>
      <c r="K265" s="205" t="s">
        <v>706</v>
      </c>
      <c r="L265" s="567"/>
    </row>
    <row r="266" spans="1:13" ht="13" customHeight="1">
      <c r="A266" s="586"/>
      <c r="B266" s="207" t="s">
        <v>1415</v>
      </c>
      <c r="C266" s="207" t="s">
        <v>1389</v>
      </c>
      <c r="D266" s="207" t="s">
        <v>1390</v>
      </c>
      <c r="E266" s="207" t="s">
        <v>299</v>
      </c>
      <c r="F266" s="442" t="s">
        <v>3351</v>
      </c>
      <c r="G266" s="442" t="s">
        <v>3354</v>
      </c>
      <c r="H266" s="212" t="s">
        <v>24</v>
      </c>
      <c r="I266" s="207" t="s">
        <v>806</v>
      </c>
      <c r="J266" s="207" t="s">
        <v>1391</v>
      </c>
      <c r="K266" s="205" t="s">
        <v>706</v>
      </c>
      <c r="L266" s="567"/>
    </row>
    <row r="267" spans="1:13" ht="13" customHeight="1">
      <c r="A267" s="586"/>
      <c r="B267" s="392" t="s">
        <v>4009</v>
      </c>
      <c r="C267" s="207" t="s">
        <v>1392</v>
      </c>
      <c r="D267" s="207" t="s">
        <v>1393</v>
      </c>
      <c r="E267" s="207" t="s">
        <v>299</v>
      </c>
      <c r="F267" s="442" t="s">
        <v>3364</v>
      </c>
      <c r="G267" s="442" t="s">
        <v>3364</v>
      </c>
      <c r="H267" s="212" t="s">
        <v>24</v>
      </c>
      <c r="I267" s="207" t="s">
        <v>1341</v>
      </c>
      <c r="J267" s="207" t="s">
        <v>1394</v>
      </c>
      <c r="K267" s="205" t="s">
        <v>706</v>
      </c>
      <c r="L267" s="567"/>
    </row>
    <row r="268" spans="1:13" ht="13" customHeight="1">
      <c r="A268" s="586"/>
      <c r="B268" s="392" t="s">
        <v>4007</v>
      </c>
      <c r="C268" s="288" t="s">
        <v>1395</v>
      </c>
      <c r="D268" s="288" t="s">
        <v>1396</v>
      </c>
      <c r="E268" s="288" t="s">
        <v>299</v>
      </c>
      <c r="F268" s="442" t="s">
        <v>3364</v>
      </c>
      <c r="G268" s="442" t="s">
        <v>3364</v>
      </c>
      <c r="H268" s="289" t="s">
        <v>24</v>
      </c>
      <c r="I268" s="288" t="s">
        <v>1255</v>
      </c>
      <c r="J268" s="288" t="s">
        <v>1397</v>
      </c>
      <c r="K268" s="287" t="s">
        <v>706</v>
      </c>
      <c r="L268" s="567"/>
    </row>
    <row r="269" spans="1:13" ht="13" customHeight="1">
      <c r="A269" s="586"/>
      <c r="B269" s="392" t="s">
        <v>4008</v>
      </c>
      <c r="C269" s="207" t="s">
        <v>1398</v>
      </c>
      <c r="D269" s="207" t="s">
        <v>1399</v>
      </c>
      <c r="E269" s="207" t="s">
        <v>299</v>
      </c>
      <c r="F269" s="442" t="s">
        <v>3364</v>
      </c>
      <c r="G269" s="442" t="s">
        <v>3364</v>
      </c>
      <c r="H269" s="212" t="s">
        <v>24</v>
      </c>
      <c r="I269" s="207" t="s">
        <v>806</v>
      </c>
      <c r="J269" s="207" t="s">
        <v>1400</v>
      </c>
      <c r="K269" s="205" t="s">
        <v>706</v>
      </c>
      <c r="L269" s="567"/>
    </row>
    <row r="270" spans="1:13" ht="13" customHeight="1">
      <c r="A270" s="586"/>
      <c r="B270" s="288" t="s">
        <v>2415</v>
      </c>
      <c r="C270" s="207" t="s">
        <v>1061</v>
      </c>
      <c r="D270" s="207" t="s">
        <v>1062</v>
      </c>
      <c r="E270" s="207" t="s">
        <v>299</v>
      </c>
      <c r="F270" s="442" t="s">
        <v>3364</v>
      </c>
      <c r="G270" s="442" t="s">
        <v>3364</v>
      </c>
      <c r="H270" s="212" t="s">
        <v>24</v>
      </c>
      <c r="I270" s="207" t="s">
        <v>1063</v>
      </c>
      <c r="J270" s="207" t="s">
        <v>1402</v>
      </c>
      <c r="K270" s="205" t="s">
        <v>706</v>
      </c>
      <c r="L270" s="567"/>
    </row>
    <row r="271" spans="1:13" ht="13" customHeight="1">
      <c r="A271" s="586"/>
      <c r="B271" s="207" t="s">
        <v>1416</v>
      </c>
      <c r="C271" s="207" t="s">
        <v>1066</v>
      </c>
      <c r="D271" s="207" t="s">
        <v>1067</v>
      </c>
      <c r="E271" s="207" t="s">
        <v>299</v>
      </c>
      <c r="F271" s="442" t="s">
        <v>3351</v>
      </c>
      <c r="G271" s="442" t="s">
        <v>3355</v>
      </c>
      <c r="H271" s="212" t="s">
        <v>24</v>
      </c>
      <c r="I271" s="207" t="s">
        <v>1016</v>
      </c>
      <c r="J271" s="207" t="s">
        <v>1354</v>
      </c>
      <c r="K271" s="205" t="s">
        <v>706</v>
      </c>
      <c r="L271" s="567"/>
    </row>
    <row r="272" spans="1:13" ht="13" customHeight="1">
      <c r="A272" s="586"/>
      <c r="B272" s="207" t="s">
        <v>1417</v>
      </c>
      <c r="C272" s="207" t="s">
        <v>1070</v>
      </c>
      <c r="D272" s="207" t="s">
        <v>1071</v>
      </c>
      <c r="E272" s="207" t="s">
        <v>299</v>
      </c>
      <c r="F272" s="442" t="s">
        <v>3364</v>
      </c>
      <c r="G272" s="442" t="s">
        <v>3364</v>
      </c>
      <c r="H272" s="212" t="s">
        <v>57</v>
      </c>
      <c r="I272" s="207" t="s">
        <v>1072</v>
      </c>
      <c r="J272" s="207" t="s">
        <v>1116</v>
      </c>
      <c r="K272" s="205" t="s">
        <v>706</v>
      </c>
      <c r="L272" s="567"/>
      <c r="M272" s="230"/>
    </row>
    <row r="273" spans="1:13" ht="13" customHeight="1">
      <c r="A273" s="586"/>
      <c r="B273" s="207" t="s">
        <v>1418</v>
      </c>
      <c r="C273" s="207" t="s">
        <v>1074</v>
      </c>
      <c r="D273" s="70" t="s">
        <v>1075</v>
      </c>
      <c r="E273" s="207" t="s">
        <v>299</v>
      </c>
      <c r="F273" s="442" t="s">
        <v>3351</v>
      </c>
      <c r="G273" s="442" t="s">
        <v>3356</v>
      </c>
      <c r="H273" s="212" t="s">
        <v>24</v>
      </c>
      <c r="I273" s="207" t="s">
        <v>1076</v>
      </c>
      <c r="J273" s="70" t="s">
        <v>1077</v>
      </c>
      <c r="K273" s="205" t="s">
        <v>706</v>
      </c>
      <c r="L273" s="567"/>
    </row>
    <row r="274" spans="1:13" ht="13" customHeight="1">
      <c r="A274" s="586"/>
      <c r="B274" s="207" t="s">
        <v>1419</v>
      </c>
      <c r="C274" s="207" t="s">
        <v>1079</v>
      </c>
      <c r="D274" s="207" t="s">
        <v>1080</v>
      </c>
      <c r="E274" s="207" t="s">
        <v>299</v>
      </c>
      <c r="F274" s="442" t="s">
        <v>3351</v>
      </c>
      <c r="G274" s="442" t="s">
        <v>3357</v>
      </c>
      <c r="H274" s="212" t="s">
        <v>24</v>
      </c>
      <c r="I274" s="207" t="s">
        <v>1081</v>
      </c>
      <c r="J274" s="207" t="s">
        <v>1407</v>
      </c>
      <c r="K274" s="205" t="s">
        <v>706</v>
      </c>
      <c r="L274" s="567"/>
    </row>
    <row r="275" spans="1:13" ht="13" customHeight="1">
      <c r="A275" s="586"/>
      <c r="B275" s="207" t="s">
        <v>1420</v>
      </c>
      <c r="C275" s="207" t="s">
        <v>1087</v>
      </c>
      <c r="D275" s="207" t="s">
        <v>1088</v>
      </c>
      <c r="E275" s="207" t="s">
        <v>299</v>
      </c>
      <c r="F275" s="442" t="s">
        <v>3364</v>
      </c>
      <c r="G275" s="442" t="s">
        <v>3364</v>
      </c>
      <c r="H275" s="212" t="s">
        <v>24</v>
      </c>
      <c r="I275" s="207" t="s">
        <v>1089</v>
      </c>
      <c r="J275" s="207" t="s">
        <v>1361</v>
      </c>
      <c r="K275" s="205" t="s">
        <v>706</v>
      </c>
      <c r="L275" s="567"/>
    </row>
    <row r="276" spans="1:13" ht="13" customHeight="1">
      <c r="A276" s="586"/>
      <c r="B276" s="207" t="s">
        <v>1421</v>
      </c>
      <c r="C276" s="207" t="s">
        <v>1363</v>
      </c>
      <c r="D276" s="207" t="s">
        <v>1084</v>
      </c>
      <c r="E276" s="207" t="s">
        <v>299</v>
      </c>
      <c r="F276" s="442" t="s">
        <v>3364</v>
      </c>
      <c r="G276" s="442" t="s">
        <v>3364</v>
      </c>
      <c r="H276" s="212" t="s">
        <v>24</v>
      </c>
      <c r="I276" s="207" t="s">
        <v>350</v>
      </c>
      <c r="J276" s="207" t="s">
        <v>1085</v>
      </c>
      <c r="K276" s="205" t="s">
        <v>706</v>
      </c>
      <c r="L276" s="567"/>
    </row>
    <row r="277" spans="1:13" ht="13" customHeight="1">
      <c r="A277" s="587"/>
      <c r="B277" s="207" t="s">
        <v>1422</v>
      </c>
      <c r="C277" s="207" t="s">
        <v>1057</v>
      </c>
      <c r="D277" s="207" t="s">
        <v>1411</v>
      </c>
      <c r="E277" s="207" t="s">
        <v>299</v>
      </c>
      <c r="F277" s="442" t="s">
        <v>3364</v>
      </c>
      <c r="G277" s="442" t="s">
        <v>3364</v>
      </c>
      <c r="H277" s="212" t="s">
        <v>24</v>
      </c>
      <c r="I277" s="207" t="s">
        <v>71</v>
      </c>
      <c r="J277" s="207" t="s">
        <v>1059</v>
      </c>
      <c r="K277" s="205" t="s">
        <v>706</v>
      </c>
      <c r="L277" s="578"/>
    </row>
    <row r="278" spans="1:13" ht="13" customHeight="1">
      <c r="A278" s="582" t="s">
        <v>3571</v>
      </c>
      <c r="B278" s="207" t="s">
        <v>1423</v>
      </c>
      <c r="C278" s="207" t="s">
        <v>1424</v>
      </c>
      <c r="D278" s="207" t="s">
        <v>1425</v>
      </c>
      <c r="E278" s="207" t="s">
        <v>299</v>
      </c>
      <c r="F278" s="442" t="s">
        <v>3364</v>
      </c>
      <c r="G278" s="442" t="s">
        <v>3364</v>
      </c>
      <c r="H278" s="212" t="s">
        <v>24</v>
      </c>
      <c r="I278" s="338" t="s">
        <v>2601</v>
      </c>
      <c r="J278" s="338" t="s">
        <v>2600</v>
      </c>
      <c r="K278" s="205" t="s">
        <v>706</v>
      </c>
      <c r="L278" s="205"/>
    </row>
    <row r="279" spans="1:13" ht="13" customHeight="1">
      <c r="A279" s="583"/>
      <c r="B279" s="352" t="s">
        <v>2713</v>
      </c>
      <c r="C279" s="207" t="s">
        <v>1426</v>
      </c>
      <c r="D279" s="207" t="s">
        <v>1427</v>
      </c>
      <c r="E279" s="207" t="s">
        <v>299</v>
      </c>
      <c r="F279" s="442" t="s">
        <v>3364</v>
      </c>
      <c r="G279" s="442" t="s">
        <v>3364</v>
      </c>
      <c r="H279" s="212" t="s">
        <v>24</v>
      </c>
      <c r="I279" s="392" t="s">
        <v>2932</v>
      </c>
      <c r="J279" s="207" t="s">
        <v>1428</v>
      </c>
      <c r="K279" s="205" t="s">
        <v>706</v>
      </c>
      <c r="L279" s="205"/>
    </row>
    <row r="280" spans="1:13" ht="13" customHeight="1">
      <c r="A280" s="583"/>
      <c r="B280" s="352" t="s">
        <v>2714</v>
      </c>
      <c r="C280" s="207" t="s">
        <v>1429</v>
      </c>
      <c r="D280" s="207" t="s">
        <v>1430</v>
      </c>
      <c r="E280" s="207" t="s">
        <v>299</v>
      </c>
      <c r="F280" s="442" t="s">
        <v>3364</v>
      </c>
      <c r="G280" s="442" t="s">
        <v>3364</v>
      </c>
      <c r="H280" s="212" t="s">
        <v>24</v>
      </c>
      <c r="I280" s="338" t="s">
        <v>2603</v>
      </c>
      <c r="J280" s="338" t="s">
        <v>2602</v>
      </c>
      <c r="K280" s="205" t="s">
        <v>706</v>
      </c>
      <c r="L280" s="205"/>
    </row>
    <row r="281" spans="1:13" ht="13" customHeight="1">
      <c r="A281" s="583"/>
      <c r="B281" s="352" t="s">
        <v>2715</v>
      </c>
      <c r="C281" s="207" t="s">
        <v>1432</v>
      </c>
      <c r="D281" s="207" t="s">
        <v>1433</v>
      </c>
      <c r="E281" s="207" t="s">
        <v>299</v>
      </c>
      <c r="F281" s="442" t="s">
        <v>3364</v>
      </c>
      <c r="G281" s="442" t="s">
        <v>3364</v>
      </c>
      <c r="H281" s="212" t="s">
        <v>24</v>
      </c>
      <c r="I281" s="392" t="s">
        <v>2603</v>
      </c>
      <c r="J281" s="207" t="s">
        <v>1431</v>
      </c>
      <c r="K281" s="205" t="s">
        <v>706</v>
      </c>
      <c r="L281" s="205"/>
    </row>
    <row r="282" spans="1:13" ht="13" customHeight="1">
      <c r="A282" s="583"/>
      <c r="B282" s="352" t="s">
        <v>2716</v>
      </c>
      <c r="C282" s="207" t="s">
        <v>1434</v>
      </c>
      <c r="D282" s="207" t="s">
        <v>1435</v>
      </c>
      <c r="E282" s="207" t="s">
        <v>299</v>
      </c>
      <c r="F282" s="442" t="s">
        <v>3364</v>
      </c>
      <c r="G282" s="442" t="s">
        <v>3364</v>
      </c>
      <c r="H282" s="212" t="s">
        <v>24</v>
      </c>
      <c r="I282" s="338" t="s">
        <v>2603</v>
      </c>
      <c r="J282" s="207" t="s">
        <v>1431</v>
      </c>
      <c r="K282" s="205" t="s">
        <v>706</v>
      </c>
      <c r="L282" s="205"/>
    </row>
    <row r="283" spans="1:13" s="231" customFormat="1" ht="13" customHeight="1">
      <c r="A283" s="583"/>
      <c r="B283" s="392" t="s">
        <v>3953</v>
      </c>
      <c r="C283" s="207" t="s">
        <v>1436</v>
      </c>
      <c r="D283" s="207" t="s">
        <v>1437</v>
      </c>
      <c r="E283" s="207" t="s">
        <v>299</v>
      </c>
      <c r="F283" s="442" t="s">
        <v>3364</v>
      </c>
      <c r="G283" s="442" t="s">
        <v>3364</v>
      </c>
      <c r="H283" s="212" t="s">
        <v>24</v>
      </c>
      <c r="I283" s="392" t="s">
        <v>738</v>
      </c>
      <c r="J283" s="392" t="s">
        <v>2965</v>
      </c>
      <c r="K283" s="205" t="s">
        <v>706</v>
      </c>
      <c r="L283" s="69"/>
      <c r="M283" s="55"/>
    </row>
    <row r="284" spans="1:13" ht="13" customHeight="1">
      <c r="A284" s="583"/>
      <c r="B284" s="207" t="s">
        <v>1438</v>
      </c>
      <c r="C284" s="207" t="s">
        <v>1439</v>
      </c>
      <c r="D284" s="207" t="s">
        <v>1440</v>
      </c>
      <c r="E284" s="207" t="s">
        <v>299</v>
      </c>
      <c r="F284" s="442" t="s">
        <v>3364</v>
      </c>
      <c r="G284" s="442" t="s">
        <v>3364</v>
      </c>
      <c r="H284" s="212" t="s">
        <v>24</v>
      </c>
      <c r="I284" s="392" t="s">
        <v>714</v>
      </c>
      <c r="J284" s="207" t="s">
        <v>1441</v>
      </c>
      <c r="K284" s="205" t="s">
        <v>706</v>
      </c>
      <c r="L284" s="69"/>
    </row>
    <row r="285" spans="1:13" s="231" customFormat="1" ht="13" customHeight="1">
      <c r="A285" s="583"/>
      <c r="B285" s="207" t="s">
        <v>1442</v>
      </c>
      <c r="C285" s="207" t="s">
        <v>1443</v>
      </c>
      <c r="D285" s="207" t="s">
        <v>1444</v>
      </c>
      <c r="E285" s="207" t="s">
        <v>299</v>
      </c>
      <c r="F285" s="442" t="s">
        <v>3364</v>
      </c>
      <c r="G285" s="442" t="s">
        <v>3364</v>
      </c>
      <c r="H285" s="212" t="s">
        <v>24</v>
      </c>
      <c r="I285" s="392" t="s">
        <v>714</v>
      </c>
      <c r="J285" s="207" t="s">
        <v>1445</v>
      </c>
      <c r="K285" s="205" t="s">
        <v>706</v>
      </c>
      <c r="L285" s="69"/>
      <c r="M285" s="55"/>
    </row>
    <row r="286" spans="1:13" ht="13" customHeight="1">
      <c r="A286" s="577" t="s">
        <v>3572</v>
      </c>
      <c r="B286" s="352" t="s">
        <v>2717</v>
      </c>
      <c r="C286" s="207" t="s">
        <v>1446</v>
      </c>
      <c r="D286" s="207" t="s">
        <v>1447</v>
      </c>
      <c r="E286" s="207" t="s">
        <v>299</v>
      </c>
      <c r="F286" s="442" t="s">
        <v>3364</v>
      </c>
      <c r="G286" s="442" t="s">
        <v>3364</v>
      </c>
      <c r="H286" s="212" t="s">
        <v>24</v>
      </c>
      <c r="I286" s="207" t="s">
        <v>1449</v>
      </c>
      <c r="J286" s="207" t="s">
        <v>1450</v>
      </c>
      <c r="K286" s="205" t="s">
        <v>706</v>
      </c>
      <c r="L286" s="69"/>
    </row>
    <row r="287" spans="1:13" ht="13" customHeight="1">
      <c r="A287" s="567"/>
      <c r="B287" s="392" t="s">
        <v>3959</v>
      </c>
      <c r="C287" s="207" t="s">
        <v>1451</v>
      </c>
      <c r="D287" s="207" t="s">
        <v>1452</v>
      </c>
      <c r="E287" s="207" t="s">
        <v>299</v>
      </c>
      <c r="F287" s="442" t="s">
        <v>3364</v>
      </c>
      <c r="G287" s="442" t="s">
        <v>3364</v>
      </c>
      <c r="H287" s="212" t="s">
        <v>24</v>
      </c>
      <c r="I287" s="207" t="s">
        <v>1449</v>
      </c>
      <c r="J287" s="207" t="s">
        <v>1453</v>
      </c>
      <c r="K287" s="205" t="s">
        <v>706</v>
      </c>
      <c r="L287" s="69"/>
    </row>
    <row r="288" spans="1:13" ht="13" customHeight="1">
      <c r="A288" s="567"/>
      <c r="B288" s="352" t="s">
        <v>2718</v>
      </c>
      <c r="C288" s="207" t="s">
        <v>1454</v>
      </c>
      <c r="D288" s="207" t="s">
        <v>1455</v>
      </c>
      <c r="E288" s="207" t="s">
        <v>299</v>
      </c>
      <c r="F288" s="442" t="s">
        <v>3364</v>
      </c>
      <c r="G288" s="442" t="s">
        <v>3364</v>
      </c>
      <c r="H288" s="212" t="s">
        <v>24</v>
      </c>
      <c r="I288" s="207" t="s">
        <v>1016</v>
      </c>
      <c r="J288" s="207" t="s">
        <v>1456</v>
      </c>
      <c r="K288" s="205" t="s">
        <v>706</v>
      </c>
      <c r="L288" s="69"/>
    </row>
    <row r="289" spans="1:13" ht="13" customHeight="1">
      <c r="A289" s="567"/>
      <c r="B289" s="392" t="s">
        <v>2719</v>
      </c>
      <c r="C289" s="207" t="s">
        <v>1457</v>
      </c>
      <c r="D289" s="207" t="s">
        <v>1458</v>
      </c>
      <c r="E289" s="207" t="s">
        <v>299</v>
      </c>
      <c r="F289" s="442" t="s">
        <v>3364</v>
      </c>
      <c r="G289" s="442" t="s">
        <v>3364</v>
      </c>
      <c r="H289" s="212" t="s">
        <v>24</v>
      </c>
      <c r="I289" s="207" t="s">
        <v>1016</v>
      </c>
      <c r="J289" s="207" t="s">
        <v>1459</v>
      </c>
      <c r="K289" s="205" t="s">
        <v>706</v>
      </c>
      <c r="L289" s="69"/>
    </row>
    <row r="290" spans="1:13" ht="13" customHeight="1">
      <c r="A290" s="567"/>
      <c r="B290" s="207" t="s">
        <v>1460</v>
      </c>
      <c r="C290" s="207" t="s">
        <v>1461</v>
      </c>
      <c r="D290" s="207" t="s">
        <v>1462</v>
      </c>
      <c r="E290" s="207" t="s">
        <v>299</v>
      </c>
      <c r="F290" s="442" t="s">
        <v>3364</v>
      </c>
      <c r="G290" s="442" t="s">
        <v>3364</v>
      </c>
      <c r="H290" s="212" t="s">
        <v>24</v>
      </c>
      <c r="I290" s="207" t="s">
        <v>1463</v>
      </c>
      <c r="J290" s="207" t="s">
        <v>1462</v>
      </c>
      <c r="K290" s="205" t="s">
        <v>706</v>
      </c>
      <c r="L290" s="69"/>
    </row>
    <row r="291" spans="1:13" ht="13" customHeight="1">
      <c r="A291" s="567"/>
      <c r="B291" s="207" t="s">
        <v>1464</v>
      </c>
      <c r="C291" s="207" t="s">
        <v>1465</v>
      </c>
      <c r="D291" s="207" t="s">
        <v>1466</v>
      </c>
      <c r="E291" s="207" t="s">
        <v>299</v>
      </c>
      <c r="F291" s="442" t="s">
        <v>3364</v>
      </c>
      <c r="G291" s="442" t="s">
        <v>3364</v>
      </c>
      <c r="H291" s="212" t="s">
        <v>24</v>
      </c>
      <c r="I291" s="207" t="s">
        <v>1467</v>
      </c>
      <c r="J291" s="207" t="s">
        <v>1468</v>
      </c>
      <c r="K291" s="205" t="s">
        <v>706</v>
      </c>
      <c r="L291" s="69"/>
    </row>
    <row r="292" spans="1:13" ht="13" customHeight="1">
      <c r="A292" s="567"/>
      <c r="B292" s="207" t="s">
        <v>1469</v>
      </c>
      <c r="C292" s="207" t="s">
        <v>1470</v>
      </c>
      <c r="D292" s="207" t="s">
        <v>1471</v>
      </c>
      <c r="E292" s="207" t="s">
        <v>299</v>
      </c>
      <c r="F292" s="442" t="s">
        <v>3364</v>
      </c>
      <c r="G292" s="442" t="s">
        <v>3364</v>
      </c>
      <c r="H292" s="212" t="s">
        <v>24</v>
      </c>
      <c r="I292" s="338" t="s">
        <v>2605</v>
      </c>
      <c r="J292" s="338" t="s">
        <v>2604</v>
      </c>
      <c r="K292" s="205" t="s">
        <v>706</v>
      </c>
      <c r="L292" s="69"/>
    </row>
    <row r="293" spans="1:13" s="231" customFormat="1" ht="13" customHeight="1">
      <c r="A293" s="567"/>
      <c r="B293" s="392" t="s">
        <v>3955</v>
      </c>
      <c r="C293" s="207" t="s">
        <v>1472</v>
      </c>
      <c r="D293" s="207" t="s">
        <v>1473</v>
      </c>
      <c r="E293" s="207" t="s">
        <v>299</v>
      </c>
      <c r="F293" s="442" t="s">
        <v>3364</v>
      </c>
      <c r="G293" s="442" t="s">
        <v>3364</v>
      </c>
      <c r="H293" s="212" t="s">
        <v>24</v>
      </c>
      <c r="I293" s="207" t="s">
        <v>612</v>
      </c>
      <c r="J293" s="207" t="s">
        <v>1474</v>
      </c>
      <c r="K293" s="205" t="s">
        <v>706</v>
      </c>
      <c r="L293" s="69"/>
      <c r="M293" s="230"/>
    </row>
    <row r="294" spans="1:13" ht="13" customHeight="1">
      <c r="A294" s="567"/>
      <c r="B294" s="392" t="s">
        <v>3954</v>
      </c>
      <c r="C294" s="207" t="s">
        <v>1475</v>
      </c>
      <c r="D294" s="207" t="s">
        <v>1476</v>
      </c>
      <c r="E294" s="207" t="s">
        <v>299</v>
      </c>
      <c r="F294" s="442" t="s">
        <v>3364</v>
      </c>
      <c r="G294" s="442" t="s">
        <v>3364</v>
      </c>
      <c r="H294" s="212" t="s">
        <v>24</v>
      </c>
      <c r="I294" s="207" t="s">
        <v>612</v>
      </c>
      <c r="J294" s="207" t="s">
        <v>1477</v>
      </c>
      <c r="K294" s="205" t="s">
        <v>706</v>
      </c>
      <c r="L294" s="69"/>
    </row>
    <row r="295" spans="1:13" ht="13" customHeight="1">
      <c r="A295" s="567"/>
      <c r="B295" s="392" t="s">
        <v>2967</v>
      </c>
      <c r="C295" s="207" t="s">
        <v>1478</v>
      </c>
      <c r="D295" s="392" t="s">
        <v>3956</v>
      </c>
      <c r="E295" s="207" t="s">
        <v>299</v>
      </c>
      <c r="F295" s="442" t="s">
        <v>3364</v>
      </c>
      <c r="G295" s="442" t="s">
        <v>3364</v>
      </c>
      <c r="H295" s="212" t="s">
        <v>24</v>
      </c>
      <c r="I295" s="392" t="s">
        <v>2966</v>
      </c>
      <c r="J295" s="207" t="s">
        <v>1479</v>
      </c>
      <c r="K295" s="205" t="s">
        <v>706</v>
      </c>
      <c r="L295" s="69"/>
    </row>
    <row r="296" spans="1:13" ht="13" customHeight="1">
      <c r="A296" s="567"/>
      <c r="B296" s="207" t="s">
        <v>1480</v>
      </c>
      <c r="C296" s="207" t="s">
        <v>1481</v>
      </c>
      <c r="D296" s="207" t="s">
        <v>1482</v>
      </c>
      <c r="E296" s="207" t="s">
        <v>299</v>
      </c>
      <c r="F296" s="442" t="s">
        <v>3364</v>
      </c>
      <c r="G296" s="442" t="s">
        <v>3364</v>
      </c>
      <c r="H296" s="212" t="s">
        <v>24</v>
      </c>
      <c r="I296" s="338" t="s">
        <v>2607</v>
      </c>
      <c r="J296" s="338" t="s">
        <v>2606</v>
      </c>
      <c r="K296" s="205" t="s">
        <v>706</v>
      </c>
      <c r="L296" s="69"/>
    </row>
    <row r="297" spans="1:13" ht="13" customHeight="1">
      <c r="A297" s="567"/>
      <c r="B297" s="392" t="s">
        <v>3957</v>
      </c>
      <c r="C297" s="207" t="s">
        <v>1484</v>
      </c>
      <c r="D297" s="207" t="s">
        <v>1485</v>
      </c>
      <c r="E297" s="207" t="s">
        <v>299</v>
      </c>
      <c r="F297" s="442" t="s">
        <v>3364</v>
      </c>
      <c r="G297" s="442" t="s">
        <v>3364</v>
      </c>
      <c r="H297" s="212" t="s">
        <v>24</v>
      </c>
      <c r="I297" s="207" t="s">
        <v>1467</v>
      </c>
      <c r="J297" s="338" t="s">
        <v>2608</v>
      </c>
      <c r="K297" s="205" t="s">
        <v>706</v>
      </c>
      <c r="L297" s="69"/>
    </row>
    <row r="298" spans="1:13" s="231" customFormat="1" ht="13" customHeight="1">
      <c r="A298" s="567"/>
      <c r="B298" s="392" t="s">
        <v>2968</v>
      </c>
      <c r="C298" s="207" t="s">
        <v>1486</v>
      </c>
      <c r="D298" s="72" t="s">
        <v>1487</v>
      </c>
      <c r="E298" s="207" t="s">
        <v>299</v>
      </c>
      <c r="F298" s="442" t="s">
        <v>3364</v>
      </c>
      <c r="G298" s="442" t="s">
        <v>3364</v>
      </c>
      <c r="H298" s="212" t="s">
        <v>24</v>
      </c>
      <c r="I298" s="338" t="s">
        <v>2605</v>
      </c>
      <c r="J298" s="338" t="s">
        <v>2609</v>
      </c>
      <c r="K298" s="205" t="s">
        <v>706</v>
      </c>
      <c r="L298" s="69"/>
      <c r="M298" s="55"/>
    </row>
    <row r="299" spans="1:13" s="231" customFormat="1" ht="13" customHeight="1">
      <c r="A299" s="567"/>
      <c r="B299" s="207" t="s">
        <v>1488</v>
      </c>
      <c r="C299" s="207" t="s">
        <v>1489</v>
      </c>
      <c r="D299" s="207" t="s">
        <v>1490</v>
      </c>
      <c r="E299" s="207" t="s">
        <v>299</v>
      </c>
      <c r="F299" s="442" t="s">
        <v>3364</v>
      </c>
      <c r="G299" s="442" t="s">
        <v>3364</v>
      </c>
      <c r="H299" s="212" t="s">
        <v>24</v>
      </c>
      <c r="I299" s="338" t="s">
        <v>2611</v>
      </c>
      <c r="J299" s="338" t="s">
        <v>2610</v>
      </c>
      <c r="K299" s="205" t="s">
        <v>706</v>
      </c>
      <c r="L299" s="69"/>
      <c r="M299" s="8"/>
    </row>
    <row r="300" spans="1:13" s="231" customFormat="1" ht="13" customHeight="1">
      <c r="A300" s="567"/>
      <c r="B300" s="207" t="s">
        <v>1492</v>
      </c>
      <c r="C300" s="207" t="s">
        <v>1493</v>
      </c>
      <c r="D300" s="207" t="s">
        <v>1494</v>
      </c>
      <c r="E300" s="207" t="s">
        <v>299</v>
      </c>
      <c r="F300" s="442" t="s">
        <v>3364</v>
      </c>
      <c r="G300" s="442" t="s">
        <v>3364</v>
      </c>
      <c r="H300" s="212" t="s">
        <v>24</v>
      </c>
      <c r="I300" s="338" t="s">
        <v>2611</v>
      </c>
      <c r="J300" s="338" t="s">
        <v>2612</v>
      </c>
      <c r="K300" s="205" t="s">
        <v>706</v>
      </c>
      <c r="L300" s="69"/>
      <c r="M300" s="230"/>
    </row>
    <row r="301" spans="1:13" s="231" customFormat="1" ht="13" customHeight="1">
      <c r="A301" s="567"/>
      <c r="B301" s="207" t="s">
        <v>1495</v>
      </c>
      <c r="C301" s="207" t="s">
        <v>1496</v>
      </c>
      <c r="D301" s="207" t="s">
        <v>1497</v>
      </c>
      <c r="E301" s="207" t="s">
        <v>299</v>
      </c>
      <c r="F301" s="442" t="s">
        <v>3364</v>
      </c>
      <c r="G301" s="442" t="s">
        <v>3364</v>
      </c>
      <c r="H301" s="212" t="s">
        <v>24</v>
      </c>
      <c r="I301" s="207" t="s">
        <v>71</v>
      </c>
      <c r="J301" s="207" t="s">
        <v>1498</v>
      </c>
      <c r="K301" s="205" t="s">
        <v>706</v>
      </c>
      <c r="L301" s="69"/>
      <c r="M301" s="230"/>
    </row>
    <row r="302" spans="1:13" s="231" customFormat="1" ht="13" customHeight="1">
      <c r="A302" s="567"/>
      <c r="B302" s="207" t="s">
        <v>1499</v>
      </c>
      <c r="C302" s="207" t="s">
        <v>1500</v>
      </c>
      <c r="D302" s="207" t="s">
        <v>1501</v>
      </c>
      <c r="E302" s="207" t="s">
        <v>299</v>
      </c>
      <c r="F302" s="442" t="s">
        <v>3364</v>
      </c>
      <c r="G302" s="442" t="s">
        <v>3364</v>
      </c>
      <c r="H302" s="212" t="s">
        <v>24</v>
      </c>
      <c r="I302" s="207" t="s">
        <v>1006</v>
      </c>
      <c r="J302" s="207" t="s">
        <v>1502</v>
      </c>
      <c r="K302" s="205" t="s">
        <v>706</v>
      </c>
      <c r="L302" s="69"/>
      <c r="M302" s="55"/>
    </row>
    <row r="303" spans="1:13" s="231" customFormat="1" ht="13" customHeight="1">
      <c r="A303" s="567"/>
      <c r="B303" s="207" t="s">
        <v>1503</v>
      </c>
      <c r="C303" s="207" t="s">
        <v>1504</v>
      </c>
      <c r="D303" s="207" t="s">
        <v>1505</v>
      </c>
      <c r="E303" s="207" t="s">
        <v>299</v>
      </c>
      <c r="F303" s="442" t="s">
        <v>3364</v>
      </c>
      <c r="G303" s="442" t="s">
        <v>3364</v>
      </c>
      <c r="H303" s="212" t="s">
        <v>24</v>
      </c>
      <c r="I303" s="392" t="s">
        <v>2969</v>
      </c>
      <c r="J303" s="338" t="s">
        <v>2613</v>
      </c>
      <c r="K303" s="205" t="s">
        <v>706</v>
      </c>
      <c r="L303" s="69"/>
      <c r="M303" s="55"/>
    </row>
    <row r="304" spans="1:13" s="231" customFormat="1" ht="13" customHeight="1">
      <c r="A304" s="567"/>
      <c r="B304" s="392" t="s">
        <v>3171</v>
      </c>
      <c r="C304" s="207" t="s">
        <v>1511</v>
      </c>
      <c r="D304" s="392" t="s">
        <v>3172</v>
      </c>
      <c r="E304" s="207" t="s">
        <v>299</v>
      </c>
      <c r="F304" s="442" t="s">
        <v>3364</v>
      </c>
      <c r="G304" s="442" t="s">
        <v>3364</v>
      </c>
      <c r="H304" s="212" t="s">
        <v>24</v>
      </c>
      <c r="I304" s="338" t="s">
        <v>2605</v>
      </c>
      <c r="J304" s="338" t="s">
        <v>2614</v>
      </c>
      <c r="K304" s="205" t="s">
        <v>706</v>
      </c>
      <c r="L304" s="69"/>
      <c r="M304" s="55"/>
    </row>
    <row r="305" spans="1:13" s="231" customFormat="1" ht="13" customHeight="1">
      <c r="A305" s="567"/>
      <c r="B305" s="392" t="s">
        <v>3174</v>
      </c>
      <c r="C305" s="207" t="s">
        <v>1512</v>
      </c>
      <c r="D305" s="392" t="s">
        <v>3173</v>
      </c>
      <c r="E305" s="207" t="s">
        <v>299</v>
      </c>
      <c r="F305" s="442" t="s">
        <v>3364</v>
      </c>
      <c r="G305" s="442" t="s">
        <v>3364</v>
      </c>
      <c r="H305" s="212" t="s">
        <v>24</v>
      </c>
      <c r="I305" s="338" t="s">
        <v>2605</v>
      </c>
      <c r="J305" s="338" t="s">
        <v>2609</v>
      </c>
      <c r="K305" s="205" t="s">
        <v>706</v>
      </c>
      <c r="L305" s="69"/>
      <c r="M305" s="55"/>
    </row>
    <row r="306" spans="1:13" ht="13" customHeight="1">
      <c r="A306" s="577" t="s">
        <v>3573</v>
      </c>
      <c r="B306" s="207" t="s">
        <v>1507</v>
      </c>
      <c r="C306" s="207" t="s">
        <v>1508</v>
      </c>
      <c r="D306" s="207" t="s">
        <v>1509</v>
      </c>
      <c r="E306" s="207" t="s">
        <v>299</v>
      </c>
      <c r="F306" s="442" t="s">
        <v>3364</v>
      </c>
      <c r="G306" s="442" t="s">
        <v>3364</v>
      </c>
      <c r="H306" s="212" t="s">
        <v>24</v>
      </c>
      <c r="I306" s="207" t="s">
        <v>721</v>
      </c>
      <c r="J306" s="70" t="s">
        <v>997</v>
      </c>
      <c r="K306" s="205" t="s">
        <v>706</v>
      </c>
      <c r="L306" s="69"/>
    </row>
    <row r="307" spans="1:13" s="231" customFormat="1" ht="13" customHeight="1">
      <c r="A307" s="567"/>
      <c r="B307" s="207" t="s">
        <v>1510</v>
      </c>
      <c r="C307" s="207" t="s">
        <v>1424</v>
      </c>
      <c r="D307" s="207" t="s">
        <v>1425</v>
      </c>
      <c r="E307" s="207" t="s">
        <v>299</v>
      </c>
      <c r="F307" s="442" t="s">
        <v>3364</v>
      </c>
      <c r="G307" s="442" t="s">
        <v>3364</v>
      </c>
      <c r="H307" s="212" t="s">
        <v>24</v>
      </c>
      <c r="I307" s="338" t="s">
        <v>2601</v>
      </c>
      <c r="J307" s="338" t="s">
        <v>2600</v>
      </c>
      <c r="K307" s="205" t="s">
        <v>706</v>
      </c>
      <c r="L307" s="69"/>
      <c r="M307" s="230"/>
    </row>
    <row r="308" spans="1:13" s="231" customFormat="1" ht="13" customHeight="1">
      <c r="A308" s="567"/>
      <c r="B308" s="207" t="s">
        <v>1513</v>
      </c>
      <c r="C308" s="207" t="s">
        <v>1429</v>
      </c>
      <c r="D308" s="207" t="s">
        <v>1430</v>
      </c>
      <c r="E308" s="207" t="s">
        <v>299</v>
      </c>
      <c r="F308" s="442" t="s">
        <v>3364</v>
      </c>
      <c r="G308" s="442" t="s">
        <v>3364</v>
      </c>
      <c r="H308" s="212" t="s">
        <v>24</v>
      </c>
      <c r="I308" s="338" t="s">
        <v>2603</v>
      </c>
      <c r="J308" s="338" t="s">
        <v>2602</v>
      </c>
      <c r="K308" s="205" t="s">
        <v>706</v>
      </c>
      <c r="L308" s="69"/>
      <c r="M308" s="230"/>
    </row>
    <row r="309" spans="1:13" s="231" customFormat="1" ht="13" customHeight="1">
      <c r="A309" s="567"/>
      <c r="B309" s="207" t="s">
        <v>1514</v>
      </c>
      <c r="C309" s="207" t="s">
        <v>1432</v>
      </c>
      <c r="D309" s="207" t="s">
        <v>1433</v>
      </c>
      <c r="E309" s="207" t="s">
        <v>299</v>
      </c>
      <c r="F309" s="442" t="s">
        <v>3364</v>
      </c>
      <c r="G309" s="442" t="s">
        <v>3364</v>
      </c>
      <c r="H309" s="212" t="s">
        <v>24</v>
      </c>
      <c r="I309" s="338" t="s">
        <v>2603</v>
      </c>
      <c r="J309" s="207" t="s">
        <v>1431</v>
      </c>
      <c r="K309" s="205" t="s">
        <v>706</v>
      </c>
      <c r="L309" s="69"/>
      <c r="M309" s="230"/>
    </row>
    <row r="310" spans="1:13" s="231" customFormat="1" ht="13" customHeight="1">
      <c r="A310" s="567"/>
      <c r="B310" s="207" t="s">
        <v>1515</v>
      </c>
      <c r="C310" s="207" t="s">
        <v>1434</v>
      </c>
      <c r="D310" s="207" t="s">
        <v>1435</v>
      </c>
      <c r="E310" s="207" t="s">
        <v>299</v>
      </c>
      <c r="F310" s="442" t="s">
        <v>3364</v>
      </c>
      <c r="G310" s="442" t="s">
        <v>3364</v>
      </c>
      <c r="H310" s="212" t="s">
        <v>24</v>
      </c>
      <c r="I310" s="338" t="s">
        <v>2603</v>
      </c>
      <c r="J310" s="207" t="s">
        <v>1431</v>
      </c>
      <c r="K310" s="205" t="s">
        <v>706</v>
      </c>
      <c r="L310" s="69"/>
      <c r="M310" s="230"/>
    </row>
    <row r="311" spans="1:13" s="231" customFormat="1" ht="13" customHeight="1">
      <c r="A311" s="567"/>
      <c r="B311" s="207" t="s">
        <v>1516</v>
      </c>
      <c r="C311" s="207" t="s">
        <v>1517</v>
      </c>
      <c r="D311" s="207" t="s">
        <v>1003</v>
      </c>
      <c r="E311" s="207" t="s">
        <v>299</v>
      </c>
      <c r="F311" s="442" t="s">
        <v>3364</v>
      </c>
      <c r="G311" s="442" t="s">
        <v>3364</v>
      </c>
      <c r="H311" s="212" t="s">
        <v>24</v>
      </c>
      <c r="I311" s="392" t="s">
        <v>714</v>
      </c>
      <c r="J311" s="207" t="s">
        <v>1518</v>
      </c>
      <c r="K311" s="205" t="s">
        <v>706</v>
      </c>
      <c r="L311" s="69"/>
      <c r="M311" s="230"/>
    </row>
    <row r="312" spans="1:13" ht="13" customHeight="1">
      <c r="A312" s="567"/>
      <c r="B312" s="207" t="s">
        <v>1519</v>
      </c>
      <c r="C312" s="207" t="s">
        <v>1496</v>
      </c>
      <c r="D312" s="207" t="s">
        <v>1520</v>
      </c>
      <c r="E312" s="207" t="s">
        <v>299</v>
      </c>
      <c r="F312" s="442" t="s">
        <v>3364</v>
      </c>
      <c r="G312" s="442" t="s">
        <v>3364</v>
      </c>
      <c r="H312" s="212" t="s">
        <v>24</v>
      </c>
      <c r="I312" s="207" t="s">
        <v>71</v>
      </c>
      <c r="J312" s="392" t="s">
        <v>3376</v>
      </c>
      <c r="K312" s="205" t="s">
        <v>706</v>
      </c>
      <c r="L312" s="69"/>
    </row>
    <row r="313" spans="1:13" ht="13" customHeight="1">
      <c r="A313" s="567"/>
      <c r="B313" s="392" t="s">
        <v>3958</v>
      </c>
      <c r="C313" s="207" t="s">
        <v>1448</v>
      </c>
      <c r="D313" s="207" t="s">
        <v>1521</v>
      </c>
      <c r="E313" s="207" t="s">
        <v>299</v>
      </c>
      <c r="F313" s="442" t="s">
        <v>3364</v>
      </c>
      <c r="G313" s="442" t="s">
        <v>3364</v>
      </c>
      <c r="H313" s="212" t="s">
        <v>24</v>
      </c>
      <c r="I313" s="207" t="s">
        <v>1449</v>
      </c>
      <c r="J313" s="207" t="s">
        <v>1522</v>
      </c>
      <c r="K313" s="205" t="s">
        <v>706</v>
      </c>
      <c r="L313" s="69"/>
    </row>
    <row r="314" spans="1:13" ht="13" customHeight="1">
      <c r="A314" s="567"/>
      <c r="B314" s="207" t="s">
        <v>1523</v>
      </c>
      <c r="C314" s="207" t="s">
        <v>1524</v>
      </c>
      <c r="D314" s="207" t="s">
        <v>1525</v>
      </c>
      <c r="E314" s="207" t="s">
        <v>299</v>
      </c>
      <c r="F314" s="442" t="s">
        <v>3364</v>
      </c>
      <c r="G314" s="442" t="s">
        <v>3364</v>
      </c>
      <c r="H314" s="212" t="s">
        <v>24</v>
      </c>
      <c r="I314" s="338" t="s">
        <v>2611</v>
      </c>
      <c r="J314" s="338" t="s">
        <v>2615</v>
      </c>
      <c r="K314" s="205" t="s">
        <v>706</v>
      </c>
      <c r="L314" s="69"/>
    </row>
    <row r="315" spans="1:13" ht="13" customHeight="1">
      <c r="A315" s="567"/>
      <c r="B315" s="207" t="s">
        <v>1526</v>
      </c>
      <c r="C315" s="207" t="s">
        <v>1527</v>
      </c>
      <c r="D315" s="207" t="s">
        <v>1482</v>
      </c>
      <c r="E315" s="207" t="s">
        <v>299</v>
      </c>
      <c r="F315" s="442" t="s">
        <v>3364</v>
      </c>
      <c r="G315" s="442" t="s">
        <v>3364</v>
      </c>
      <c r="H315" s="212" t="s">
        <v>24</v>
      </c>
      <c r="I315" s="338" t="s">
        <v>2607</v>
      </c>
      <c r="J315" s="338" t="s">
        <v>2616</v>
      </c>
      <c r="K315" s="205" t="s">
        <v>706</v>
      </c>
      <c r="L315" s="69"/>
    </row>
    <row r="316" spans="1:13" ht="13" customHeight="1">
      <c r="A316" s="567"/>
      <c r="B316" s="207" t="s">
        <v>1528</v>
      </c>
      <c r="C316" s="207" t="s">
        <v>1472</v>
      </c>
      <c r="D316" s="207" t="s">
        <v>1529</v>
      </c>
      <c r="E316" s="207" t="s">
        <v>299</v>
      </c>
      <c r="F316" s="442" t="s">
        <v>3364</v>
      </c>
      <c r="G316" s="442" t="s">
        <v>3364</v>
      </c>
      <c r="H316" s="212" t="s">
        <v>24</v>
      </c>
      <c r="I316" s="207" t="s">
        <v>612</v>
      </c>
      <c r="J316" s="207" t="s">
        <v>1530</v>
      </c>
      <c r="K316" s="205" t="s">
        <v>706</v>
      </c>
      <c r="L316" s="69"/>
    </row>
    <row r="317" spans="1:13" s="231" customFormat="1" ht="13" customHeight="1">
      <c r="A317" s="567"/>
      <c r="B317" s="352" t="s">
        <v>2720</v>
      </c>
      <c r="C317" s="207" t="s">
        <v>1531</v>
      </c>
      <c r="D317" s="72" t="s">
        <v>1532</v>
      </c>
      <c r="E317" s="207" t="s">
        <v>299</v>
      </c>
      <c r="F317" s="442" t="s">
        <v>3364</v>
      </c>
      <c r="G317" s="442" t="s">
        <v>3364</v>
      </c>
      <c r="H317" s="212" t="s">
        <v>24</v>
      </c>
      <c r="I317" s="207" t="s">
        <v>1467</v>
      </c>
      <c r="J317" s="72" t="s">
        <v>1532</v>
      </c>
      <c r="K317" s="205" t="s">
        <v>706</v>
      </c>
      <c r="L317" s="69"/>
      <c r="M317" s="575"/>
    </row>
    <row r="318" spans="1:13" s="231" customFormat="1" ht="13" customHeight="1">
      <c r="A318" s="567"/>
      <c r="B318" s="321" t="s">
        <v>2514</v>
      </c>
      <c r="C318" s="207" t="s">
        <v>1533</v>
      </c>
      <c r="D318" s="72" t="s">
        <v>1485</v>
      </c>
      <c r="E318" s="207" t="s">
        <v>299</v>
      </c>
      <c r="F318" s="442" t="s">
        <v>3364</v>
      </c>
      <c r="G318" s="442" t="s">
        <v>3364</v>
      </c>
      <c r="H318" s="212" t="s">
        <v>24</v>
      </c>
      <c r="I318" s="207" t="s">
        <v>1467</v>
      </c>
      <c r="J318" s="72" t="s">
        <v>1485</v>
      </c>
      <c r="K318" s="205" t="s">
        <v>706</v>
      </c>
      <c r="L318" s="69"/>
      <c r="M318" s="576"/>
    </row>
    <row r="319" spans="1:13" s="231" customFormat="1" ht="13" customHeight="1">
      <c r="A319" s="567"/>
      <c r="B319" s="352" t="s">
        <v>2721</v>
      </c>
      <c r="C319" s="207" t="s">
        <v>1534</v>
      </c>
      <c r="D319" s="72" t="s">
        <v>1532</v>
      </c>
      <c r="E319" s="207" t="s">
        <v>299</v>
      </c>
      <c r="F319" s="442" t="s">
        <v>3364</v>
      </c>
      <c r="G319" s="442" t="s">
        <v>3364</v>
      </c>
      <c r="H319" s="212" t="s">
        <v>24</v>
      </c>
      <c r="I319" s="207" t="s">
        <v>1467</v>
      </c>
      <c r="J319" s="72" t="s">
        <v>1532</v>
      </c>
      <c r="K319" s="205" t="s">
        <v>706</v>
      </c>
      <c r="L319" s="69"/>
      <c r="M319" s="232"/>
    </row>
    <row r="320" spans="1:13" s="231" customFormat="1" ht="13" customHeight="1">
      <c r="A320" s="567"/>
      <c r="B320" s="352" t="s">
        <v>2722</v>
      </c>
      <c r="C320" s="207" t="s">
        <v>1535</v>
      </c>
      <c r="D320" s="72" t="s">
        <v>1485</v>
      </c>
      <c r="E320" s="207" t="s">
        <v>299</v>
      </c>
      <c r="F320" s="442" t="s">
        <v>3364</v>
      </c>
      <c r="G320" s="442" t="s">
        <v>3364</v>
      </c>
      <c r="H320" s="212" t="s">
        <v>24</v>
      </c>
      <c r="I320" s="207" t="s">
        <v>1467</v>
      </c>
      <c r="J320" s="72" t="s">
        <v>1485</v>
      </c>
      <c r="K320" s="205" t="s">
        <v>706</v>
      </c>
      <c r="L320" s="69"/>
      <c r="M320" s="232"/>
    </row>
    <row r="321" spans="1:13" s="231" customFormat="1" ht="13" customHeight="1">
      <c r="A321" s="567"/>
      <c r="B321" s="207" t="s">
        <v>1536</v>
      </c>
      <c r="C321" s="207" t="s">
        <v>1475</v>
      </c>
      <c r="D321" s="72" t="s">
        <v>1537</v>
      </c>
      <c r="E321" s="207" t="s">
        <v>299</v>
      </c>
      <c r="F321" s="442" t="s">
        <v>3364</v>
      </c>
      <c r="G321" s="442" t="s">
        <v>3364</v>
      </c>
      <c r="H321" s="212" t="s">
        <v>24</v>
      </c>
      <c r="I321" s="207" t="s">
        <v>612</v>
      </c>
      <c r="J321" s="207" t="s">
        <v>1538</v>
      </c>
      <c r="K321" s="205" t="s">
        <v>706</v>
      </c>
      <c r="L321" s="69"/>
      <c r="M321" s="232"/>
    </row>
    <row r="322" spans="1:13" s="231" customFormat="1" ht="13" customHeight="1">
      <c r="A322" s="567"/>
      <c r="B322" s="207" t="s">
        <v>1539</v>
      </c>
      <c r="C322" s="207" t="s">
        <v>1478</v>
      </c>
      <c r="D322" s="207" t="s">
        <v>1540</v>
      </c>
      <c r="E322" s="207" t="s">
        <v>299</v>
      </c>
      <c r="F322" s="442" t="s">
        <v>3364</v>
      </c>
      <c r="G322" s="442" t="s">
        <v>3364</v>
      </c>
      <c r="H322" s="212" t="s">
        <v>24</v>
      </c>
      <c r="I322" s="392" t="s">
        <v>941</v>
      </c>
      <c r="J322" s="392" t="s">
        <v>2401</v>
      </c>
      <c r="K322" s="205" t="s">
        <v>706</v>
      </c>
      <c r="L322" s="69"/>
      <c r="M322" s="232"/>
    </row>
    <row r="323" spans="1:13" s="231" customFormat="1" ht="13" customHeight="1">
      <c r="A323" s="567"/>
      <c r="B323" s="207" t="s">
        <v>1541</v>
      </c>
      <c r="C323" s="207" t="s">
        <v>1542</v>
      </c>
      <c r="D323" s="72" t="s">
        <v>1543</v>
      </c>
      <c r="E323" s="207" t="s">
        <v>299</v>
      </c>
      <c r="F323" s="442" t="s">
        <v>3364</v>
      </c>
      <c r="G323" s="442" t="s">
        <v>3364</v>
      </c>
      <c r="H323" s="212" t="s">
        <v>24</v>
      </c>
      <c r="I323" s="207" t="s">
        <v>1012</v>
      </c>
      <c r="J323" s="211" t="s">
        <v>2402</v>
      </c>
      <c r="K323" s="205" t="s">
        <v>706</v>
      </c>
      <c r="L323" s="69"/>
      <c r="M323" s="232"/>
    </row>
    <row r="324" spans="1:13" s="231" customFormat="1" ht="13" customHeight="1">
      <c r="A324" s="567"/>
      <c r="B324" s="207" t="s">
        <v>1544</v>
      </c>
      <c r="C324" s="207" t="s">
        <v>1500</v>
      </c>
      <c r="D324" s="207" t="s">
        <v>1501</v>
      </c>
      <c r="E324" s="207" t="s">
        <v>299</v>
      </c>
      <c r="F324" s="442" t="s">
        <v>3364</v>
      </c>
      <c r="G324" s="442" t="s">
        <v>3364</v>
      </c>
      <c r="H324" s="212" t="s">
        <v>24</v>
      </c>
      <c r="I324" s="207" t="s">
        <v>1006</v>
      </c>
      <c r="J324" s="207" t="s">
        <v>1502</v>
      </c>
      <c r="K324" s="205" t="s">
        <v>706</v>
      </c>
      <c r="L324" s="69"/>
      <c r="M324" s="232"/>
    </row>
    <row r="325" spans="1:13" s="231" customFormat="1" ht="13" customHeight="1">
      <c r="A325" s="578"/>
      <c r="B325" s="207" t="s">
        <v>1545</v>
      </c>
      <c r="C325" s="207" t="s">
        <v>1504</v>
      </c>
      <c r="D325" s="207" t="s">
        <v>1505</v>
      </c>
      <c r="E325" s="207" t="s">
        <v>299</v>
      </c>
      <c r="F325" s="442" t="s">
        <v>3364</v>
      </c>
      <c r="G325" s="442" t="s">
        <v>3364</v>
      </c>
      <c r="H325" s="212" t="s">
        <v>24</v>
      </c>
      <c r="I325" s="392" t="s">
        <v>2970</v>
      </c>
      <c r="J325" s="207" t="s">
        <v>1506</v>
      </c>
      <c r="K325" s="205" t="s">
        <v>706</v>
      </c>
      <c r="L325" s="69"/>
      <c r="M325" s="232"/>
    </row>
    <row r="326" spans="1:13" s="231" customFormat="1" ht="13" customHeight="1">
      <c r="A326" s="577" t="s">
        <v>3574</v>
      </c>
      <c r="B326" s="392" t="s">
        <v>2938</v>
      </c>
      <c r="C326" s="392" t="s">
        <v>2939</v>
      </c>
      <c r="D326" s="392" t="s">
        <v>2940</v>
      </c>
      <c r="E326" s="392" t="s">
        <v>299</v>
      </c>
      <c r="F326" s="442" t="s">
        <v>3364</v>
      </c>
      <c r="G326" s="442" t="s">
        <v>3364</v>
      </c>
      <c r="H326" s="132" t="s">
        <v>2943</v>
      </c>
      <c r="I326" s="132" t="s">
        <v>2941</v>
      </c>
      <c r="J326" s="395" t="s">
        <v>1032</v>
      </c>
      <c r="K326" s="394" t="s">
        <v>2942</v>
      </c>
      <c r="L326" s="69"/>
      <c r="M326" s="232"/>
    </row>
    <row r="327" spans="1:13" ht="13" customHeight="1">
      <c r="A327" s="584"/>
      <c r="B327" s="392" t="s">
        <v>2937</v>
      </c>
      <c r="C327" s="72" t="s">
        <v>1546</v>
      </c>
      <c r="D327" s="207" t="s">
        <v>1547</v>
      </c>
      <c r="E327" s="207" t="s">
        <v>299</v>
      </c>
      <c r="F327" s="442" t="s">
        <v>3364</v>
      </c>
      <c r="G327" s="442" t="s">
        <v>3364</v>
      </c>
      <c r="H327" s="212" t="s">
        <v>24</v>
      </c>
      <c r="I327" s="207" t="s">
        <v>612</v>
      </c>
      <c r="J327" s="207" t="s">
        <v>1548</v>
      </c>
      <c r="K327" s="205" t="s">
        <v>706</v>
      </c>
      <c r="L327" s="69"/>
    </row>
    <row r="328" spans="1:13" ht="13" customHeight="1">
      <c r="A328" s="584"/>
      <c r="B328" s="392" t="s">
        <v>2944</v>
      </c>
      <c r="C328" s="72" t="s">
        <v>1475</v>
      </c>
      <c r="D328" s="207" t="s">
        <v>1549</v>
      </c>
      <c r="E328" s="207" t="s">
        <v>299</v>
      </c>
      <c r="F328" s="442" t="s">
        <v>3364</v>
      </c>
      <c r="G328" s="442" t="s">
        <v>3364</v>
      </c>
      <c r="H328" s="212" t="s">
        <v>24</v>
      </c>
      <c r="I328" s="207" t="s">
        <v>612</v>
      </c>
      <c r="J328" s="207" t="s">
        <v>1538</v>
      </c>
      <c r="K328" s="205" t="s">
        <v>706</v>
      </c>
      <c r="L328" s="69"/>
    </row>
    <row r="329" spans="1:13" ht="13" customHeight="1">
      <c r="A329" s="584"/>
      <c r="B329" s="392" t="s">
        <v>2945</v>
      </c>
      <c r="C329" s="72" t="s">
        <v>1550</v>
      </c>
      <c r="D329" s="72" t="s">
        <v>1551</v>
      </c>
      <c r="E329" s="207" t="s">
        <v>299</v>
      </c>
      <c r="F329" s="442" t="s">
        <v>3364</v>
      </c>
      <c r="G329" s="442" t="s">
        <v>3364</v>
      </c>
      <c r="H329" s="212" t="s">
        <v>24</v>
      </c>
      <c r="I329" s="207" t="s">
        <v>1467</v>
      </c>
      <c r="J329" s="72" t="s">
        <v>1551</v>
      </c>
      <c r="K329" s="205" t="s">
        <v>706</v>
      </c>
      <c r="L329" s="69"/>
    </row>
    <row r="330" spans="1:13" ht="13" customHeight="1">
      <c r="A330" s="584"/>
      <c r="B330" s="392" t="s">
        <v>2946</v>
      </c>
      <c r="C330" s="72" t="s">
        <v>1552</v>
      </c>
      <c r="D330" s="72" t="s">
        <v>1553</v>
      </c>
      <c r="E330" s="207" t="s">
        <v>299</v>
      </c>
      <c r="F330" s="442" t="s">
        <v>3364</v>
      </c>
      <c r="G330" s="442" t="s">
        <v>3364</v>
      </c>
      <c r="H330" s="212" t="s">
        <v>24</v>
      </c>
      <c r="I330" s="207" t="s">
        <v>1467</v>
      </c>
      <c r="J330" s="72" t="s">
        <v>1553</v>
      </c>
      <c r="K330" s="205" t="s">
        <v>706</v>
      </c>
      <c r="L330" s="69"/>
    </row>
    <row r="331" spans="1:13" ht="13" customHeight="1">
      <c r="A331" s="584"/>
      <c r="B331" s="392" t="s">
        <v>2947</v>
      </c>
      <c r="C331" s="72" t="s">
        <v>1448</v>
      </c>
      <c r="D331" s="72" t="s">
        <v>1554</v>
      </c>
      <c r="E331" s="207" t="s">
        <v>299</v>
      </c>
      <c r="F331" s="442" t="s">
        <v>3364</v>
      </c>
      <c r="G331" s="442" t="s">
        <v>3364</v>
      </c>
      <c r="H331" s="212" t="s">
        <v>24</v>
      </c>
      <c r="I331" s="207" t="s">
        <v>1449</v>
      </c>
      <c r="J331" s="207" t="s">
        <v>1555</v>
      </c>
      <c r="K331" s="205" t="s">
        <v>706</v>
      </c>
      <c r="L331" s="69"/>
    </row>
    <row r="332" spans="1:13" ht="13" customHeight="1">
      <c r="A332" s="584"/>
      <c r="B332" s="392" t="s">
        <v>2948</v>
      </c>
      <c r="C332" s="207" t="s">
        <v>1524</v>
      </c>
      <c r="D332" s="207" t="s">
        <v>1556</v>
      </c>
      <c r="E332" s="207" t="s">
        <v>299</v>
      </c>
      <c r="F332" s="442" t="s">
        <v>3364</v>
      </c>
      <c r="G332" s="442" t="s">
        <v>3364</v>
      </c>
      <c r="H332" s="212" t="s">
        <v>24</v>
      </c>
      <c r="I332" s="207" t="s">
        <v>1491</v>
      </c>
      <c r="J332" s="207" t="s">
        <v>1557</v>
      </c>
      <c r="K332" s="205" t="s">
        <v>706</v>
      </c>
      <c r="L332" s="69"/>
    </row>
    <row r="333" spans="1:13" ht="13" customHeight="1">
      <c r="A333" s="584"/>
      <c r="B333" s="392" t="s">
        <v>2949</v>
      </c>
      <c r="C333" s="72" t="s">
        <v>1558</v>
      </c>
      <c r="D333" s="72" t="s">
        <v>1559</v>
      </c>
      <c r="E333" s="207" t="s">
        <v>299</v>
      </c>
      <c r="F333" s="442" t="s">
        <v>3364</v>
      </c>
      <c r="G333" s="442" t="s">
        <v>3364</v>
      </c>
      <c r="H333" s="212" t="s">
        <v>24</v>
      </c>
      <c r="I333" s="207" t="s">
        <v>1483</v>
      </c>
      <c r="J333" s="72" t="s">
        <v>1559</v>
      </c>
      <c r="K333" s="205" t="s">
        <v>706</v>
      </c>
      <c r="L333" s="69"/>
    </row>
    <row r="334" spans="1:13" ht="13" customHeight="1">
      <c r="A334" s="584"/>
      <c r="B334" s="392" t="s">
        <v>2950</v>
      </c>
      <c r="C334" s="72" t="s">
        <v>1560</v>
      </c>
      <c r="D334" s="72" t="s">
        <v>1551</v>
      </c>
      <c r="E334" s="207" t="s">
        <v>299</v>
      </c>
      <c r="F334" s="442" t="s">
        <v>3364</v>
      </c>
      <c r="G334" s="442" t="s">
        <v>3364</v>
      </c>
      <c r="H334" s="212" t="s">
        <v>24</v>
      </c>
      <c r="I334" s="207" t="s">
        <v>1467</v>
      </c>
      <c r="J334" s="72" t="s">
        <v>1551</v>
      </c>
      <c r="K334" s="205" t="s">
        <v>706</v>
      </c>
      <c r="L334" s="69"/>
    </row>
    <row r="335" spans="1:13" ht="13" customHeight="1">
      <c r="A335" s="584"/>
      <c r="B335" s="392" t="s">
        <v>2951</v>
      </c>
      <c r="C335" s="72" t="s">
        <v>1535</v>
      </c>
      <c r="D335" s="72" t="s">
        <v>1553</v>
      </c>
      <c r="E335" s="207" t="s">
        <v>299</v>
      </c>
      <c r="F335" s="442" t="s">
        <v>3364</v>
      </c>
      <c r="G335" s="442" t="s">
        <v>3364</v>
      </c>
      <c r="H335" s="212" t="s">
        <v>24</v>
      </c>
      <c r="I335" s="207" t="s">
        <v>1467</v>
      </c>
      <c r="J335" s="72" t="s">
        <v>1553</v>
      </c>
      <c r="K335" s="205" t="s">
        <v>706</v>
      </c>
      <c r="L335" s="69"/>
    </row>
    <row r="336" spans="1:13" ht="13" customHeight="1">
      <c r="A336" s="584"/>
      <c r="B336" s="392" t="s">
        <v>2952</v>
      </c>
      <c r="C336" s="207" t="s">
        <v>1561</v>
      </c>
      <c r="D336" s="72" t="s">
        <v>1562</v>
      </c>
      <c r="E336" s="207" t="s">
        <v>299</v>
      </c>
      <c r="F336" s="442" t="s">
        <v>3364</v>
      </c>
      <c r="G336" s="442" t="s">
        <v>3364</v>
      </c>
      <c r="H336" s="212" t="s">
        <v>24</v>
      </c>
      <c r="I336" s="207" t="s">
        <v>310</v>
      </c>
      <c r="J336" s="73" t="s">
        <v>2403</v>
      </c>
      <c r="K336" s="205" t="s">
        <v>706</v>
      </c>
      <c r="L336" s="69"/>
    </row>
    <row r="337" spans="1:12" ht="13" customHeight="1">
      <c r="A337" s="584"/>
      <c r="B337" s="392" t="s">
        <v>2953</v>
      </c>
      <c r="C337" s="207" t="s">
        <v>1563</v>
      </c>
      <c r="D337" s="72" t="s">
        <v>1564</v>
      </c>
      <c r="E337" s="207" t="s">
        <v>299</v>
      </c>
      <c r="F337" s="442" t="s">
        <v>3364</v>
      </c>
      <c r="G337" s="442" t="s">
        <v>3364</v>
      </c>
      <c r="H337" s="212" t="s">
        <v>24</v>
      </c>
      <c r="I337" s="207" t="s">
        <v>71</v>
      </c>
      <c r="J337" s="72" t="s">
        <v>3390</v>
      </c>
      <c r="K337" s="205" t="s">
        <v>706</v>
      </c>
      <c r="L337" s="69"/>
    </row>
    <row r="338" spans="1:12" ht="13" customHeight="1">
      <c r="A338" s="584"/>
      <c r="B338" s="392" t="s">
        <v>2954</v>
      </c>
      <c r="C338" s="207" t="s">
        <v>1500</v>
      </c>
      <c r="D338" s="207" t="s">
        <v>1501</v>
      </c>
      <c r="E338" s="207" t="s">
        <v>299</v>
      </c>
      <c r="F338" s="442" t="s">
        <v>3364</v>
      </c>
      <c r="G338" s="442" t="s">
        <v>3364</v>
      </c>
      <c r="H338" s="212" t="s">
        <v>24</v>
      </c>
      <c r="I338" s="207" t="s">
        <v>1034</v>
      </c>
      <c r="J338" s="207" t="s">
        <v>1565</v>
      </c>
      <c r="K338" s="205" t="s">
        <v>706</v>
      </c>
      <c r="L338" s="69"/>
    </row>
    <row r="339" spans="1:12" ht="13" customHeight="1">
      <c r="A339" s="585"/>
      <c r="B339" s="392" t="s">
        <v>2955</v>
      </c>
      <c r="C339" s="207" t="s">
        <v>1504</v>
      </c>
      <c r="D339" s="207" t="s">
        <v>1505</v>
      </c>
      <c r="E339" s="207" t="s">
        <v>299</v>
      </c>
      <c r="F339" s="442" t="s">
        <v>3364</v>
      </c>
      <c r="G339" s="442" t="s">
        <v>3364</v>
      </c>
      <c r="H339" s="212" t="s">
        <v>24</v>
      </c>
      <c r="I339" s="392" t="s">
        <v>2970</v>
      </c>
      <c r="J339" s="207" t="s">
        <v>1566</v>
      </c>
      <c r="K339" s="205" t="s">
        <v>706</v>
      </c>
      <c r="L339" s="69"/>
    </row>
    <row r="340" spans="1:12" ht="13" customHeight="1">
      <c r="A340" s="577" t="s">
        <v>3575</v>
      </c>
      <c r="B340" s="428" t="s">
        <v>3536</v>
      </c>
      <c r="C340" s="392" t="s">
        <v>1070</v>
      </c>
      <c r="D340" s="392" t="s">
        <v>1071</v>
      </c>
      <c r="E340" s="392" t="s">
        <v>369</v>
      </c>
      <c r="F340" s="455" t="s">
        <v>2793</v>
      </c>
      <c r="G340" s="455" t="s">
        <v>2793</v>
      </c>
      <c r="H340" s="455" t="s">
        <v>57</v>
      </c>
      <c r="I340" s="392" t="s">
        <v>3538</v>
      </c>
      <c r="J340" s="392" t="s">
        <v>3537</v>
      </c>
      <c r="K340" s="453"/>
      <c r="L340" s="69"/>
    </row>
    <row r="341" spans="1:12" ht="13" customHeight="1">
      <c r="A341" s="584"/>
      <c r="B341" s="392" t="s">
        <v>2470</v>
      </c>
      <c r="C341" s="288" t="s">
        <v>2471</v>
      </c>
      <c r="D341" s="207" t="s">
        <v>1084</v>
      </c>
      <c r="E341" s="207" t="s">
        <v>299</v>
      </c>
      <c r="F341" s="442" t="s">
        <v>3364</v>
      </c>
      <c r="G341" s="442" t="s">
        <v>3364</v>
      </c>
      <c r="H341" s="212" t="s">
        <v>24</v>
      </c>
      <c r="I341" s="392" t="s">
        <v>3487</v>
      </c>
      <c r="J341" s="392" t="s">
        <v>3488</v>
      </c>
      <c r="K341" s="205" t="s">
        <v>706</v>
      </c>
      <c r="L341" s="207"/>
    </row>
    <row r="342" spans="1:12" ht="13" customHeight="1">
      <c r="A342" s="584"/>
      <c r="B342" s="207" t="s">
        <v>1567</v>
      </c>
      <c r="C342" s="207" t="s">
        <v>1066</v>
      </c>
      <c r="D342" s="207" t="s">
        <v>1568</v>
      </c>
      <c r="E342" s="207" t="s">
        <v>577</v>
      </c>
      <c r="F342" s="442" t="s">
        <v>3364</v>
      </c>
      <c r="G342" s="442" t="s">
        <v>3364</v>
      </c>
      <c r="H342" s="212" t="s">
        <v>24</v>
      </c>
      <c r="I342" s="207" t="s">
        <v>1016</v>
      </c>
      <c r="J342" s="207" t="s">
        <v>1568</v>
      </c>
      <c r="K342" s="205" t="s">
        <v>706</v>
      </c>
      <c r="L342" s="207"/>
    </row>
    <row r="343" spans="1:12" ht="13" customHeight="1">
      <c r="A343" s="584"/>
      <c r="B343" s="207" t="s">
        <v>1569</v>
      </c>
      <c r="C343" s="207" t="s">
        <v>1079</v>
      </c>
      <c r="D343" s="207" t="s">
        <v>1570</v>
      </c>
      <c r="E343" s="207" t="s">
        <v>577</v>
      </c>
      <c r="F343" s="442" t="s">
        <v>3364</v>
      </c>
      <c r="G343" s="442" t="s">
        <v>3364</v>
      </c>
      <c r="H343" s="212" t="s">
        <v>24</v>
      </c>
      <c r="I343" s="207" t="s">
        <v>1571</v>
      </c>
      <c r="J343" s="207" t="s">
        <v>1570</v>
      </c>
      <c r="K343" s="205" t="s">
        <v>706</v>
      </c>
      <c r="L343" s="207"/>
    </row>
    <row r="344" spans="1:12" ht="13" customHeight="1">
      <c r="A344" s="585"/>
      <c r="B344" s="207" t="s">
        <v>1572</v>
      </c>
      <c r="C344" s="207" t="s">
        <v>1074</v>
      </c>
      <c r="D344" s="207" t="s">
        <v>1573</v>
      </c>
      <c r="E344" s="207" t="s">
        <v>577</v>
      </c>
      <c r="F344" s="442" t="s">
        <v>3364</v>
      </c>
      <c r="G344" s="442" t="s">
        <v>3364</v>
      </c>
      <c r="H344" s="212" t="s">
        <v>24</v>
      </c>
      <c r="I344" s="207" t="s">
        <v>1076</v>
      </c>
      <c r="J344" s="207" t="s">
        <v>1574</v>
      </c>
      <c r="K344" s="205" t="s">
        <v>706</v>
      </c>
      <c r="L344" s="392"/>
    </row>
    <row r="345" spans="1:12" ht="18" customHeight="1">
      <c r="A345" s="392" t="s">
        <v>3576</v>
      </c>
      <c r="B345" s="392" t="s">
        <v>2472</v>
      </c>
      <c r="C345" s="207" t="s">
        <v>1575</v>
      </c>
      <c r="D345" s="207" t="s">
        <v>1576</v>
      </c>
      <c r="E345" s="207" t="s">
        <v>577</v>
      </c>
      <c r="F345" s="442" t="s">
        <v>3364</v>
      </c>
      <c r="G345" s="442" t="s">
        <v>3364</v>
      </c>
      <c r="H345" s="212" t="s">
        <v>24</v>
      </c>
      <c r="I345" s="207" t="s">
        <v>1006</v>
      </c>
      <c r="J345" s="207" t="s">
        <v>1577</v>
      </c>
      <c r="K345" s="205" t="s">
        <v>706</v>
      </c>
      <c r="L345" s="392"/>
    </row>
    <row r="346" spans="1:12" ht="13" customHeight="1">
      <c r="F346" s="74"/>
      <c r="G346" s="74"/>
    </row>
    <row r="347" spans="1:12" ht="13" customHeight="1">
      <c r="F347" s="74"/>
      <c r="G347" s="74"/>
    </row>
    <row r="348" spans="1:12" ht="13" customHeight="1">
      <c r="F348" s="74"/>
      <c r="G348" s="74"/>
    </row>
    <row r="349" spans="1:12" ht="13" customHeight="1">
      <c r="F349" s="74"/>
      <c r="G349" s="74"/>
    </row>
    <row r="350" spans="1:12" ht="13" customHeight="1">
      <c r="B350" s="227"/>
      <c r="F350" s="74"/>
      <c r="G350" s="74"/>
    </row>
  </sheetData>
  <mergeCells count="20">
    <mergeCell ref="A340:A344"/>
    <mergeCell ref="L150:L183"/>
    <mergeCell ref="L184:L223"/>
    <mergeCell ref="A150:A183"/>
    <mergeCell ref="A326:A339"/>
    <mergeCell ref="L224:L245"/>
    <mergeCell ref="L248:L277"/>
    <mergeCell ref="A184:A223"/>
    <mergeCell ref="A224:A247"/>
    <mergeCell ref="A248:A277"/>
    <mergeCell ref="M317:M318"/>
    <mergeCell ref="A306:A325"/>
    <mergeCell ref="A3:A50"/>
    <mergeCell ref="A51:A98"/>
    <mergeCell ref="A99:A149"/>
    <mergeCell ref="L3:L50"/>
    <mergeCell ref="L51:L98"/>
    <mergeCell ref="L99:L149"/>
    <mergeCell ref="A278:A285"/>
    <mergeCell ref="A286:A305"/>
  </mergeCells>
  <phoneticPr fontId="53" type="noConversion"/>
  <pageMargins left="0.69930555555555596" right="0.69930555555555596"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dimension ref="A1:M10"/>
  <sheetViews>
    <sheetView workbookViewId="0">
      <pane xSplit="1" ySplit="1" topLeftCell="B2" activePane="bottomRight" state="frozen"/>
      <selection pane="topRight"/>
      <selection pane="bottomLeft"/>
      <selection pane="bottomRight" activeCell="C20" sqref="A1:XFD1048576"/>
    </sheetView>
  </sheetViews>
  <sheetFormatPr defaultColWidth="57.36328125" defaultRowHeight="12"/>
  <cols>
    <col min="1" max="1" width="11.6328125" style="95" customWidth="1"/>
    <col min="2" max="2" width="63" style="95" customWidth="1"/>
    <col min="3" max="3" width="21.36328125" style="95" customWidth="1"/>
    <col min="4" max="4" width="18.90625" style="95" customWidth="1"/>
    <col min="5" max="5" width="6.36328125" style="95" customWidth="1"/>
    <col min="6" max="6" width="9.08984375" style="95" customWidth="1"/>
    <col min="7" max="7" width="27.26953125" style="96" customWidth="1"/>
    <col min="8" max="8" width="11.36328125" style="96" customWidth="1"/>
    <col min="9" max="9" width="17.36328125" style="96" customWidth="1"/>
    <col min="10" max="10" width="11.7265625" style="96" customWidth="1"/>
    <col min="11" max="11" width="24.7265625" style="95" customWidth="1"/>
    <col min="12" max="12" width="43.6328125" style="95" customWidth="1"/>
    <col min="13" max="16384" width="57.36328125" style="95"/>
  </cols>
  <sheetData>
    <row r="1" spans="1:13" s="93" customFormat="1">
      <c r="A1" s="15" t="s">
        <v>287</v>
      </c>
      <c r="B1" s="16" t="s">
        <v>288</v>
      </c>
      <c r="C1" s="16" t="s">
        <v>289</v>
      </c>
      <c r="D1" s="16" t="s">
        <v>290</v>
      </c>
      <c r="E1" s="16" t="s">
        <v>291</v>
      </c>
      <c r="F1" s="16" t="s">
        <v>292</v>
      </c>
      <c r="G1" s="16" t="s">
        <v>293</v>
      </c>
      <c r="H1" s="16" t="s">
        <v>8</v>
      </c>
      <c r="I1" s="16" t="s">
        <v>6</v>
      </c>
      <c r="J1" s="16" t="s">
        <v>294</v>
      </c>
      <c r="K1" s="20" t="s">
        <v>241</v>
      </c>
      <c r="L1" s="59" t="s">
        <v>295</v>
      </c>
      <c r="M1" s="100"/>
    </row>
    <row r="2" spans="1:13" s="94" customFormat="1">
      <c r="A2" s="588" t="s">
        <v>274</v>
      </c>
      <c r="B2" s="97" t="s">
        <v>3513</v>
      </c>
      <c r="C2" s="97" t="s">
        <v>675</v>
      </c>
      <c r="D2" s="97" t="s">
        <v>3577</v>
      </c>
      <c r="E2" s="98" t="s">
        <v>299</v>
      </c>
      <c r="F2" s="441" t="s">
        <v>3364</v>
      </c>
      <c r="G2" s="590" t="s">
        <v>302</v>
      </c>
      <c r="H2" s="99" t="s">
        <v>24</v>
      </c>
      <c r="I2" s="101" t="s">
        <v>677</v>
      </c>
      <c r="J2" s="98" t="s">
        <v>302</v>
      </c>
      <c r="K2" s="62" t="s">
        <v>590</v>
      </c>
      <c r="L2" s="100"/>
    </row>
    <row r="3" spans="1:13" s="94" customFormat="1">
      <c r="A3" s="589"/>
      <c r="B3" s="97" t="s">
        <v>678</v>
      </c>
      <c r="C3" s="97" t="s">
        <v>679</v>
      </c>
      <c r="D3" s="97" t="s">
        <v>680</v>
      </c>
      <c r="E3" s="98" t="s">
        <v>299</v>
      </c>
      <c r="F3" s="441" t="s">
        <v>3364</v>
      </c>
      <c r="G3" s="591"/>
      <c r="H3" s="99" t="s">
        <v>24</v>
      </c>
      <c r="I3" s="101" t="s">
        <v>28</v>
      </c>
      <c r="J3" s="98" t="s">
        <v>302</v>
      </c>
      <c r="K3" s="62" t="s">
        <v>590</v>
      </c>
      <c r="L3" s="100"/>
    </row>
    <row r="4" spans="1:13" s="94" customFormat="1">
      <c r="A4" s="589"/>
      <c r="B4" s="97" t="s">
        <v>681</v>
      </c>
      <c r="C4" s="97" t="s">
        <v>682</v>
      </c>
      <c r="D4" s="97" t="s">
        <v>683</v>
      </c>
      <c r="E4" s="98" t="s">
        <v>299</v>
      </c>
      <c r="F4" s="441" t="s">
        <v>3364</v>
      </c>
      <c r="G4" s="591"/>
      <c r="H4" s="99" t="s">
        <v>24</v>
      </c>
      <c r="I4" s="101" t="s">
        <v>28</v>
      </c>
      <c r="J4" s="98" t="s">
        <v>302</v>
      </c>
      <c r="K4" s="62" t="s">
        <v>590</v>
      </c>
      <c r="L4" s="100"/>
    </row>
    <row r="5" spans="1:13" s="94" customFormat="1">
      <c r="A5" s="589"/>
      <c r="B5" s="97" t="s">
        <v>684</v>
      </c>
      <c r="C5" s="97" t="s">
        <v>685</v>
      </c>
      <c r="D5" s="97" t="s">
        <v>686</v>
      </c>
      <c r="E5" s="98" t="s">
        <v>299</v>
      </c>
      <c r="F5" s="441" t="s">
        <v>3364</v>
      </c>
      <c r="G5" s="591"/>
      <c r="H5" s="99" t="s">
        <v>24</v>
      </c>
      <c r="I5" s="101" t="s">
        <v>28</v>
      </c>
      <c r="J5" s="98" t="s">
        <v>302</v>
      </c>
      <c r="K5" s="62" t="s">
        <v>590</v>
      </c>
      <c r="L5" s="100"/>
    </row>
    <row r="6" spans="1:13" s="94" customFormat="1">
      <c r="A6" s="589"/>
      <c r="B6" s="97" t="s">
        <v>687</v>
      </c>
      <c r="C6" s="97" t="s">
        <v>688</v>
      </c>
      <c r="D6" s="97" t="s">
        <v>689</v>
      </c>
      <c r="E6" s="98" t="s">
        <v>299</v>
      </c>
      <c r="F6" s="441" t="s">
        <v>3364</v>
      </c>
      <c r="G6" s="591"/>
      <c r="H6" s="99" t="s">
        <v>24</v>
      </c>
      <c r="I6" s="101" t="s">
        <v>28</v>
      </c>
      <c r="J6" s="98" t="s">
        <v>302</v>
      </c>
      <c r="K6" s="62" t="s">
        <v>590</v>
      </c>
      <c r="L6" s="100"/>
    </row>
    <row r="7" spans="1:13" s="94" customFormat="1">
      <c r="A7" s="589"/>
      <c r="B7" s="97" t="s">
        <v>690</v>
      </c>
      <c r="C7" s="97" t="s">
        <v>691</v>
      </c>
      <c r="D7" s="97" t="s">
        <v>692</v>
      </c>
      <c r="E7" s="98" t="s">
        <v>299</v>
      </c>
      <c r="F7" s="441" t="s">
        <v>3364</v>
      </c>
      <c r="G7" s="591"/>
      <c r="H7" s="99" t="s">
        <v>24</v>
      </c>
      <c r="I7" s="101" t="s">
        <v>428</v>
      </c>
      <c r="J7" s="98" t="s">
        <v>302</v>
      </c>
      <c r="K7" s="62" t="s">
        <v>590</v>
      </c>
      <c r="L7" s="100"/>
    </row>
    <row r="8" spans="1:13" s="94" customFormat="1">
      <c r="A8" s="589"/>
      <c r="B8" s="97" t="s">
        <v>693</v>
      </c>
      <c r="C8" s="97" t="s">
        <v>694</v>
      </c>
      <c r="D8" s="97" t="s">
        <v>695</v>
      </c>
      <c r="E8" s="98" t="s">
        <v>299</v>
      </c>
      <c r="F8" s="441" t="s">
        <v>3364</v>
      </c>
      <c r="G8" s="591"/>
      <c r="H8" s="99" t="s">
        <v>24</v>
      </c>
      <c r="I8" s="101" t="s">
        <v>28</v>
      </c>
      <c r="J8" s="98" t="s">
        <v>302</v>
      </c>
      <c r="K8" s="62" t="s">
        <v>590</v>
      </c>
      <c r="L8" s="100"/>
    </row>
    <row r="9" spans="1:13" s="94" customFormat="1">
      <c r="A9" s="589"/>
      <c r="B9" s="97" t="s">
        <v>696</v>
      </c>
      <c r="C9" s="97" t="s">
        <v>697</v>
      </c>
      <c r="D9" s="97" t="s">
        <v>698</v>
      </c>
      <c r="E9" s="98" t="s">
        <v>299</v>
      </c>
      <c r="F9" s="441" t="s">
        <v>3364</v>
      </c>
      <c r="G9" s="591"/>
      <c r="H9" s="99" t="s">
        <v>24</v>
      </c>
      <c r="I9" s="101" t="s">
        <v>28</v>
      </c>
      <c r="J9" s="98" t="s">
        <v>302</v>
      </c>
      <c r="K9" s="62" t="s">
        <v>590</v>
      </c>
      <c r="L9" s="100"/>
    </row>
    <row r="10" spans="1:13" s="94" customFormat="1">
      <c r="A10" s="589"/>
      <c r="B10" s="97" t="s">
        <v>699</v>
      </c>
      <c r="C10" s="97" t="s">
        <v>700</v>
      </c>
      <c r="D10" s="97" t="s">
        <v>701</v>
      </c>
      <c r="E10" s="98" t="s">
        <v>299</v>
      </c>
      <c r="F10" s="98" t="s">
        <v>3364</v>
      </c>
      <c r="G10" s="592"/>
      <c r="H10" s="99" t="s">
        <v>24</v>
      </c>
      <c r="I10" s="101" t="s">
        <v>28</v>
      </c>
      <c r="J10" s="101" t="s">
        <v>302</v>
      </c>
      <c r="K10" s="101" t="s">
        <v>590</v>
      </c>
      <c r="L10" s="100"/>
    </row>
  </sheetData>
  <mergeCells count="2">
    <mergeCell ref="A2:A10"/>
    <mergeCell ref="G2:G10"/>
  </mergeCells>
  <phoneticPr fontId="53" type="noConversion"/>
  <pageMargins left="0.69930555555555596" right="0.69930555555555596"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dimension ref="A1:L46"/>
  <sheetViews>
    <sheetView zoomScale="85" zoomScaleNormal="85" workbookViewId="0">
      <pane xSplit="1" ySplit="1" topLeftCell="C20" activePane="bottomRight" state="frozen"/>
      <selection pane="topRight"/>
      <selection pane="bottomLeft"/>
      <selection pane="bottomRight" sqref="A1:XFD1048576"/>
    </sheetView>
  </sheetViews>
  <sheetFormatPr defaultColWidth="9" defaultRowHeight="14"/>
  <cols>
    <col min="1" max="1" width="9.08984375" customWidth="1"/>
    <col min="2" max="2" width="70.90625" style="4" customWidth="1"/>
    <col min="3" max="3" width="13" style="39" customWidth="1"/>
    <col min="4" max="4" width="20.453125" style="39" customWidth="1"/>
    <col min="5" max="5" width="6.36328125" style="39" customWidth="1"/>
    <col min="6" max="6" width="9.08984375" style="39" customWidth="1"/>
    <col min="7" max="7" width="23" style="39" customWidth="1"/>
    <col min="8" max="8" width="11.36328125" style="39" customWidth="1"/>
    <col min="9" max="9" width="9" style="4" customWidth="1"/>
    <col min="10" max="10" width="27.26953125" style="39" customWidth="1"/>
    <col min="11" max="11" width="33.90625" style="39" customWidth="1"/>
    <col min="12" max="12" width="28" customWidth="1"/>
  </cols>
  <sheetData>
    <row r="1" spans="1:12" s="56" customFormat="1">
      <c r="A1" s="59" t="s">
        <v>287</v>
      </c>
      <c r="B1" s="60" t="s">
        <v>288</v>
      </c>
      <c r="C1" s="59" t="s">
        <v>289</v>
      </c>
      <c r="D1" s="59" t="s">
        <v>290</v>
      </c>
      <c r="E1" s="59" t="s">
        <v>291</v>
      </c>
      <c r="F1" s="59" t="s">
        <v>292</v>
      </c>
      <c r="G1" s="59" t="s">
        <v>293</v>
      </c>
      <c r="H1" s="59" t="s">
        <v>8</v>
      </c>
      <c r="I1" s="63" t="s">
        <v>6</v>
      </c>
      <c r="J1" s="59" t="s">
        <v>294</v>
      </c>
      <c r="K1" s="59" t="s">
        <v>241</v>
      </c>
      <c r="L1" s="6" t="s">
        <v>295</v>
      </c>
    </row>
    <row r="2" spans="1:12" s="57" customFormat="1">
      <c r="A2" s="593" t="s">
        <v>280</v>
      </c>
      <c r="B2" s="61" t="s">
        <v>4208</v>
      </c>
      <c r="C2" s="62" t="s">
        <v>3910</v>
      </c>
      <c r="D2" s="62" t="s">
        <v>3560</v>
      </c>
      <c r="E2" s="62" t="s">
        <v>299</v>
      </c>
      <c r="F2" s="62" t="s">
        <v>3366</v>
      </c>
      <c r="G2" s="62" t="s">
        <v>3303</v>
      </c>
      <c r="H2" s="62" t="s">
        <v>24</v>
      </c>
      <c r="I2" s="64" t="s">
        <v>71</v>
      </c>
      <c r="J2" s="62" t="s">
        <v>3391</v>
      </c>
      <c r="K2" s="62" t="s">
        <v>408</v>
      </c>
      <c r="L2" s="65"/>
    </row>
    <row r="3" spans="1:12" s="57" customFormat="1" ht="108">
      <c r="A3" s="594"/>
      <c r="B3" s="61" t="s">
        <v>4120</v>
      </c>
      <c r="C3" s="428" t="s">
        <v>3963</v>
      </c>
      <c r="D3" s="428" t="s">
        <v>3961</v>
      </c>
      <c r="E3" s="468" t="s">
        <v>1858</v>
      </c>
      <c r="F3" s="468" t="s">
        <v>3624</v>
      </c>
      <c r="G3" s="428" t="s">
        <v>3962</v>
      </c>
      <c r="H3" s="468" t="s">
        <v>2405</v>
      </c>
      <c r="I3" s="468" t="s">
        <v>2469</v>
      </c>
      <c r="J3" s="428" t="s">
        <v>4040</v>
      </c>
      <c r="K3" s="428" t="s">
        <v>4169</v>
      </c>
      <c r="L3" s="428"/>
    </row>
    <row r="4" spans="1:12" s="57" customFormat="1">
      <c r="A4" s="594"/>
      <c r="B4" s="61" t="s">
        <v>2806</v>
      </c>
      <c r="C4" s="62" t="s">
        <v>1640</v>
      </c>
      <c r="D4" s="62" t="s">
        <v>1641</v>
      </c>
      <c r="E4" s="62" t="s">
        <v>299</v>
      </c>
      <c r="F4" s="62" t="s">
        <v>302</v>
      </c>
      <c r="G4" s="62" t="s">
        <v>302</v>
      </c>
      <c r="H4" s="62" t="s">
        <v>57</v>
      </c>
      <c r="I4" s="64" t="s">
        <v>350</v>
      </c>
      <c r="J4" s="62" t="s">
        <v>1641</v>
      </c>
      <c r="K4" s="62"/>
      <c r="L4" s="65"/>
    </row>
    <row r="5" spans="1:12" s="57" customFormat="1">
      <c r="A5" s="594"/>
      <c r="B5" s="61" t="s">
        <v>4209</v>
      </c>
      <c r="C5" s="62" t="s">
        <v>3909</v>
      </c>
      <c r="D5" s="62" t="s">
        <v>3561</v>
      </c>
      <c r="E5" s="62" t="s">
        <v>299</v>
      </c>
      <c r="F5" s="62" t="s">
        <v>302</v>
      </c>
      <c r="G5" s="62" t="s">
        <v>302</v>
      </c>
      <c r="H5" s="62" t="s">
        <v>57</v>
      </c>
      <c r="I5" s="64" t="s">
        <v>350</v>
      </c>
      <c r="J5" s="62" t="s">
        <v>4210</v>
      </c>
      <c r="K5" s="62" t="s">
        <v>408</v>
      </c>
      <c r="L5" s="65"/>
    </row>
    <row r="6" spans="1:12" s="57" customFormat="1" ht="13.5" customHeight="1">
      <c r="A6" s="594"/>
      <c r="B6" s="61" t="s">
        <v>2805</v>
      </c>
      <c r="C6" s="62" t="s">
        <v>1642</v>
      </c>
      <c r="D6" s="62" t="s">
        <v>3562</v>
      </c>
      <c r="E6" s="62" t="s">
        <v>299</v>
      </c>
      <c r="F6" s="62" t="s">
        <v>302</v>
      </c>
      <c r="G6" s="62" t="s">
        <v>302</v>
      </c>
      <c r="H6" s="62" t="s">
        <v>57</v>
      </c>
      <c r="I6" s="64" t="s">
        <v>1643</v>
      </c>
      <c r="J6" s="62" t="s">
        <v>302</v>
      </c>
      <c r="K6" s="62" t="s">
        <v>1644</v>
      </c>
      <c r="L6" s="65"/>
    </row>
    <row r="7" spans="1:12" s="57" customFormat="1">
      <c r="A7" s="594"/>
      <c r="B7" s="61" t="s">
        <v>4042</v>
      </c>
      <c r="C7" s="62" t="s">
        <v>3905</v>
      </c>
      <c r="D7" s="62" t="s">
        <v>3903</v>
      </c>
      <c r="E7" s="62" t="s">
        <v>299</v>
      </c>
      <c r="F7" s="62" t="s">
        <v>3366</v>
      </c>
      <c r="G7" s="62" t="s">
        <v>1645</v>
      </c>
      <c r="H7" s="62" t="s">
        <v>24</v>
      </c>
      <c r="I7" s="64" t="s">
        <v>350</v>
      </c>
      <c r="J7" s="62" t="s">
        <v>3904</v>
      </c>
      <c r="K7" s="62" t="s">
        <v>303</v>
      </c>
      <c r="L7" s="65"/>
    </row>
    <row r="8" spans="1:12" s="57" customFormat="1" ht="24">
      <c r="A8" s="594"/>
      <c r="B8" s="61" t="s">
        <v>4124</v>
      </c>
      <c r="C8" s="62" t="s">
        <v>3907</v>
      </c>
      <c r="D8" s="62" t="s">
        <v>3563</v>
      </c>
      <c r="E8" s="62" t="s">
        <v>299</v>
      </c>
      <c r="F8" s="62" t="s">
        <v>3366</v>
      </c>
      <c r="G8" s="62" t="s">
        <v>1646</v>
      </c>
      <c r="H8" s="62" t="s">
        <v>57</v>
      </c>
      <c r="I8" s="64" t="s">
        <v>350</v>
      </c>
      <c r="J8" s="62" t="s">
        <v>3908</v>
      </c>
      <c r="K8" s="66"/>
      <c r="L8" s="65"/>
    </row>
    <row r="9" spans="1:12" s="57" customFormat="1">
      <c r="A9" s="594"/>
      <c r="B9" s="61" t="s">
        <v>2808</v>
      </c>
      <c r="C9" s="62" t="s">
        <v>1647</v>
      </c>
      <c r="D9" s="62" t="s">
        <v>1648</v>
      </c>
      <c r="E9" s="62" t="s">
        <v>299</v>
      </c>
      <c r="F9" s="62" t="s">
        <v>302</v>
      </c>
      <c r="G9" s="62" t="s">
        <v>302</v>
      </c>
      <c r="H9" s="62" t="s">
        <v>24</v>
      </c>
      <c r="I9" s="64" t="s">
        <v>350</v>
      </c>
      <c r="J9" s="62" t="s">
        <v>1649</v>
      </c>
      <c r="K9" s="62" t="s">
        <v>303</v>
      </c>
      <c r="L9" s="65"/>
    </row>
    <row r="10" spans="1:12" s="57" customFormat="1" ht="48">
      <c r="A10" s="594"/>
      <c r="B10" s="61" t="s">
        <v>4039</v>
      </c>
      <c r="C10" s="62" t="s">
        <v>3911</v>
      </c>
      <c r="D10" s="62" t="s">
        <v>3912</v>
      </c>
      <c r="E10" s="62" t="s">
        <v>3726</v>
      </c>
      <c r="F10" s="62" t="s">
        <v>3913</v>
      </c>
      <c r="G10" s="62" t="s">
        <v>3911</v>
      </c>
      <c r="H10" s="62" t="s">
        <v>3973</v>
      </c>
      <c r="I10" s="64" t="s">
        <v>3728</v>
      </c>
      <c r="J10" s="62" t="s">
        <v>3974</v>
      </c>
      <c r="K10" s="428" t="s">
        <v>4169</v>
      </c>
      <c r="L10" s="65"/>
    </row>
    <row r="11" spans="1:12" s="57" customFormat="1">
      <c r="A11" s="594"/>
      <c r="B11" s="61" t="s">
        <v>2887</v>
      </c>
      <c r="C11" s="62" t="s">
        <v>1650</v>
      </c>
      <c r="D11" s="62" t="s">
        <v>1651</v>
      </c>
      <c r="E11" s="62" t="s">
        <v>299</v>
      </c>
      <c r="F11" s="62" t="s">
        <v>3366</v>
      </c>
      <c r="G11" s="62" t="s">
        <v>1652</v>
      </c>
      <c r="H11" s="266" t="s">
        <v>24</v>
      </c>
      <c r="I11" s="64" t="s">
        <v>1653</v>
      </c>
      <c r="J11" s="62" t="s">
        <v>302</v>
      </c>
      <c r="K11" s="62" t="s">
        <v>303</v>
      </c>
      <c r="L11" s="65"/>
    </row>
    <row r="12" spans="1:12" s="57" customFormat="1">
      <c r="A12" s="594"/>
      <c r="B12" s="61" t="s">
        <v>1654</v>
      </c>
      <c r="C12" s="62" t="s">
        <v>1655</v>
      </c>
      <c r="D12" s="62" t="s">
        <v>1656</v>
      </c>
      <c r="E12" s="62" t="s">
        <v>299</v>
      </c>
      <c r="F12" s="62" t="s">
        <v>302</v>
      </c>
      <c r="G12" s="62" t="s">
        <v>302</v>
      </c>
      <c r="H12" s="266" t="s">
        <v>24</v>
      </c>
      <c r="I12" s="64" t="s">
        <v>1653</v>
      </c>
      <c r="J12" s="62" t="s">
        <v>302</v>
      </c>
      <c r="K12" s="62" t="s">
        <v>303</v>
      </c>
      <c r="L12" s="65"/>
    </row>
    <row r="13" spans="1:12" s="57" customFormat="1">
      <c r="A13" s="594"/>
      <c r="B13" s="61" t="s">
        <v>2843</v>
      </c>
      <c r="C13" s="62" t="s">
        <v>596</v>
      </c>
      <c r="D13" s="62" t="s">
        <v>1657</v>
      </c>
      <c r="E13" s="62" t="s">
        <v>299</v>
      </c>
      <c r="F13" s="62" t="s">
        <v>302</v>
      </c>
      <c r="G13" s="62" t="s">
        <v>302</v>
      </c>
      <c r="H13" s="266" t="s">
        <v>24</v>
      </c>
      <c r="I13" s="64" t="s">
        <v>350</v>
      </c>
      <c r="J13" s="62" t="s">
        <v>302</v>
      </c>
      <c r="K13" s="62" t="s">
        <v>3557</v>
      </c>
      <c r="L13" s="65"/>
    </row>
    <row r="14" spans="1:12" s="57" customFormat="1">
      <c r="A14" s="594"/>
      <c r="B14" s="61" t="s">
        <v>1658</v>
      </c>
      <c r="C14" s="62" t="s">
        <v>1659</v>
      </c>
      <c r="D14" s="62" t="s">
        <v>2809</v>
      </c>
      <c r="E14" s="62" t="s">
        <v>299</v>
      </c>
      <c r="F14" s="62" t="s">
        <v>302</v>
      </c>
      <c r="G14" s="62" t="s">
        <v>302</v>
      </c>
      <c r="H14" s="266" t="s">
        <v>24</v>
      </c>
      <c r="I14" s="64" t="s">
        <v>350</v>
      </c>
      <c r="J14" s="62" t="s">
        <v>2842</v>
      </c>
      <c r="K14" s="62" t="s">
        <v>303</v>
      </c>
      <c r="L14" s="65"/>
    </row>
    <row r="15" spans="1:12" s="58" customFormat="1" ht="24">
      <c r="A15" s="594"/>
      <c r="B15" s="61" t="s">
        <v>4122</v>
      </c>
      <c r="C15" s="62" t="s">
        <v>1660</v>
      </c>
      <c r="D15" s="62" t="s">
        <v>1661</v>
      </c>
      <c r="E15" s="62" t="s">
        <v>299</v>
      </c>
      <c r="F15" s="62" t="s">
        <v>3366</v>
      </c>
      <c r="G15" s="62" t="s">
        <v>1660</v>
      </c>
      <c r="H15" s="62" t="s">
        <v>57</v>
      </c>
      <c r="I15" s="61" t="s">
        <v>350</v>
      </c>
      <c r="J15" s="62" t="s">
        <v>4043</v>
      </c>
      <c r="K15" s="42" t="s">
        <v>319</v>
      </c>
      <c r="L15" s="67" t="s">
        <v>2775</v>
      </c>
    </row>
    <row r="16" spans="1:12" ht="24">
      <c r="A16" s="550"/>
      <c r="B16" s="61" t="s">
        <v>2852</v>
      </c>
      <c r="C16" s="62" t="s">
        <v>1650</v>
      </c>
      <c r="D16" s="62" t="s">
        <v>3564</v>
      </c>
      <c r="E16" s="62" t="s">
        <v>299</v>
      </c>
      <c r="F16" s="62" t="s">
        <v>3366</v>
      </c>
      <c r="G16" s="62" t="s">
        <v>3367</v>
      </c>
      <c r="H16" s="266" t="s">
        <v>24</v>
      </c>
      <c r="I16" s="64" t="s">
        <v>2804</v>
      </c>
      <c r="J16" s="62" t="s">
        <v>302</v>
      </c>
      <c r="K16" s="62" t="s">
        <v>303</v>
      </c>
      <c r="L16" s="65"/>
    </row>
    <row r="17" spans="1:12">
      <c r="A17" s="550"/>
      <c r="B17" s="61" t="s">
        <v>2854</v>
      </c>
      <c r="C17" s="62" t="s">
        <v>2855</v>
      </c>
      <c r="D17" s="62" t="s">
        <v>2856</v>
      </c>
      <c r="E17" s="62" t="s">
        <v>299</v>
      </c>
      <c r="F17" s="62" t="s">
        <v>302</v>
      </c>
      <c r="G17" s="62" t="s">
        <v>302</v>
      </c>
      <c r="H17" s="266" t="s">
        <v>24</v>
      </c>
      <c r="I17" s="64" t="s">
        <v>2857</v>
      </c>
      <c r="J17" s="62" t="s">
        <v>302</v>
      </c>
      <c r="K17" s="62"/>
      <c r="L17" s="65"/>
    </row>
    <row r="18" spans="1:12">
      <c r="A18" s="550"/>
      <c r="B18" s="61" t="s">
        <v>2858</v>
      </c>
      <c r="C18" s="62" t="s">
        <v>2859</v>
      </c>
      <c r="D18" s="62" t="s">
        <v>2860</v>
      </c>
      <c r="E18" s="62" t="s">
        <v>299</v>
      </c>
      <c r="F18" s="62" t="s">
        <v>302</v>
      </c>
      <c r="G18" s="62" t="s">
        <v>302</v>
      </c>
      <c r="H18" s="266" t="s">
        <v>24</v>
      </c>
      <c r="I18" s="64" t="s">
        <v>350</v>
      </c>
      <c r="J18" s="62" t="s">
        <v>2861</v>
      </c>
      <c r="K18" s="62" t="s">
        <v>303</v>
      </c>
      <c r="L18" s="65"/>
    </row>
    <row r="19" spans="1:12" ht="24">
      <c r="A19" s="550"/>
      <c r="B19" s="61" t="s">
        <v>2862</v>
      </c>
      <c r="C19" s="62" t="s">
        <v>3906</v>
      </c>
      <c r="D19" s="62" t="s">
        <v>1661</v>
      </c>
      <c r="E19" s="62" t="s">
        <v>299</v>
      </c>
      <c r="F19" s="62" t="s">
        <v>3366</v>
      </c>
      <c r="G19" s="62" t="s">
        <v>1660</v>
      </c>
      <c r="H19" s="62" t="s">
        <v>57</v>
      </c>
      <c r="I19" s="61" t="s">
        <v>350</v>
      </c>
      <c r="J19" s="62" t="s">
        <v>2807</v>
      </c>
      <c r="K19" s="425" t="s">
        <v>319</v>
      </c>
      <c r="L19" s="67" t="s">
        <v>2863</v>
      </c>
    </row>
    <row r="20" spans="1:12">
      <c r="A20" s="550"/>
      <c r="B20" s="61" t="s">
        <v>3232</v>
      </c>
      <c r="C20" s="62" t="s">
        <v>1655</v>
      </c>
      <c r="D20" s="62" t="s">
        <v>3565</v>
      </c>
      <c r="E20" s="62" t="s">
        <v>299</v>
      </c>
      <c r="F20" s="62" t="s">
        <v>302</v>
      </c>
      <c r="G20" s="62" t="s">
        <v>302</v>
      </c>
      <c r="H20" s="266" t="s">
        <v>24</v>
      </c>
      <c r="I20" s="64" t="s">
        <v>3281</v>
      </c>
      <c r="J20" s="62" t="s">
        <v>302</v>
      </c>
      <c r="K20" s="62" t="s">
        <v>303</v>
      </c>
      <c r="L20" s="67"/>
    </row>
    <row r="21" spans="1:12">
      <c r="A21" s="595" t="s">
        <v>2776</v>
      </c>
      <c r="B21" s="61" t="s">
        <v>2777</v>
      </c>
      <c r="C21" s="62" t="s">
        <v>2778</v>
      </c>
      <c r="D21" s="62" t="s">
        <v>2779</v>
      </c>
      <c r="E21" s="62" t="s">
        <v>299</v>
      </c>
      <c r="F21" s="62" t="s">
        <v>302</v>
      </c>
      <c r="G21" s="62" t="s">
        <v>302</v>
      </c>
      <c r="H21" s="62" t="s">
        <v>1869</v>
      </c>
      <c r="I21" s="64" t="s">
        <v>2780</v>
      </c>
      <c r="J21" s="363" t="s">
        <v>2779</v>
      </c>
      <c r="K21" s="64"/>
      <c r="L21" s="67"/>
    </row>
    <row r="22" spans="1:12">
      <c r="A22" s="596"/>
      <c r="B22" s="61" t="s">
        <v>2781</v>
      </c>
      <c r="C22" s="62" t="s">
        <v>2782</v>
      </c>
      <c r="D22" s="62" t="s">
        <v>2783</v>
      </c>
      <c r="E22" s="62" t="s">
        <v>299</v>
      </c>
      <c r="F22" s="62" t="s">
        <v>302</v>
      </c>
      <c r="G22" s="62" t="s">
        <v>302</v>
      </c>
      <c r="H22" s="62" t="s">
        <v>1869</v>
      </c>
      <c r="I22" s="64" t="s">
        <v>2784</v>
      </c>
      <c r="J22" s="363" t="s">
        <v>2785</v>
      </c>
      <c r="K22" s="64"/>
      <c r="L22" s="67"/>
    </row>
    <row r="23" spans="1:12">
      <c r="A23" s="596"/>
      <c r="B23" s="61" t="s">
        <v>2786</v>
      </c>
      <c r="C23" s="62" t="s">
        <v>2787</v>
      </c>
      <c r="D23" s="62" t="s">
        <v>2788</v>
      </c>
      <c r="E23" s="62" t="s">
        <v>299</v>
      </c>
      <c r="F23" s="62" t="s">
        <v>3366</v>
      </c>
      <c r="G23" s="62" t="s">
        <v>3303</v>
      </c>
      <c r="H23" s="62" t="s">
        <v>1869</v>
      </c>
      <c r="I23" s="64" t="s">
        <v>1904</v>
      </c>
      <c r="J23" s="363" t="s">
        <v>3392</v>
      </c>
      <c r="K23" s="64"/>
      <c r="L23" s="67"/>
    </row>
    <row r="24" spans="1:12">
      <c r="A24" s="596"/>
      <c r="B24" s="61" t="s">
        <v>2789</v>
      </c>
      <c r="C24" s="62" t="s">
        <v>2790</v>
      </c>
      <c r="D24" s="62" t="s">
        <v>2791</v>
      </c>
      <c r="E24" s="62" t="s">
        <v>299</v>
      </c>
      <c r="F24" s="62" t="s">
        <v>3366</v>
      </c>
      <c r="G24" s="62" t="s">
        <v>1652</v>
      </c>
      <c r="H24" s="62" t="s">
        <v>1869</v>
      </c>
      <c r="I24" s="64" t="s">
        <v>2792</v>
      </c>
      <c r="J24" s="363" t="s">
        <v>2793</v>
      </c>
      <c r="K24" s="64"/>
      <c r="L24" s="67"/>
    </row>
    <row r="25" spans="1:12">
      <c r="A25" s="596"/>
      <c r="B25" s="61" t="s">
        <v>2794</v>
      </c>
      <c r="C25" s="62" t="s">
        <v>2795</v>
      </c>
      <c r="D25" s="62" t="s">
        <v>2796</v>
      </c>
      <c r="E25" s="62" t="s">
        <v>299</v>
      </c>
      <c r="F25" s="62" t="s">
        <v>302</v>
      </c>
      <c r="G25" s="62" t="s">
        <v>302</v>
      </c>
      <c r="H25" s="62" t="s">
        <v>1869</v>
      </c>
      <c r="I25" s="64" t="s">
        <v>2780</v>
      </c>
      <c r="J25" s="363" t="s">
        <v>2793</v>
      </c>
      <c r="K25" s="64"/>
      <c r="L25" s="67"/>
    </row>
    <row r="26" spans="1:12">
      <c r="A26" s="596"/>
      <c r="B26" s="61" t="s">
        <v>2797</v>
      </c>
      <c r="C26" s="62" t="s">
        <v>2798</v>
      </c>
      <c r="D26" s="62" t="s">
        <v>2799</v>
      </c>
      <c r="E26" s="62" t="s">
        <v>299</v>
      </c>
      <c r="F26" s="62" t="s">
        <v>302</v>
      </c>
      <c r="G26" s="62" t="s">
        <v>302</v>
      </c>
      <c r="H26" s="62" t="s">
        <v>1869</v>
      </c>
      <c r="I26" s="64" t="s">
        <v>2780</v>
      </c>
      <c r="J26" s="363" t="s">
        <v>2800</v>
      </c>
      <c r="K26" s="64"/>
      <c r="L26" s="67"/>
    </row>
    <row r="27" spans="1:12">
      <c r="A27" s="596"/>
      <c r="B27" s="61" t="s">
        <v>2801</v>
      </c>
      <c r="C27" s="62" t="s">
        <v>2802</v>
      </c>
      <c r="D27" s="62" t="s">
        <v>2803</v>
      </c>
      <c r="E27" s="62" t="s">
        <v>299</v>
      </c>
      <c r="F27" s="62" t="s">
        <v>302</v>
      </c>
      <c r="G27" s="62" t="s">
        <v>302</v>
      </c>
      <c r="H27" s="62" t="s">
        <v>1869</v>
      </c>
      <c r="I27" s="64" t="s">
        <v>2792</v>
      </c>
      <c r="J27" s="363" t="s">
        <v>2793</v>
      </c>
      <c r="K27" s="64"/>
      <c r="L27" s="67"/>
    </row>
    <row r="28" spans="1:12" s="58" customFormat="1" ht="24">
      <c r="A28" s="596"/>
      <c r="B28" s="61" t="s">
        <v>3090</v>
      </c>
      <c r="C28" s="62" t="s">
        <v>1660</v>
      </c>
      <c r="D28" s="62" t="s">
        <v>1661</v>
      </c>
      <c r="E28" s="62" t="s">
        <v>299</v>
      </c>
      <c r="F28" s="62" t="s">
        <v>3366</v>
      </c>
      <c r="G28" s="62" t="s">
        <v>1660</v>
      </c>
      <c r="H28" s="62" t="s">
        <v>57</v>
      </c>
      <c r="I28" s="61" t="s">
        <v>350</v>
      </c>
      <c r="J28" s="62" t="s">
        <v>4043</v>
      </c>
      <c r="K28" s="361" t="s">
        <v>319</v>
      </c>
      <c r="L28" s="67" t="s">
        <v>2775</v>
      </c>
    </row>
    <row r="29" spans="1:12" ht="24">
      <c r="A29" s="597"/>
      <c r="B29" s="61" t="s">
        <v>2864</v>
      </c>
      <c r="C29" s="62" t="s">
        <v>1650</v>
      </c>
      <c r="D29" s="62" t="s">
        <v>2853</v>
      </c>
      <c r="E29" s="62" t="s">
        <v>299</v>
      </c>
      <c r="F29" s="62" t="s">
        <v>3366</v>
      </c>
      <c r="G29" s="62" t="s">
        <v>3367</v>
      </c>
      <c r="H29" s="266" t="s">
        <v>24</v>
      </c>
      <c r="I29" s="64" t="s">
        <v>2804</v>
      </c>
      <c r="J29" s="62" t="s">
        <v>302</v>
      </c>
      <c r="K29" s="62" t="s">
        <v>303</v>
      </c>
      <c r="L29" s="67"/>
    </row>
    <row r="30" spans="1:12">
      <c r="A30" s="597"/>
      <c r="B30" s="61" t="s">
        <v>2865</v>
      </c>
      <c r="C30" s="62" t="s">
        <v>2855</v>
      </c>
      <c r="D30" s="62" t="s">
        <v>2856</v>
      </c>
      <c r="E30" s="62" t="s">
        <v>299</v>
      </c>
      <c r="F30" s="62" t="s">
        <v>302</v>
      </c>
      <c r="G30" s="62" t="s">
        <v>302</v>
      </c>
      <c r="H30" s="266" t="s">
        <v>24</v>
      </c>
      <c r="I30" s="64" t="s">
        <v>2857</v>
      </c>
      <c r="J30" s="62" t="s">
        <v>302</v>
      </c>
      <c r="K30" s="62"/>
      <c r="L30" s="67"/>
    </row>
    <row r="31" spans="1:12">
      <c r="A31" s="597"/>
      <c r="B31" s="61" t="s">
        <v>2866</v>
      </c>
      <c r="C31" s="62" t="s">
        <v>2859</v>
      </c>
      <c r="D31" s="62" t="s">
        <v>2860</v>
      </c>
      <c r="E31" s="62" t="s">
        <v>299</v>
      </c>
      <c r="F31" s="62" t="s">
        <v>302</v>
      </c>
      <c r="G31" s="62" t="s">
        <v>302</v>
      </c>
      <c r="H31" s="266" t="s">
        <v>24</v>
      </c>
      <c r="I31" s="64" t="s">
        <v>350</v>
      </c>
      <c r="J31" s="62" t="s">
        <v>2861</v>
      </c>
      <c r="K31" s="62" t="s">
        <v>303</v>
      </c>
      <c r="L31" s="67"/>
    </row>
    <row r="32" spans="1:12">
      <c r="A32" s="597"/>
      <c r="B32" s="61" t="s">
        <v>3233</v>
      </c>
      <c r="C32" s="62" t="s">
        <v>2802</v>
      </c>
      <c r="D32" s="62" t="s">
        <v>3514</v>
      </c>
      <c r="E32" s="62" t="s">
        <v>299</v>
      </c>
      <c r="F32" s="62" t="s">
        <v>302</v>
      </c>
      <c r="G32" s="62" t="s">
        <v>302</v>
      </c>
      <c r="H32" s="62" t="s">
        <v>1869</v>
      </c>
      <c r="I32" s="64" t="s">
        <v>2804</v>
      </c>
      <c r="J32" s="363" t="s">
        <v>2793</v>
      </c>
      <c r="K32" s="64"/>
      <c r="L32" s="67"/>
    </row>
    <row r="33" spans="1:12" ht="16.5" customHeight="1">
      <c r="A33" s="597"/>
      <c r="B33" s="61" t="s">
        <v>2867</v>
      </c>
      <c r="C33" s="62" t="s">
        <v>1660</v>
      </c>
      <c r="D33" s="62" t="s">
        <v>1661</v>
      </c>
      <c r="E33" s="62" t="s">
        <v>299</v>
      </c>
      <c r="F33" s="62" t="s">
        <v>3366</v>
      </c>
      <c r="G33" s="62" t="s">
        <v>1660</v>
      </c>
      <c r="H33" s="62" t="s">
        <v>57</v>
      </c>
      <c r="I33" s="61" t="s">
        <v>350</v>
      </c>
      <c r="J33" s="62" t="s">
        <v>4044</v>
      </c>
      <c r="K33" s="372" t="s">
        <v>319</v>
      </c>
      <c r="L33" s="67" t="s">
        <v>2863</v>
      </c>
    </row>
    <row r="34" spans="1:12" ht="13" customHeight="1">
      <c r="A34" s="593" t="s">
        <v>3078</v>
      </c>
      <c r="B34" s="406" t="s">
        <v>3199</v>
      </c>
      <c r="C34" s="62" t="s">
        <v>3079</v>
      </c>
      <c r="D34" s="62" t="s">
        <v>3082</v>
      </c>
      <c r="E34" s="62" t="s">
        <v>3096</v>
      </c>
      <c r="F34" s="62" t="s">
        <v>302</v>
      </c>
      <c r="G34" s="62" t="s">
        <v>302</v>
      </c>
      <c r="H34" s="266" t="s">
        <v>24</v>
      </c>
      <c r="I34" s="62" t="s">
        <v>3085</v>
      </c>
      <c r="J34" s="62" t="s">
        <v>3086</v>
      </c>
      <c r="K34" s="405"/>
      <c r="L34" s="67"/>
    </row>
    <row r="35" spans="1:12">
      <c r="A35" s="553"/>
      <c r="B35" s="406" t="s">
        <v>3200</v>
      </c>
      <c r="C35" s="62" t="s">
        <v>3080</v>
      </c>
      <c r="D35" s="62" t="s">
        <v>3083</v>
      </c>
      <c r="E35" s="62" t="s">
        <v>3096</v>
      </c>
      <c r="F35" s="62" t="s">
        <v>302</v>
      </c>
      <c r="G35" s="62" t="s">
        <v>302</v>
      </c>
      <c r="H35" s="266" t="s">
        <v>24</v>
      </c>
      <c r="I35" s="62" t="s">
        <v>2804</v>
      </c>
      <c r="J35" s="62" t="s">
        <v>302</v>
      </c>
      <c r="K35" s="405"/>
      <c r="L35" s="67"/>
    </row>
    <row r="36" spans="1:12" ht="11.5" customHeight="1">
      <c r="A36" s="553"/>
      <c r="B36" s="406" t="s">
        <v>3201</v>
      </c>
      <c r="C36" s="62" t="s">
        <v>2855</v>
      </c>
      <c r="D36" s="62" t="s">
        <v>2856</v>
      </c>
      <c r="E36" s="62" t="s">
        <v>3096</v>
      </c>
      <c r="F36" s="62" t="s">
        <v>302</v>
      </c>
      <c r="G36" s="62" t="s">
        <v>302</v>
      </c>
      <c r="H36" s="266" t="s">
        <v>24</v>
      </c>
      <c r="I36" s="62" t="s">
        <v>3227</v>
      </c>
      <c r="J36" s="62" t="s">
        <v>302</v>
      </c>
      <c r="K36" s="405"/>
      <c r="L36" s="67"/>
    </row>
    <row r="37" spans="1:12" ht="14" customHeight="1">
      <c r="A37" s="553"/>
      <c r="B37" s="406" t="s">
        <v>3208</v>
      </c>
      <c r="C37" s="62" t="s">
        <v>3081</v>
      </c>
      <c r="D37" s="62" t="s">
        <v>3084</v>
      </c>
      <c r="E37" s="62" t="s">
        <v>3096</v>
      </c>
      <c r="F37" s="62" t="s">
        <v>302</v>
      </c>
      <c r="G37" s="62" t="s">
        <v>302</v>
      </c>
      <c r="H37" s="62" t="s">
        <v>24</v>
      </c>
      <c r="I37" s="62" t="s">
        <v>2804</v>
      </c>
      <c r="J37" s="62" t="s">
        <v>302</v>
      </c>
      <c r="K37" s="405"/>
      <c r="L37" s="67"/>
    </row>
    <row r="38" spans="1:12">
      <c r="A38" s="554"/>
      <c r="B38" s="406" t="s">
        <v>3209</v>
      </c>
      <c r="C38" s="406" t="s">
        <v>3210</v>
      </c>
      <c r="D38" s="62" t="s">
        <v>1641</v>
      </c>
      <c r="E38" s="62" t="s">
        <v>2404</v>
      </c>
      <c r="F38" s="62" t="s">
        <v>302</v>
      </c>
      <c r="G38" s="62" t="s">
        <v>302</v>
      </c>
      <c r="H38" s="62" t="s">
        <v>3226</v>
      </c>
      <c r="I38" s="64" t="s">
        <v>350</v>
      </c>
      <c r="J38" s="62" t="s">
        <v>1641</v>
      </c>
      <c r="K38" s="62"/>
      <c r="L38" s="67"/>
    </row>
    <row r="39" spans="1:12">
      <c r="A39" s="410"/>
    </row>
    <row r="40" spans="1:12">
      <c r="A40" s="422"/>
    </row>
    <row r="41" spans="1:12">
      <c r="A41" s="422"/>
    </row>
    <row r="42" spans="1:12">
      <c r="A42" s="423"/>
    </row>
    <row r="43" spans="1:12">
      <c r="A43" s="400"/>
    </row>
    <row r="44" spans="1:12">
      <c r="A44" s="400"/>
    </row>
    <row r="45" spans="1:12">
      <c r="A45" s="400"/>
    </row>
    <row r="46" spans="1:12">
      <c r="A46" s="400"/>
    </row>
  </sheetData>
  <mergeCells count="3">
    <mergeCell ref="A2:A20"/>
    <mergeCell ref="A21:A33"/>
    <mergeCell ref="A34:A38"/>
  </mergeCells>
  <phoneticPr fontId="53" type="noConversion"/>
  <pageMargins left="0.69930555555555596" right="0.69930555555555596"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dimension ref="A1:AH11"/>
  <sheetViews>
    <sheetView zoomScale="70" zoomScaleNormal="70" workbookViewId="0">
      <pane xSplit="1" ySplit="1" topLeftCell="B2" activePane="bottomRight" state="frozen"/>
      <selection pane="topRight"/>
      <selection pane="bottomLeft"/>
      <selection pane="bottomRight" sqref="A1:XFD1048576"/>
    </sheetView>
  </sheetViews>
  <sheetFormatPr defaultColWidth="9" defaultRowHeight="14"/>
  <cols>
    <col min="1" max="1" width="16.7265625" customWidth="1"/>
    <col min="2" max="2" width="27" customWidth="1"/>
    <col min="3" max="3" width="13.90625" customWidth="1"/>
    <col min="4" max="4" width="9.7265625" customWidth="1"/>
    <col min="5" max="5" width="6.36328125" customWidth="1"/>
    <col min="6" max="6" width="9.08984375" customWidth="1"/>
    <col min="7" max="7" width="14.26953125" style="39" customWidth="1"/>
    <col min="8" max="8" width="11.36328125" customWidth="1"/>
    <col min="9" max="9" width="9" customWidth="1"/>
    <col min="10" max="10" width="44.54296875" customWidth="1"/>
    <col min="11" max="11" width="19.7265625" customWidth="1"/>
    <col min="12" max="12" width="37.6328125" customWidth="1"/>
  </cols>
  <sheetData>
    <row r="1" spans="1:34" s="1" customFormat="1" ht="13">
      <c r="A1" s="5" t="s">
        <v>287</v>
      </c>
      <c r="B1" s="6" t="s">
        <v>288</v>
      </c>
      <c r="C1" s="6" t="s">
        <v>289</v>
      </c>
      <c r="D1" s="6" t="s">
        <v>290</v>
      </c>
      <c r="E1" s="6" t="s">
        <v>291</v>
      </c>
      <c r="F1" s="6" t="s">
        <v>292</v>
      </c>
      <c r="G1" s="6" t="s">
        <v>293</v>
      </c>
      <c r="H1" s="6" t="s">
        <v>8</v>
      </c>
      <c r="I1" s="6" t="s">
        <v>6</v>
      </c>
      <c r="J1" s="6" t="s">
        <v>294</v>
      </c>
      <c r="K1" s="40" t="s">
        <v>241</v>
      </c>
      <c r="L1" s="6" t="s">
        <v>295</v>
      </c>
      <c r="M1" s="12"/>
      <c r="N1" s="12"/>
      <c r="O1" s="12"/>
      <c r="P1" s="12"/>
      <c r="Q1" s="12"/>
      <c r="R1" s="12"/>
      <c r="S1" s="12"/>
      <c r="T1" s="12"/>
      <c r="U1" s="12"/>
      <c r="V1" s="12"/>
      <c r="W1" s="12"/>
      <c r="X1" s="12"/>
      <c r="Y1" s="12"/>
      <c r="Z1" s="12"/>
      <c r="AA1" s="12"/>
      <c r="AB1" s="12"/>
      <c r="AC1" s="12"/>
      <c r="AD1" s="12"/>
      <c r="AE1" s="12"/>
      <c r="AF1" s="12"/>
      <c r="AG1" s="12"/>
      <c r="AH1" s="12"/>
    </row>
    <row r="2" spans="1:34" s="2" customFormat="1" ht="13">
      <c r="A2" s="598" t="s">
        <v>282</v>
      </c>
      <c r="B2" s="9" t="s">
        <v>1662</v>
      </c>
      <c r="C2" s="9" t="s">
        <v>675</v>
      </c>
      <c r="D2" s="461" t="s">
        <v>3566</v>
      </c>
      <c r="E2" s="10" t="s">
        <v>299</v>
      </c>
      <c r="F2" s="599" t="s">
        <v>302</v>
      </c>
      <c r="G2" s="599" t="s">
        <v>302</v>
      </c>
      <c r="H2" s="10" t="s">
        <v>24</v>
      </c>
      <c r="I2" s="54" t="s">
        <v>71</v>
      </c>
      <c r="J2" s="54" t="s">
        <v>3393</v>
      </c>
      <c r="K2" s="10" t="s">
        <v>408</v>
      </c>
      <c r="L2" s="11"/>
    </row>
    <row r="3" spans="1:34" s="2" customFormat="1" ht="13">
      <c r="A3" s="598"/>
      <c r="B3" s="9" t="s">
        <v>1663</v>
      </c>
      <c r="C3" s="9" t="s">
        <v>1664</v>
      </c>
      <c r="D3" s="10" t="s">
        <v>1665</v>
      </c>
      <c r="E3" s="10" t="s">
        <v>299</v>
      </c>
      <c r="F3" s="599"/>
      <c r="G3" s="599"/>
      <c r="H3" s="10" t="s">
        <v>24</v>
      </c>
      <c r="I3" s="54" t="s">
        <v>310</v>
      </c>
      <c r="J3" s="54" t="s">
        <v>302</v>
      </c>
      <c r="K3" s="10" t="s">
        <v>408</v>
      </c>
      <c r="L3" s="11"/>
    </row>
    <row r="4" spans="1:34" s="2" customFormat="1" ht="13">
      <c r="A4" s="598"/>
      <c r="B4" s="9" t="s">
        <v>1666</v>
      </c>
      <c r="C4" s="9" t="s">
        <v>1667</v>
      </c>
      <c r="D4" s="351" t="s">
        <v>2703</v>
      </c>
      <c r="E4" s="10" t="s">
        <v>299</v>
      </c>
      <c r="F4" s="599"/>
      <c r="G4" s="599"/>
      <c r="H4" s="10" t="s">
        <v>24</v>
      </c>
      <c r="I4" s="54" t="s">
        <v>310</v>
      </c>
      <c r="J4" s="54" t="s">
        <v>302</v>
      </c>
      <c r="K4" s="10" t="s">
        <v>408</v>
      </c>
      <c r="L4" s="11"/>
    </row>
    <row r="5" spans="1:34" s="2" customFormat="1" ht="13">
      <c r="A5" s="598"/>
      <c r="B5" s="9" t="s">
        <v>1668</v>
      </c>
      <c r="C5" s="9" t="s">
        <v>1669</v>
      </c>
      <c r="D5" s="10" t="s">
        <v>1670</v>
      </c>
      <c r="E5" s="10" t="s">
        <v>577</v>
      </c>
      <c r="F5" s="599"/>
      <c r="G5" s="599"/>
      <c r="H5" s="10" t="s">
        <v>24</v>
      </c>
      <c r="I5" s="54" t="s">
        <v>310</v>
      </c>
      <c r="J5" s="54" t="s">
        <v>302</v>
      </c>
      <c r="K5" s="10" t="s">
        <v>408</v>
      </c>
      <c r="L5" s="11"/>
    </row>
    <row r="6" spans="1:34" s="2" customFormat="1" ht="13">
      <c r="A6" s="598"/>
      <c r="B6" s="9" t="s">
        <v>1671</v>
      </c>
      <c r="C6" s="9" t="s">
        <v>1672</v>
      </c>
      <c r="D6" s="10" t="s">
        <v>1673</v>
      </c>
      <c r="E6" s="10" t="s">
        <v>577</v>
      </c>
      <c r="F6" s="599"/>
      <c r="G6" s="599"/>
      <c r="H6" s="10" t="s">
        <v>24</v>
      </c>
      <c r="I6" s="54" t="s">
        <v>310</v>
      </c>
      <c r="J6" s="54" t="s">
        <v>302</v>
      </c>
      <c r="K6" s="10" t="s">
        <v>408</v>
      </c>
      <c r="L6" s="11"/>
    </row>
    <row r="7" spans="1:34" s="2" customFormat="1" ht="13">
      <c r="A7" s="598"/>
      <c r="B7" s="9" t="s">
        <v>1674</v>
      </c>
      <c r="C7" s="9" t="s">
        <v>1675</v>
      </c>
      <c r="D7" s="10" t="s">
        <v>1676</v>
      </c>
      <c r="E7" s="10" t="s">
        <v>577</v>
      </c>
      <c r="F7" s="599"/>
      <c r="G7" s="599"/>
      <c r="H7" s="10" t="s">
        <v>24</v>
      </c>
      <c r="I7" s="54" t="s">
        <v>310</v>
      </c>
      <c r="J7" s="54" t="s">
        <v>302</v>
      </c>
      <c r="K7" s="10" t="s">
        <v>408</v>
      </c>
      <c r="L7" s="11"/>
    </row>
    <row r="8" spans="1:34" s="2" customFormat="1" ht="24">
      <c r="A8" s="598"/>
      <c r="B8" s="9" t="s">
        <v>1677</v>
      </c>
      <c r="C8" s="9" t="s">
        <v>1678</v>
      </c>
      <c r="D8" s="10" t="s">
        <v>1679</v>
      </c>
      <c r="E8" s="10" t="s">
        <v>299</v>
      </c>
      <c r="F8" s="599"/>
      <c r="G8" s="599"/>
      <c r="H8" s="10" t="s">
        <v>57</v>
      </c>
      <c r="I8" s="54" t="s">
        <v>3515</v>
      </c>
      <c r="J8" s="458" t="s">
        <v>3520</v>
      </c>
      <c r="K8" s="456" t="s">
        <v>3521</v>
      </c>
      <c r="L8" s="44" t="s">
        <v>1680</v>
      </c>
      <c r="M8" s="55"/>
    </row>
    <row r="9" spans="1:34" s="2" customFormat="1" ht="409.5">
      <c r="A9" s="598"/>
      <c r="B9" s="392" t="s">
        <v>2819</v>
      </c>
      <c r="C9" s="359" t="s">
        <v>2820</v>
      </c>
      <c r="D9" s="10" t="s">
        <v>1681</v>
      </c>
      <c r="E9" s="10" t="s">
        <v>299</v>
      </c>
      <c r="F9" s="599"/>
      <c r="G9" s="599"/>
      <c r="H9" s="10" t="s">
        <v>24</v>
      </c>
      <c r="I9" s="54" t="s">
        <v>2774</v>
      </c>
      <c r="J9" s="458" t="s">
        <v>3522</v>
      </c>
      <c r="K9" s="456" t="s">
        <v>408</v>
      </c>
      <c r="L9" s="147" t="s">
        <v>3523</v>
      </c>
    </row>
    <row r="10" spans="1:34" s="52" customFormat="1">
      <c r="G10" s="53"/>
    </row>
    <row r="11" spans="1:34" s="50" customFormat="1">
      <c r="G11" s="51"/>
    </row>
  </sheetData>
  <mergeCells count="3">
    <mergeCell ref="A2:A9"/>
    <mergeCell ref="F2:F9"/>
    <mergeCell ref="G2:G9"/>
  </mergeCells>
  <phoneticPr fontId="53" type="noConversion"/>
  <pageMargins left="0.69930555555555596" right="0.69930555555555596" top="0.75" bottom="0.75" header="0.3" footer="0.3"/>
  <pageSetup paperSize="9" orientation="portrait" horizontalDpi="1200" verticalDpi="1200"/>
</worksheet>
</file>

<file path=xl/worksheets/sheet21.xml><?xml version="1.0" encoding="utf-8"?>
<worksheet xmlns="http://schemas.openxmlformats.org/spreadsheetml/2006/main" xmlns:r="http://schemas.openxmlformats.org/officeDocument/2006/relationships">
  <dimension ref="A1:AL7"/>
  <sheetViews>
    <sheetView workbookViewId="0">
      <pane xSplit="1" ySplit="1" topLeftCell="B2" activePane="bottomRight" state="frozen"/>
      <selection pane="topRight"/>
      <selection pane="bottomLeft"/>
      <selection pane="bottomRight" activeCell="F20" sqref="A1:XFD1048576"/>
    </sheetView>
  </sheetViews>
  <sheetFormatPr defaultColWidth="13.6328125" defaultRowHeight="14"/>
  <cols>
    <col min="1" max="1" width="13.453125" customWidth="1"/>
    <col min="2" max="2" width="28" customWidth="1"/>
    <col min="3" max="3" width="15.453125" style="39" customWidth="1"/>
    <col min="4" max="5" width="6.36328125" customWidth="1"/>
    <col min="6" max="6" width="9.08984375" style="39" customWidth="1"/>
    <col min="7" max="7" width="14.26953125" customWidth="1"/>
    <col min="8" max="8" width="11.36328125" customWidth="1"/>
    <col min="9" max="9" width="21.36328125" customWidth="1"/>
    <col min="10" max="10" width="4.7265625" style="39" customWidth="1"/>
    <col min="11" max="11" width="24.7265625" customWidth="1"/>
    <col min="12" max="12" width="34.08984375" customWidth="1"/>
  </cols>
  <sheetData>
    <row r="1" spans="1:38" s="1" customFormat="1" ht="13">
      <c r="A1" s="5" t="s">
        <v>287</v>
      </c>
      <c r="B1" s="6" t="s">
        <v>288</v>
      </c>
      <c r="C1" s="6" t="s">
        <v>289</v>
      </c>
      <c r="D1" s="6" t="s">
        <v>290</v>
      </c>
      <c r="E1" s="6" t="s">
        <v>291</v>
      </c>
      <c r="F1" s="6" t="s">
        <v>292</v>
      </c>
      <c r="G1" s="6" t="s">
        <v>293</v>
      </c>
      <c r="H1" s="6" t="s">
        <v>8</v>
      </c>
      <c r="I1" s="6" t="s">
        <v>6</v>
      </c>
      <c r="J1" s="6" t="s">
        <v>294</v>
      </c>
      <c r="K1" s="40" t="s">
        <v>241</v>
      </c>
      <c r="L1" s="6" t="s">
        <v>295</v>
      </c>
      <c r="M1" s="12"/>
      <c r="N1" s="12"/>
      <c r="O1" s="12"/>
      <c r="P1" s="12"/>
      <c r="Q1" s="12"/>
      <c r="R1" s="12"/>
      <c r="S1" s="12"/>
      <c r="T1" s="12"/>
      <c r="U1" s="12"/>
      <c r="V1" s="12"/>
      <c r="W1" s="12"/>
      <c r="X1" s="12"/>
      <c r="Y1" s="12"/>
      <c r="Z1" s="12"/>
      <c r="AA1" s="12"/>
      <c r="AB1" s="12"/>
      <c r="AC1" s="12"/>
      <c r="AD1" s="12"/>
      <c r="AE1" s="12"/>
      <c r="AF1" s="12"/>
      <c r="AG1" s="12"/>
      <c r="AH1" s="12"/>
      <c r="AI1" s="12"/>
      <c r="AJ1" s="12"/>
      <c r="AK1" s="12"/>
      <c r="AL1" s="12"/>
    </row>
    <row r="2" spans="1:38" s="12" customFormat="1" ht="13">
      <c r="A2" s="600" t="s">
        <v>1682</v>
      </c>
      <c r="B2" s="428" t="s">
        <v>3620</v>
      </c>
      <c r="C2" s="42" t="s">
        <v>1683</v>
      </c>
      <c r="D2" s="42" t="s">
        <v>1684</v>
      </c>
      <c r="E2" s="42" t="s">
        <v>1109</v>
      </c>
      <c r="F2" s="443" t="s">
        <v>300</v>
      </c>
      <c r="G2" s="443" t="s">
        <v>3368</v>
      </c>
      <c r="H2" s="42" t="s">
        <v>57</v>
      </c>
      <c r="I2" s="42" t="s">
        <v>1685</v>
      </c>
      <c r="J2" s="42" t="s">
        <v>302</v>
      </c>
      <c r="K2" s="42" t="s">
        <v>1686</v>
      </c>
      <c r="L2" s="44"/>
    </row>
    <row r="3" spans="1:38" s="12" customFormat="1" ht="13" customHeight="1">
      <c r="A3" s="600"/>
      <c r="B3" s="41" t="s">
        <v>1687</v>
      </c>
      <c r="C3" s="42" t="s">
        <v>1688</v>
      </c>
      <c r="D3" s="42" t="s">
        <v>1689</v>
      </c>
      <c r="E3" s="42" t="s">
        <v>1109</v>
      </c>
      <c r="F3" s="443" t="s">
        <v>300</v>
      </c>
      <c r="G3" s="443" t="s">
        <v>3369</v>
      </c>
      <c r="H3" s="42" t="s">
        <v>57</v>
      </c>
      <c r="I3" s="42" t="s">
        <v>1690</v>
      </c>
      <c r="J3" s="42" t="s">
        <v>302</v>
      </c>
      <c r="K3" s="42" t="s">
        <v>1686</v>
      </c>
      <c r="L3" s="44"/>
    </row>
    <row r="4" spans="1:38" s="12" customFormat="1" ht="13" customHeight="1">
      <c r="A4" s="600"/>
      <c r="B4" s="41" t="s">
        <v>1691</v>
      </c>
      <c r="C4" s="42" t="s">
        <v>1692</v>
      </c>
      <c r="D4" s="42" t="s">
        <v>1693</v>
      </c>
      <c r="E4" s="42" t="s">
        <v>1109</v>
      </c>
      <c r="F4" s="443" t="s">
        <v>3364</v>
      </c>
      <c r="G4" s="443" t="s">
        <v>3364</v>
      </c>
      <c r="H4" s="42" t="s">
        <v>57</v>
      </c>
      <c r="I4" s="42" t="s">
        <v>28</v>
      </c>
      <c r="J4" s="42" t="s">
        <v>302</v>
      </c>
      <c r="K4" s="42" t="s">
        <v>1686</v>
      </c>
      <c r="L4" s="44"/>
    </row>
    <row r="5" spans="1:38" s="50" customFormat="1">
      <c r="C5" s="51"/>
      <c r="F5" s="51"/>
      <c r="J5" s="51"/>
    </row>
    <row r="6" spans="1:38" s="50" customFormat="1">
      <c r="C6" s="51"/>
      <c r="F6" s="51"/>
      <c r="J6" s="51"/>
    </row>
    <row r="7" spans="1:38" s="50" customFormat="1">
      <c r="C7" s="51"/>
      <c r="F7" s="51"/>
      <c r="J7" s="51"/>
    </row>
  </sheetData>
  <mergeCells count="1">
    <mergeCell ref="A2:A4"/>
  </mergeCells>
  <phoneticPr fontId="53" type="noConversion"/>
  <pageMargins left="0.69930555555555596" right="0.69930555555555596" top="0.75" bottom="0.75" header="0.3" footer="0.3"/>
  <pageSetup paperSize="9" orientation="portrait" horizontalDpi="1200" verticalDpi="1200"/>
</worksheet>
</file>

<file path=xl/worksheets/sheet22.xml><?xml version="1.0" encoding="utf-8"?>
<worksheet xmlns="http://schemas.openxmlformats.org/spreadsheetml/2006/main" xmlns:r="http://schemas.openxmlformats.org/officeDocument/2006/relationships">
  <dimension ref="A1:AK17"/>
  <sheetViews>
    <sheetView zoomScale="85" zoomScaleNormal="85" workbookViewId="0">
      <pane xSplit="1" ySplit="1" topLeftCell="C2" activePane="bottomRight" state="frozen"/>
      <selection pane="topRight"/>
      <selection pane="bottomLeft"/>
      <selection pane="bottomRight" activeCell="J18" sqref="J18"/>
    </sheetView>
  </sheetViews>
  <sheetFormatPr defaultColWidth="9" defaultRowHeight="14"/>
  <cols>
    <col min="1" max="1" width="9.7265625" style="26" customWidth="1"/>
    <col min="2" max="2" width="44.26953125" style="46" customWidth="1"/>
    <col min="3" max="3" width="12.08984375" style="27" customWidth="1"/>
    <col min="4" max="4" width="10.453125" style="27" customWidth="1"/>
    <col min="5" max="5" width="6.36328125" style="27" customWidth="1"/>
    <col min="6" max="7" width="5.90625" style="27" customWidth="1"/>
    <col min="8" max="8" width="11.36328125" style="27" customWidth="1"/>
    <col min="9" max="9" width="9.7265625" style="26" customWidth="1"/>
    <col min="10" max="10" width="123" style="46" customWidth="1"/>
    <col min="11" max="11" width="10.453125" style="26" customWidth="1"/>
    <col min="12" max="12" width="64.26953125" style="26" customWidth="1"/>
    <col min="13" max="16384" width="9" style="26"/>
  </cols>
  <sheetData>
    <row r="1" spans="1:37" s="13" customFormat="1" ht="36">
      <c r="A1" s="15" t="s">
        <v>287</v>
      </c>
      <c r="B1" s="16" t="s">
        <v>288</v>
      </c>
      <c r="C1" s="16" t="s">
        <v>289</v>
      </c>
      <c r="D1" s="16" t="s">
        <v>290</v>
      </c>
      <c r="E1" s="16" t="s">
        <v>291</v>
      </c>
      <c r="F1" s="16" t="s">
        <v>1694</v>
      </c>
      <c r="G1" s="16" t="s">
        <v>293</v>
      </c>
      <c r="H1" s="16" t="s">
        <v>8</v>
      </c>
      <c r="I1" s="16" t="s">
        <v>6</v>
      </c>
      <c r="J1" s="19" t="s">
        <v>294</v>
      </c>
      <c r="K1" s="20" t="s">
        <v>241</v>
      </c>
      <c r="L1" s="16" t="s">
        <v>295</v>
      </c>
      <c r="M1" s="21"/>
      <c r="N1" s="21"/>
      <c r="O1" s="21"/>
      <c r="P1" s="21"/>
      <c r="Q1" s="21"/>
      <c r="R1" s="21"/>
      <c r="S1" s="21"/>
      <c r="T1" s="21"/>
      <c r="U1" s="21"/>
      <c r="V1" s="21"/>
      <c r="W1" s="21"/>
      <c r="X1" s="21"/>
      <c r="Y1" s="21"/>
      <c r="Z1" s="21"/>
      <c r="AA1" s="21"/>
      <c r="AB1" s="21"/>
      <c r="AC1" s="21"/>
      <c r="AD1" s="21"/>
      <c r="AE1" s="21"/>
      <c r="AF1" s="21"/>
      <c r="AG1" s="21"/>
      <c r="AH1" s="21"/>
      <c r="AI1" s="21"/>
      <c r="AJ1" s="21"/>
      <c r="AK1" s="21"/>
    </row>
    <row r="2" spans="1:37" s="14" customFormat="1" ht="48">
      <c r="A2" s="603" t="s">
        <v>284</v>
      </c>
      <c r="B2" s="17" t="s">
        <v>4139</v>
      </c>
      <c r="C2" s="477" t="s">
        <v>3963</v>
      </c>
      <c r="D2" s="477" t="s">
        <v>3961</v>
      </c>
      <c r="E2" s="477" t="s">
        <v>1858</v>
      </c>
      <c r="F2" s="477" t="s">
        <v>3624</v>
      </c>
      <c r="G2" s="477" t="s">
        <v>3962</v>
      </c>
      <c r="H2" s="477" t="s">
        <v>2405</v>
      </c>
      <c r="I2" s="477" t="s">
        <v>2469</v>
      </c>
      <c r="J2" s="428" t="s">
        <v>4040</v>
      </c>
      <c r="K2" s="428" t="s">
        <v>4169</v>
      </c>
      <c r="L2" s="428"/>
    </row>
    <row r="3" spans="1:37" s="14" customFormat="1">
      <c r="A3" s="550"/>
      <c r="B3" s="17" t="s">
        <v>2983</v>
      </c>
      <c r="C3" s="18" t="s">
        <v>1695</v>
      </c>
      <c r="D3" s="18" t="s">
        <v>1696</v>
      </c>
      <c r="E3" s="457" t="s">
        <v>369</v>
      </c>
      <c r="F3" s="601" t="s">
        <v>302</v>
      </c>
      <c r="G3" s="601" t="s">
        <v>302</v>
      </c>
      <c r="H3" s="457" t="s">
        <v>24</v>
      </c>
      <c r="I3" s="18" t="s">
        <v>71</v>
      </c>
      <c r="J3" s="22" t="s">
        <v>1697</v>
      </c>
      <c r="K3" s="601" t="s">
        <v>1698</v>
      </c>
      <c r="L3" s="460"/>
    </row>
    <row r="4" spans="1:37" s="14" customFormat="1" ht="26">
      <c r="A4" s="550"/>
      <c r="B4" s="17" t="s">
        <v>3073</v>
      </c>
      <c r="C4" s="18" t="s">
        <v>1699</v>
      </c>
      <c r="D4" s="18" t="s">
        <v>1700</v>
      </c>
      <c r="E4" s="457" t="s">
        <v>369</v>
      </c>
      <c r="F4" s="602"/>
      <c r="G4" s="602"/>
      <c r="H4" s="457" t="s">
        <v>24</v>
      </c>
      <c r="I4" s="18" t="s">
        <v>406</v>
      </c>
      <c r="J4" s="17" t="s">
        <v>3223</v>
      </c>
      <c r="K4" s="602"/>
      <c r="L4" s="460" t="s">
        <v>3224</v>
      </c>
    </row>
    <row r="5" spans="1:37" s="14" customFormat="1">
      <c r="A5" s="550"/>
      <c r="B5" s="17" t="s">
        <v>1701</v>
      </c>
      <c r="C5" s="18" t="s">
        <v>1702</v>
      </c>
      <c r="D5" s="18" t="s">
        <v>1703</v>
      </c>
      <c r="E5" s="457" t="s">
        <v>369</v>
      </c>
      <c r="F5" s="602"/>
      <c r="G5" s="602"/>
      <c r="H5" s="457" t="s">
        <v>24</v>
      </c>
      <c r="I5" s="18" t="s">
        <v>406</v>
      </c>
      <c r="J5" s="17" t="s">
        <v>1704</v>
      </c>
      <c r="K5" s="602"/>
      <c r="L5" s="460"/>
    </row>
    <row r="6" spans="1:37" s="14" customFormat="1">
      <c r="A6" s="550"/>
      <c r="B6" s="17" t="s">
        <v>1705</v>
      </c>
      <c r="C6" s="18" t="s">
        <v>1706</v>
      </c>
      <c r="D6" s="18" t="s">
        <v>1707</v>
      </c>
      <c r="E6" s="457" t="s">
        <v>369</v>
      </c>
      <c r="F6" s="602"/>
      <c r="G6" s="602"/>
      <c r="H6" s="457" t="s">
        <v>24</v>
      </c>
      <c r="I6" s="18" t="s">
        <v>406</v>
      </c>
      <c r="J6" s="17" t="s">
        <v>1708</v>
      </c>
      <c r="K6" s="602"/>
      <c r="L6" s="460"/>
    </row>
    <row r="7" spans="1:37" s="14" customFormat="1">
      <c r="A7" s="550"/>
      <c r="B7" s="17" t="s">
        <v>1709</v>
      </c>
      <c r="C7" s="18" t="s">
        <v>1710</v>
      </c>
      <c r="D7" s="18" t="s">
        <v>1711</v>
      </c>
      <c r="E7" s="457" t="s">
        <v>369</v>
      </c>
      <c r="F7" s="602"/>
      <c r="G7" s="602"/>
      <c r="H7" s="457" t="s">
        <v>24</v>
      </c>
      <c r="I7" s="18" t="s">
        <v>350</v>
      </c>
      <c r="J7" s="22" t="s">
        <v>3221</v>
      </c>
      <c r="K7" s="602"/>
      <c r="L7" s="460"/>
    </row>
    <row r="8" spans="1:37" s="14" customFormat="1" ht="26">
      <c r="A8" s="550"/>
      <c r="B8" s="17" t="s">
        <v>3219</v>
      </c>
      <c r="C8" s="18" t="s">
        <v>1712</v>
      </c>
      <c r="D8" s="18" t="s">
        <v>1713</v>
      </c>
      <c r="E8" s="457" t="s">
        <v>369</v>
      </c>
      <c r="F8" s="602"/>
      <c r="G8" s="602"/>
      <c r="H8" s="457" t="s">
        <v>24</v>
      </c>
      <c r="I8" s="18" t="s">
        <v>350</v>
      </c>
      <c r="J8" s="22" t="s">
        <v>1714</v>
      </c>
      <c r="K8" s="602"/>
      <c r="L8" s="460" t="s">
        <v>3225</v>
      </c>
    </row>
    <row r="9" spans="1:37" s="14" customFormat="1" ht="24">
      <c r="A9" s="550"/>
      <c r="B9" s="17" t="s">
        <v>3294</v>
      </c>
      <c r="C9" s="429" t="s">
        <v>3295</v>
      </c>
      <c r="D9" s="415" t="s">
        <v>3220</v>
      </c>
      <c r="E9" s="457" t="s">
        <v>3218</v>
      </c>
      <c r="F9" s="602"/>
      <c r="G9" s="602"/>
      <c r="H9" s="457" t="s">
        <v>1869</v>
      </c>
      <c r="I9" s="445" t="s">
        <v>3395</v>
      </c>
      <c r="J9" s="22" t="s">
        <v>3511</v>
      </c>
      <c r="K9" s="602"/>
      <c r="L9" s="460"/>
    </row>
    <row r="10" spans="1:37" s="14" customFormat="1">
      <c r="A10" s="550"/>
      <c r="B10" s="17" t="s">
        <v>1715</v>
      </c>
      <c r="C10" s="18" t="s">
        <v>1716</v>
      </c>
      <c r="D10" s="18" t="s">
        <v>1717</v>
      </c>
      <c r="E10" s="457" t="s">
        <v>369</v>
      </c>
      <c r="F10" s="602"/>
      <c r="G10" s="602"/>
      <c r="H10" s="457" t="s">
        <v>24</v>
      </c>
      <c r="I10" s="18" t="s">
        <v>28</v>
      </c>
      <c r="J10" s="22" t="s">
        <v>2841</v>
      </c>
      <c r="K10" s="602"/>
      <c r="L10" s="460"/>
    </row>
    <row r="11" spans="1:37" s="14" customFormat="1">
      <c r="A11" s="550"/>
      <c r="B11" s="17" t="s">
        <v>1718</v>
      </c>
      <c r="C11" s="18" t="s">
        <v>1719</v>
      </c>
      <c r="D11" s="18" t="s">
        <v>1720</v>
      </c>
      <c r="E11" s="457" t="s">
        <v>369</v>
      </c>
      <c r="F11" s="602"/>
      <c r="G11" s="602"/>
      <c r="H11" s="457" t="s">
        <v>24</v>
      </c>
      <c r="I11" s="457" t="s">
        <v>4183</v>
      </c>
      <c r="J11" s="22" t="s">
        <v>2824</v>
      </c>
      <c r="K11" s="602"/>
      <c r="L11" s="460"/>
    </row>
    <row r="12" spans="1:37" s="14" customFormat="1" ht="24">
      <c r="A12" s="550"/>
      <c r="B12" s="17" t="s">
        <v>1721</v>
      </c>
      <c r="C12" s="18" t="s">
        <v>1722</v>
      </c>
      <c r="D12" s="18" t="s">
        <v>1723</v>
      </c>
      <c r="E12" s="457" t="s">
        <v>369</v>
      </c>
      <c r="F12" s="602"/>
      <c r="G12" s="602"/>
      <c r="H12" s="457" t="s">
        <v>24</v>
      </c>
      <c r="I12" s="18" t="s">
        <v>338</v>
      </c>
      <c r="J12" s="22" t="s">
        <v>1724</v>
      </c>
      <c r="K12" s="602"/>
      <c r="L12" s="460"/>
    </row>
    <row r="13" spans="1:37" s="14" customFormat="1" ht="24">
      <c r="A13" s="550"/>
      <c r="B13" s="17" t="s">
        <v>1725</v>
      </c>
      <c r="C13" s="18" t="s">
        <v>1726</v>
      </c>
      <c r="D13" s="18" t="s">
        <v>1723</v>
      </c>
      <c r="E13" s="457" t="s">
        <v>369</v>
      </c>
      <c r="F13" s="602"/>
      <c r="G13" s="602"/>
      <c r="H13" s="457" t="s">
        <v>24</v>
      </c>
      <c r="I13" s="18" t="s">
        <v>338</v>
      </c>
      <c r="J13" s="22" t="s">
        <v>3222</v>
      </c>
      <c r="K13" s="602"/>
      <c r="L13" s="460"/>
    </row>
    <row r="14" spans="1:37" s="14" customFormat="1" ht="24">
      <c r="A14" s="550"/>
      <c r="B14" s="17" t="s">
        <v>2976</v>
      </c>
      <c r="C14" s="18" t="s">
        <v>1727</v>
      </c>
      <c r="D14" s="18" t="s">
        <v>1728</v>
      </c>
      <c r="E14" s="457" t="s">
        <v>369</v>
      </c>
      <c r="F14" s="602"/>
      <c r="G14" s="602"/>
      <c r="H14" s="457" t="s">
        <v>24</v>
      </c>
      <c r="I14" s="18" t="s">
        <v>350</v>
      </c>
      <c r="J14" s="22" t="s">
        <v>2973</v>
      </c>
      <c r="K14" s="602"/>
      <c r="L14" s="460"/>
    </row>
    <row r="15" spans="1:37" s="14" customFormat="1">
      <c r="A15" s="550"/>
      <c r="B15" s="17" t="s">
        <v>1729</v>
      </c>
      <c r="C15" s="18" t="s">
        <v>1730</v>
      </c>
      <c r="D15" s="18" t="s">
        <v>1731</v>
      </c>
      <c r="E15" s="457" t="s">
        <v>369</v>
      </c>
      <c r="F15" s="602"/>
      <c r="G15" s="602"/>
      <c r="H15" s="457" t="s">
        <v>24</v>
      </c>
      <c r="I15" s="18" t="s">
        <v>350</v>
      </c>
      <c r="J15" s="22" t="s">
        <v>1732</v>
      </c>
      <c r="K15" s="602"/>
      <c r="L15" s="460"/>
    </row>
    <row r="16" spans="1:37" s="45" customFormat="1" ht="48">
      <c r="A16" s="551"/>
      <c r="B16" s="17" t="s">
        <v>3539</v>
      </c>
      <c r="C16" s="17" t="s">
        <v>3540</v>
      </c>
      <c r="D16" s="457" t="s">
        <v>3541</v>
      </c>
      <c r="E16" s="457" t="s">
        <v>369</v>
      </c>
      <c r="F16" s="571"/>
      <c r="G16" s="571"/>
      <c r="H16" s="457" t="s">
        <v>24</v>
      </c>
      <c r="I16" s="17" t="s">
        <v>350</v>
      </c>
      <c r="J16" s="22" t="s">
        <v>3607</v>
      </c>
      <c r="K16" s="551"/>
      <c r="L16" s="460" t="s">
        <v>3608</v>
      </c>
    </row>
    <row r="17" spans="2:12" s="45" customFormat="1">
      <c r="B17" s="47"/>
      <c r="C17" s="48"/>
      <c r="D17" s="48"/>
      <c r="E17" s="48"/>
      <c r="F17" s="48"/>
      <c r="G17" s="48"/>
      <c r="H17" s="48"/>
      <c r="J17" s="47"/>
      <c r="L17" s="49"/>
    </row>
  </sheetData>
  <mergeCells count="4">
    <mergeCell ref="F3:F16"/>
    <mergeCell ref="G3:G16"/>
    <mergeCell ref="K3:K16"/>
    <mergeCell ref="A2:A16"/>
  </mergeCells>
  <phoneticPr fontId="53" type="noConversion"/>
  <pageMargins left="0.69930555555555596" right="0.69930555555555596" top="0.75" bottom="0.75" header="0.3" footer="0.3"/>
  <pageSetup paperSize="9" orientation="portrait"/>
  <legacyDrawing r:id="rId1"/>
</worksheet>
</file>

<file path=xl/worksheets/sheet23.xml><?xml version="1.0" encoding="utf-8"?>
<worksheet xmlns="http://schemas.openxmlformats.org/spreadsheetml/2006/main" xmlns:r="http://schemas.openxmlformats.org/officeDocument/2006/relationships">
  <dimension ref="A1:AL23"/>
  <sheetViews>
    <sheetView workbookViewId="0">
      <pane xSplit="1" ySplit="1" topLeftCell="E2" activePane="bottomRight" state="frozen"/>
      <selection pane="topRight"/>
      <selection pane="bottomLeft"/>
      <selection pane="bottomRight" activeCell="A9" sqref="A1:L11"/>
    </sheetView>
  </sheetViews>
  <sheetFormatPr defaultColWidth="9" defaultRowHeight="14"/>
  <cols>
    <col min="1" max="1" width="11.36328125" customWidth="1"/>
    <col min="2" max="2" width="44.6328125" customWidth="1"/>
    <col min="3" max="3" width="18.90625" style="39" customWidth="1"/>
    <col min="4" max="4" width="17.26953125" customWidth="1"/>
    <col min="5" max="5" width="6.36328125" style="39" customWidth="1"/>
    <col min="6" max="6" width="9.08984375" style="39" customWidth="1"/>
    <col min="7" max="7" width="13.36328125" style="39" customWidth="1"/>
    <col min="8" max="8" width="11.36328125" customWidth="1"/>
    <col min="9" max="9" width="17.26953125" customWidth="1"/>
    <col min="10" max="10" width="19.7265625" style="39" customWidth="1"/>
    <col min="11" max="11" width="24.7265625" customWidth="1"/>
    <col min="12" max="12" width="44.90625" customWidth="1"/>
  </cols>
  <sheetData>
    <row r="1" spans="1:38" s="1" customFormat="1" ht="13">
      <c r="A1" s="5" t="s">
        <v>287</v>
      </c>
      <c r="B1" s="6" t="s">
        <v>288</v>
      </c>
      <c r="C1" s="6" t="s">
        <v>289</v>
      </c>
      <c r="D1" s="6" t="s">
        <v>290</v>
      </c>
      <c r="E1" s="6" t="s">
        <v>291</v>
      </c>
      <c r="F1" s="6" t="s">
        <v>292</v>
      </c>
      <c r="G1" s="40" t="s">
        <v>1733</v>
      </c>
      <c r="H1" s="6" t="s">
        <v>8</v>
      </c>
      <c r="I1" s="6" t="s">
        <v>6</v>
      </c>
      <c r="J1" s="6" t="s">
        <v>294</v>
      </c>
      <c r="K1" s="40" t="s">
        <v>241</v>
      </c>
      <c r="L1" s="6" t="s">
        <v>295</v>
      </c>
      <c r="M1" s="12"/>
      <c r="N1" s="12"/>
      <c r="O1" s="12"/>
      <c r="P1" s="12"/>
      <c r="Q1" s="12"/>
      <c r="R1" s="12"/>
      <c r="S1" s="12"/>
      <c r="T1" s="12"/>
      <c r="U1" s="12"/>
      <c r="V1" s="12"/>
      <c r="W1" s="12"/>
      <c r="X1" s="12"/>
      <c r="Y1" s="12"/>
      <c r="Z1" s="12"/>
      <c r="AA1" s="12"/>
      <c r="AB1" s="12"/>
      <c r="AC1" s="12"/>
      <c r="AD1" s="12"/>
      <c r="AE1" s="12"/>
      <c r="AF1" s="12"/>
      <c r="AG1" s="12"/>
      <c r="AH1" s="12"/>
      <c r="AI1" s="12"/>
      <c r="AJ1" s="12"/>
      <c r="AK1" s="12"/>
      <c r="AL1" s="12"/>
    </row>
    <row r="2" spans="1:38" s="12" customFormat="1" ht="13">
      <c r="A2" s="600" t="s">
        <v>285</v>
      </c>
      <c r="B2" s="428" t="s">
        <v>2723</v>
      </c>
      <c r="C2" s="209" t="s">
        <v>1734</v>
      </c>
      <c r="D2" s="209" t="s">
        <v>1735</v>
      </c>
      <c r="E2" s="209" t="s">
        <v>299</v>
      </c>
      <c r="F2" s="443" t="s">
        <v>3364</v>
      </c>
      <c r="G2" s="604" t="s">
        <v>302</v>
      </c>
      <c r="H2" s="209" t="s">
        <v>24</v>
      </c>
      <c r="I2" s="43" t="s">
        <v>71</v>
      </c>
      <c r="J2" s="209" t="s">
        <v>450</v>
      </c>
      <c r="K2" s="209" t="s">
        <v>1686</v>
      </c>
      <c r="L2" s="44"/>
    </row>
    <row r="3" spans="1:38" s="12" customFormat="1" ht="13">
      <c r="A3" s="600"/>
      <c r="B3" s="428" t="s">
        <v>3509</v>
      </c>
      <c r="C3" s="209" t="s">
        <v>1736</v>
      </c>
      <c r="D3" s="209" t="s">
        <v>1737</v>
      </c>
      <c r="E3" s="209" t="s">
        <v>299</v>
      </c>
      <c r="F3" s="443" t="s">
        <v>3364</v>
      </c>
      <c r="G3" s="604"/>
      <c r="H3" s="209" t="s">
        <v>24</v>
      </c>
      <c r="I3" s="43" t="s">
        <v>310</v>
      </c>
      <c r="J3" s="451" t="s">
        <v>1845</v>
      </c>
      <c r="K3" s="209" t="s">
        <v>1686</v>
      </c>
      <c r="L3" s="44"/>
    </row>
    <row r="4" spans="1:38" s="12" customFormat="1" ht="13">
      <c r="A4" s="600"/>
      <c r="B4" s="353" t="s">
        <v>2724</v>
      </c>
      <c r="C4" s="209" t="s">
        <v>404</v>
      </c>
      <c r="D4" s="209" t="s">
        <v>1738</v>
      </c>
      <c r="E4" s="209" t="s">
        <v>299</v>
      </c>
      <c r="F4" s="443" t="s">
        <v>3364</v>
      </c>
      <c r="G4" s="604"/>
      <c r="H4" s="209" t="s">
        <v>24</v>
      </c>
      <c r="I4" s="43" t="s">
        <v>406</v>
      </c>
      <c r="J4" s="209" t="s">
        <v>302</v>
      </c>
      <c r="K4" s="209" t="s">
        <v>1686</v>
      </c>
      <c r="L4" s="44"/>
    </row>
    <row r="5" spans="1:38" s="12" customFormat="1" ht="13">
      <c r="A5" s="600"/>
      <c r="B5" s="353" t="s">
        <v>2726</v>
      </c>
      <c r="C5" s="209" t="s">
        <v>1739</v>
      </c>
      <c r="D5" s="209" t="s">
        <v>1740</v>
      </c>
      <c r="E5" s="209" t="s">
        <v>299</v>
      </c>
      <c r="F5" s="443" t="s">
        <v>3364</v>
      </c>
      <c r="G5" s="604"/>
      <c r="H5" s="209" t="s">
        <v>24</v>
      </c>
      <c r="I5" s="43" t="s">
        <v>406</v>
      </c>
      <c r="J5" s="209" t="s">
        <v>302</v>
      </c>
      <c r="K5" s="209" t="s">
        <v>1686</v>
      </c>
      <c r="L5" s="44"/>
    </row>
    <row r="6" spans="1:38" s="12" customFormat="1" ht="13">
      <c r="A6" s="600"/>
      <c r="B6" s="353" t="s">
        <v>2727</v>
      </c>
      <c r="C6" s="209" t="s">
        <v>1741</v>
      </c>
      <c r="D6" s="209" t="s">
        <v>1742</v>
      </c>
      <c r="E6" s="209" t="s">
        <v>299</v>
      </c>
      <c r="F6" s="443" t="s">
        <v>3364</v>
      </c>
      <c r="G6" s="604"/>
      <c r="H6" s="209" t="s">
        <v>24</v>
      </c>
      <c r="I6" s="43" t="s">
        <v>406</v>
      </c>
      <c r="J6" s="209" t="s">
        <v>302</v>
      </c>
      <c r="K6" s="209" t="s">
        <v>1686</v>
      </c>
      <c r="L6" s="44"/>
    </row>
    <row r="7" spans="1:38" s="12" customFormat="1" ht="13">
      <c r="A7" s="600"/>
      <c r="B7" s="428" t="s">
        <v>2728</v>
      </c>
      <c r="C7" s="209" t="s">
        <v>1743</v>
      </c>
      <c r="D7" s="209" t="s">
        <v>1744</v>
      </c>
      <c r="E7" s="209" t="s">
        <v>299</v>
      </c>
      <c r="F7" s="443" t="s">
        <v>3364</v>
      </c>
      <c r="G7" s="604"/>
      <c r="H7" s="209" t="s">
        <v>24</v>
      </c>
      <c r="I7" s="43" t="s">
        <v>2840</v>
      </c>
      <c r="J7" s="398" t="s">
        <v>3075</v>
      </c>
      <c r="K7" s="209" t="s">
        <v>1686</v>
      </c>
      <c r="L7" s="44"/>
    </row>
    <row r="8" spans="1:38" s="12" customFormat="1" ht="13">
      <c r="A8" s="600"/>
      <c r="B8" s="353" t="s">
        <v>2725</v>
      </c>
      <c r="C8" s="209" t="s">
        <v>201</v>
      </c>
      <c r="D8" s="209" t="s">
        <v>1746</v>
      </c>
      <c r="E8" s="209" t="s">
        <v>299</v>
      </c>
      <c r="F8" s="443" t="s">
        <v>3364</v>
      </c>
      <c r="G8" s="604"/>
      <c r="H8" s="209" t="s">
        <v>24</v>
      </c>
      <c r="I8" s="43" t="s">
        <v>338</v>
      </c>
      <c r="J8" s="209" t="s">
        <v>1747</v>
      </c>
      <c r="K8" s="209" t="s">
        <v>1686</v>
      </c>
      <c r="L8" s="44"/>
    </row>
    <row r="9" spans="1:38" s="263" customFormat="1" ht="13" customHeight="1">
      <c r="A9" s="529" t="s">
        <v>3396</v>
      </c>
      <c r="B9" s="428" t="s">
        <v>3508</v>
      </c>
      <c r="C9" s="447" t="s">
        <v>3398</v>
      </c>
      <c r="D9" s="447" t="s">
        <v>3401</v>
      </c>
      <c r="E9" s="447" t="s">
        <v>299</v>
      </c>
      <c r="F9" s="447" t="s">
        <v>2390</v>
      </c>
      <c r="G9" s="605" t="s">
        <v>3404</v>
      </c>
      <c r="H9" s="447" t="s">
        <v>24</v>
      </c>
      <c r="I9" s="43" t="s">
        <v>71</v>
      </c>
      <c r="J9" s="447" t="s">
        <v>3405</v>
      </c>
      <c r="K9" s="447"/>
      <c r="L9" s="44"/>
      <c r="M9" s="39"/>
    </row>
    <row r="10" spans="1:38" ht="108">
      <c r="A10" s="530"/>
      <c r="B10" s="428" t="s">
        <v>4211</v>
      </c>
      <c r="C10" s="490" t="s">
        <v>4212</v>
      </c>
      <c r="D10" s="447" t="s">
        <v>3402</v>
      </c>
      <c r="E10" s="447" t="s">
        <v>299</v>
      </c>
      <c r="F10" s="447" t="s">
        <v>2390</v>
      </c>
      <c r="G10" s="570"/>
      <c r="H10" s="447" t="s">
        <v>24</v>
      </c>
      <c r="I10" s="43" t="s">
        <v>338</v>
      </c>
      <c r="J10" s="451" t="s">
        <v>3406</v>
      </c>
      <c r="K10" s="447"/>
      <c r="L10" s="44"/>
      <c r="M10" s="39"/>
    </row>
    <row r="11" spans="1:38" ht="96">
      <c r="A11" s="531"/>
      <c r="B11" s="428" t="s">
        <v>3399</v>
      </c>
      <c r="C11" s="447" t="s">
        <v>3400</v>
      </c>
      <c r="D11" s="447" t="s">
        <v>3403</v>
      </c>
      <c r="E11" s="447" t="s">
        <v>299</v>
      </c>
      <c r="F11" s="447" t="s">
        <v>2390</v>
      </c>
      <c r="G11" s="571"/>
      <c r="H11" s="447" t="s">
        <v>24</v>
      </c>
      <c r="I11" s="43" t="s">
        <v>338</v>
      </c>
      <c r="J11" s="447" t="s">
        <v>3407</v>
      </c>
      <c r="K11" s="447"/>
      <c r="L11" s="44"/>
      <c r="M11" s="39"/>
    </row>
    <row r="12" spans="1:38">
      <c r="A12" s="39"/>
      <c r="B12" s="39"/>
      <c r="D12" s="39"/>
      <c r="H12" s="39"/>
      <c r="I12" s="39"/>
      <c r="K12" s="39"/>
      <c r="L12" s="39"/>
      <c r="M12" s="39"/>
    </row>
    <row r="13" spans="1:38">
      <c r="A13" s="39"/>
      <c r="B13" s="39"/>
      <c r="D13" s="39"/>
      <c r="H13" s="39"/>
      <c r="I13" s="39"/>
      <c r="K13" s="39"/>
      <c r="L13" s="39"/>
      <c r="M13" s="39"/>
    </row>
    <row r="14" spans="1:38">
      <c r="A14" s="39"/>
      <c r="B14" s="39"/>
      <c r="D14" s="39"/>
      <c r="H14" s="39"/>
      <c r="I14" s="39"/>
      <c r="K14" s="39"/>
      <c r="L14" s="39"/>
      <c r="M14" s="39"/>
    </row>
    <row r="15" spans="1:38">
      <c r="A15" s="39"/>
      <c r="B15" s="39"/>
      <c r="D15" s="39"/>
      <c r="H15" s="39"/>
      <c r="I15" s="39"/>
      <c r="K15" s="39"/>
      <c r="L15" s="39"/>
      <c r="M15" s="39"/>
    </row>
    <row r="16" spans="1:38">
      <c r="A16" s="39"/>
      <c r="B16" s="39"/>
      <c r="D16" s="39"/>
      <c r="H16" s="39"/>
      <c r="I16" s="39"/>
      <c r="K16" s="39"/>
      <c r="L16" s="39"/>
      <c r="M16" s="39"/>
    </row>
    <row r="17" spans="1:13">
      <c r="A17" s="39"/>
      <c r="B17" s="39"/>
      <c r="D17" s="39"/>
      <c r="H17" s="39"/>
      <c r="I17" s="39"/>
      <c r="K17" s="39"/>
      <c r="L17" s="39"/>
      <c r="M17" s="39"/>
    </row>
    <row r="18" spans="1:13">
      <c r="A18" s="39"/>
      <c r="B18" s="39"/>
      <c r="D18" s="39"/>
      <c r="H18" s="39"/>
      <c r="I18" s="39"/>
      <c r="K18" s="39"/>
      <c r="L18" s="39"/>
      <c r="M18" s="39"/>
    </row>
    <row r="19" spans="1:13">
      <c r="A19" s="39"/>
      <c r="B19" s="39"/>
      <c r="D19" s="39"/>
      <c r="H19" s="39"/>
      <c r="I19" s="39"/>
      <c r="K19" s="39"/>
      <c r="L19" s="39"/>
      <c r="M19" s="39"/>
    </row>
    <row r="20" spans="1:13">
      <c r="A20" s="39"/>
      <c r="B20" s="39"/>
      <c r="D20" s="39"/>
      <c r="H20" s="39"/>
      <c r="I20" s="39"/>
      <c r="K20" s="39"/>
      <c r="L20" s="39"/>
      <c r="M20" s="39"/>
    </row>
    <row r="21" spans="1:13">
      <c r="A21" s="39"/>
      <c r="B21" s="39"/>
      <c r="D21" s="39"/>
      <c r="H21" s="39"/>
      <c r="I21" s="39"/>
      <c r="K21" s="39"/>
      <c r="L21" s="39"/>
      <c r="M21" s="39"/>
    </row>
    <row r="22" spans="1:13">
      <c r="A22" s="39"/>
      <c r="B22" s="39"/>
      <c r="D22" s="39"/>
      <c r="H22" s="39"/>
      <c r="I22" s="39"/>
      <c r="K22" s="39"/>
      <c r="L22" s="39"/>
      <c r="M22" s="39"/>
    </row>
    <row r="23" spans="1:13">
      <c r="A23" s="39"/>
      <c r="B23" s="39"/>
      <c r="D23" s="39"/>
      <c r="H23" s="39"/>
      <c r="I23" s="39"/>
      <c r="K23" s="39"/>
      <c r="L23" s="39"/>
      <c r="M23" s="39"/>
    </row>
  </sheetData>
  <mergeCells count="4">
    <mergeCell ref="A2:A8"/>
    <mergeCell ref="G2:G8"/>
    <mergeCell ref="A9:A11"/>
    <mergeCell ref="G9:G11"/>
  </mergeCells>
  <phoneticPr fontId="53" type="noConversion"/>
  <pageMargins left="0.69930555555555596" right="0.69930555555555596" top="0.75" bottom="0.75" header="0.3" footer="0.3"/>
  <pageSetup paperSize="9" orientation="portrait"/>
</worksheet>
</file>

<file path=xl/worksheets/sheet24.xml><?xml version="1.0" encoding="utf-8"?>
<worksheet xmlns="http://schemas.openxmlformats.org/spreadsheetml/2006/main" xmlns:r="http://schemas.openxmlformats.org/officeDocument/2006/relationships">
  <dimension ref="A1:AK149"/>
  <sheetViews>
    <sheetView topLeftCell="K2" zoomScaleNormal="100" workbookViewId="0">
      <selection activeCell="U8" sqref="U8"/>
    </sheetView>
  </sheetViews>
  <sheetFormatPr defaultColWidth="9" defaultRowHeight="14"/>
  <cols>
    <col min="1" max="1" width="12.08984375" customWidth="1"/>
    <col min="2" max="2" width="53.08984375" customWidth="1"/>
    <col min="3" max="9" width="12.08984375" customWidth="1"/>
    <col min="10" max="10" width="19" customWidth="1"/>
    <col min="11" max="12" width="12.08984375" customWidth="1"/>
  </cols>
  <sheetData>
    <row r="1" spans="1:37" s="13" customFormat="1" ht="24">
      <c r="A1" s="15" t="s">
        <v>287</v>
      </c>
      <c r="B1" s="16" t="s">
        <v>288</v>
      </c>
      <c r="C1" s="16" t="s">
        <v>289</v>
      </c>
      <c r="D1" s="16" t="s">
        <v>290</v>
      </c>
      <c r="E1" s="16" t="s">
        <v>291</v>
      </c>
      <c r="F1" s="16" t="s">
        <v>1694</v>
      </c>
      <c r="G1" s="16" t="s">
        <v>293</v>
      </c>
      <c r="H1" s="16" t="s">
        <v>8</v>
      </c>
      <c r="I1" s="16" t="s">
        <v>6</v>
      </c>
      <c r="J1" s="19" t="s">
        <v>294</v>
      </c>
      <c r="K1" s="20" t="s">
        <v>241</v>
      </c>
      <c r="L1" s="16" t="s">
        <v>295</v>
      </c>
      <c r="M1" s="21"/>
      <c r="N1" s="21"/>
      <c r="O1" s="21"/>
      <c r="P1" s="21"/>
      <c r="Q1" s="21"/>
      <c r="R1" s="21"/>
      <c r="S1" s="21"/>
      <c r="T1" s="21"/>
      <c r="U1" s="21"/>
      <c r="V1" s="21"/>
      <c r="W1" s="21"/>
      <c r="X1" s="21"/>
      <c r="Y1" s="21"/>
      <c r="Z1" s="21"/>
      <c r="AA1" s="21"/>
      <c r="AB1" s="21"/>
      <c r="AC1" s="21"/>
      <c r="AD1" s="21"/>
      <c r="AE1" s="21"/>
      <c r="AF1" s="21"/>
      <c r="AG1" s="21"/>
      <c r="AH1" s="21"/>
      <c r="AI1" s="21"/>
      <c r="AJ1" s="21"/>
      <c r="AK1" s="21"/>
    </row>
    <row r="2" spans="1:37" s="14" customFormat="1" ht="30" customHeight="1">
      <c r="A2" s="603" t="s">
        <v>1779</v>
      </c>
      <c r="B2" s="17" t="s">
        <v>2661</v>
      </c>
      <c r="C2" s="214" t="s">
        <v>1862</v>
      </c>
      <c r="D2" s="214" t="s">
        <v>1863</v>
      </c>
      <c r="E2" s="214" t="s">
        <v>1864</v>
      </c>
      <c r="F2" s="532" t="s">
        <v>2390</v>
      </c>
      <c r="G2" s="532" t="s">
        <v>2390</v>
      </c>
      <c r="H2" s="214" t="s">
        <v>24</v>
      </c>
      <c r="I2" s="214" t="s">
        <v>71</v>
      </c>
      <c r="J2" s="22" t="s">
        <v>1865</v>
      </c>
      <c r="K2" s="267" t="s">
        <v>1866</v>
      </c>
      <c r="L2" s="23"/>
    </row>
    <row r="3" spans="1:37" s="14" customFormat="1" ht="30" customHeight="1">
      <c r="A3" s="606"/>
      <c r="B3" s="17" t="s">
        <v>2659</v>
      </c>
      <c r="C3" s="342" t="s">
        <v>2650</v>
      </c>
      <c r="D3" s="342" t="s">
        <v>2654</v>
      </c>
      <c r="E3" s="214" t="s">
        <v>1864</v>
      </c>
      <c r="F3" s="553"/>
      <c r="G3" s="553"/>
      <c r="H3" s="214" t="s">
        <v>24</v>
      </c>
      <c r="I3" s="371" t="s">
        <v>2391</v>
      </c>
      <c r="J3" s="17" t="s">
        <v>2651</v>
      </c>
      <c r="K3" s="267" t="s">
        <v>2652</v>
      </c>
      <c r="L3" s="23"/>
    </row>
    <row r="4" spans="1:37" s="14" customFormat="1" ht="30" customHeight="1">
      <c r="A4" s="606"/>
      <c r="B4" s="17" t="s">
        <v>2662</v>
      </c>
      <c r="C4" s="342" t="s">
        <v>2653</v>
      </c>
      <c r="D4" s="342" t="s">
        <v>2655</v>
      </c>
      <c r="E4" s="342" t="s">
        <v>1864</v>
      </c>
      <c r="F4" s="553"/>
      <c r="G4" s="553"/>
      <c r="H4" s="342" t="s">
        <v>2656</v>
      </c>
      <c r="I4" s="342" t="s">
        <v>2657</v>
      </c>
      <c r="J4" s="17" t="s">
        <v>2658</v>
      </c>
      <c r="K4" s="267" t="s">
        <v>2652</v>
      </c>
      <c r="L4" s="23"/>
    </row>
    <row r="5" spans="1:37" s="14" customFormat="1" ht="30" customHeight="1">
      <c r="A5" s="606"/>
      <c r="B5" s="17" t="s">
        <v>2666</v>
      </c>
      <c r="C5" s="343" t="s">
        <v>2663</v>
      </c>
      <c r="D5" s="343" t="s">
        <v>2668</v>
      </c>
      <c r="E5" s="343" t="s">
        <v>1864</v>
      </c>
      <c r="F5" s="553"/>
      <c r="G5" s="553"/>
      <c r="H5" s="343" t="s">
        <v>2656</v>
      </c>
      <c r="I5" s="343" t="s">
        <v>406</v>
      </c>
      <c r="J5" s="17" t="s">
        <v>2665</v>
      </c>
      <c r="K5" s="267" t="s">
        <v>2664</v>
      </c>
      <c r="L5" s="23"/>
    </row>
    <row r="6" spans="1:37" s="14" customFormat="1" ht="30" customHeight="1">
      <c r="A6" s="606"/>
      <c r="B6" s="17" t="s">
        <v>2467</v>
      </c>
      <c r="C6" s="214" t="s">
        <v>1780</v>
      </c>
      <c r="D6" s="214" t="s">
        <v>1707</v>
      </c>
      <c r="E6" s="214" t="s">
        <v>1864</v>
      </c>
      <c r="F6" s="553"/>
      <c r="G6" s="553"/>
      <c r="H6" s="214" t="s">
        <v>24</v>
      </c>
      <c r="I6" s="214" t="s">
        <v>406</v>
      </c>
      <c r="J6" s="22" t="s">
        <v>2660</v>
      </c>
      <c r="K6" s="267" t="s">
        <v>2664</v>
      </c>
      <c r="L6" s="23"/>
    </row>
    <row r="7" spans="1:37" s="14" customFormat="1" ht="30" customHeight="1">
      <c r="A7" s="606"/>
      <c r="B7" s="17" t="s">
        <v>3217</v>
      </c>
      <c r="C7" s="290" t="s">
        <v>1867</v>
      </c>
      <c r="D7" s="290" t="s">
        <v>1868</v>
      </c>
      <c r="E7" s="290" t="s">
        <v>1864</v>
      </c>
      <c r="F7" s="553"/>
      <c r="G7" s="553"/>
      <c r="H7" s="290" t="s">
        <v>1869</v>
      </c>
      <c r="I7" s="290" t="s">
        <v>2469</v>
      </c>
      <c r="J7" s="22" t="s">
        <v>3512</v>
      </c>
      <c r="K7" s="267" t="s">
        <v>1866</v>
      </c>
      <c r="L7" s="23"/>
    </row>
    <row r="8" spans="1:37" s="14" customFormat="1" ht="30" customHeight="1">
      <c r="A8" s="554"/>
      <c r="B8" s="17" t="s">
        <v>2826</v>
      </c>
      <c r="C8" s="362" t="s">
        <v>2763</v>
      </c>
      <c r="D8" s="358" t="s">
        <v>2764</v>
      </c>
      <c r="E8" s="62" t="s">
        <v>2765</v>
      </c>
      <c r="F8" s="554"/>
      <c r="G8" s="554"/>
      <c r="H8" s="362" t="s">
        <v>2464</v>
      </c>
      <c r="I8" s="358" t="s">
        <v>2766</v>
      </c>
      <c r="J8" s="22" t="s">
        <v>2767</v>
      </c>
      <c r="K8" s="267" t="s">
        <v>2768</v>
      </c>
      <c r="L8" s="23"/>
    </row>
    <row r="9" spans="1:37" s="14" customFormat="1" ht="36" customHeight="1">
      <c r="A9" s="268" t="s">
        <v>1870</v>
      </c>
      <c r="B9" s="17" t="s">
        <v>1871</v>
      </c>
      <c r="C9" s="214" t="s">
        <v>1872</v>
      </c>
      <c r="D9" s="214" t="s">
        <v>1873</v>
      </c>
      <c r="E9" s="214" t="s">
        <v>1864</v>
      </c>
      <c r="F9" s="210" t="s">
        <v>2390</v>
      </c>
      <c r="G9" s="215" t="s">
        <v>2390</v>
      </c>
      <c r="H9" s="214" t="s">
        <v>24</v>
      </c>
      <c r="I9" s="214" t="s">
        <v>1874</v>
      </c>
      <c r="J9" s="22" t="s">
        <v>1875</v>
      </c>
      <c r="K9" s="267" t="s">
        <v>1866</v>
      </c>
      <c r="L9" s="23"/>
    </row>
    <row r="10" spans="1:37" s="14" customFormat="1" ht="30" customHeight="1">
      <c r="A10" s="268" t="s">
        <v>1876</v>
      </c>
      <c r="B10" s="17" t="s">
        <v>1877</v>
      </c>
      <c r="C10" s="214" t="s">
        <v>1716</v>
      </c>
      <c r="D10" s="214" t="s">
        <v>1786</v>
      </c>
      <c r="E10" s="214" t="s">
        <v>1864</v>
      </c>
      <c r="F10" s="210" t="s">
        <v>2390</v>
      </c>
      <c r="G10" s="215" t="s">
        <v>2390</v>
      </c>
      <c r="H10" s="214" t="s">
        <v>24</v>
      </c>
      <c r="I10" s="214" t="s">
        <v>1878</v>
      </c>
      <c r="J10" s="22" t="s">
        <v>3394</v>
      </c>
      <c r="K10" s="267" t="s">
        <v>1866</v>
      </c>
      <c r="L10" s="23"/>
    </row>
    <row r="11" spans="1:37" s="14" customFormat="1" ht="30" customHeight="1">
      <c r="A11" s="269" t="s">
        <v>1879</v>
      </c>
      <c r="B11" s="17" t="s">
        <v>1787</v>
      </c>
      <c r="C11" s="214" t="s">
        <v>1788</v>
      </c>
      <c r="D11" s="214" t="s">
        <v>1789</v>
      </c>
      <c r="E11" s="214" t="s">
        <v>1864</v>
      </c>
      <c r="F11" s="210" t="s">
        <v>2390</v>
      </c>
      <c r="G11" s="215" t="s">
        <v>2390</v>
      </c>
      <c r="H11" s="214" t="s">
        <v>24</v>
      </c>
      <c r="I11" s="214" t="s">
        <v>1878</v>
      </c>
      <c r="J11" s="22" t="s">
        <v>1790</v>
      </c>
      <c r="K11" s="267" t="s">
        <v>1866</v>
      </c>
      <c r="L11" s="23"/>
    </row>
    <row r="12" spans="1:37" s="14" customFormat="1" ht="30" customHeight="1">
      <c r="A12" s="603" t="s">
        <v>1880</v>
      </c>
      <c r="B12" s="17" t="s">
        <v>1881</v>
      </c>
      <c r="C12" s="214" t="s">
        <v>1882</v>
      </c>
      <c r="D12" s="214" t="s">
        <v>1883</v>
      </c>
      <c r="E12" s="214" t="s">
        <v>1864</v>
      </c>
      <c r="F12" s="532" t="s">
        <v>2390</v>
      </c>
      <c r="G12" s="532" t="s">
        <v>2390</v>
      </c>
      <c r="H12" s="214" t="s">
        <v>24</v>
      </c>
      <c r="I12" s="214" t="s">
        <v>1874</v>
      </c>
      <c r="J12" s="22" t="s">
        <v>1884</v>
      </c>
      <c r="K12" s="267" t="s">
        <v>1866</v>
      </c>
      <c r="L12" s="23"/>
    </row>
    <row r="13" spans="1:37" s="14" customFormat="1" ht="30" customHeight="1">
      <c r="A13" s="606"/>
      <c r="B13" s="17" t="s">
        <v>3397</v>
      </c>
      <c r="C13" s="214" t="s">
        <v>1885</v>
      </c>
      <c r="D13" s="214" t="s">
        <v>1886</v>
      </c>
      <c r="E13" s="214" t="s">
        <v>1864</v>
      </c>
      <c r="F13" s="553"/>
      <c r="G13" s="553"/>
      <c r="H13" s="214" t="s">
        <v>24</v>
      </c>
      <c r="I13" s="214" t="s">
        <v>338</v>
      </c>
      <c r="J13" s="22" t="s">
        <v>1887</v>
      </c>
      <c r="K13" s="267" t="s">
        <v>1866</v>
      </c>
      <c r="L13" s="23"/>
    </row>
    <row r="14" spans="1:37" s="14" customFormat="1" ht="30" customHeight="1">
      <c r="A14" s="606"/>
      <c r="B14" s="17" t="s">
        <v>1888</v>
      </c>
      <c r="C14" s="214" t="s">
        <v>1889</v>
      </c>
      <c r="D14" s="214" t="s">
        <v>1890</v>
      </c>
      <c r="E14" s="214" t="s">
        <v>1864</v>
      </c>
      <c r="F14" s="553"/>
      <c r="G14" s="553"/>
      <c r="H14" s="214" t="s">
        <v>24</v>
      </c>
      <c r="I14" s="214" t="s">
        <v>338</v>
      </c>
      <c r="J14" s="22" t="s">
        <v>1891</v>
      </c>
      <c r="K14" s="267" t="s">
        <v>1866</v>
      </c>
      <c r="L14" s="23"/>
    </row>
    <row r="15" spans="1:37" s="14" customFormat="1" ht="30" customHeight="1">
      <c r="A15" s="606"/>
      <c r="B15" s="17" t="s">
        <v>1892</v>
      </c>
      <c r="C15" s="214" t="s">
        <v>1791</v>
      </c>
      <c r="D15" s="214" t="s">
        <v>1893</v>
      </c>
      <c r="E15" s="214" t="s">
        <v>1864</v>
      </c>
      <c r="F15" s="553"/>
      <c r="G15" s="553"/>
      <c r="H15" s="214" t="s">
        <v>24</v>
      </c>
      <c r="I15" s="214" t="s">
        <v>350</v>
      </c>
      <c r="J15" s="22" t="s">
        <v>1894</v>
      </c>
      <c r="K15" s="267" t="s">
        <v>1866</v>
      </c>
      <c r="L15" s="23"/>
    </row>
    <row r="16" spans="1:37" s="14" customFormat="1" ht="30" customHeight="1">
      <c r="A16" s="606"/>
      <c r="B16" s="17" t="s">
        <v>1895</v>
      </c>
      <c r="C16" s="214" t="s">
        <v>1792</v>
      </c>
      <c r="D16" s="214" t="s">
        <v>1896</v>
      </c>
      <c r="E16" s="214" t="s">
        <v>1864</v>
      </c>
      <c r="F16" s="553"/>
      <c r="G16" s="553"/>
      <c r="H16" s="214" t="s">
        <v>24</v>
      </c>
      <c r="I16" s="214" t="s">
        <v>350</v>
      </c>
      <c r="J16" s="22" t="s">
        <v>1897</v>
      </c>
      <c r="K16" s="267" t="s">
        <v>1866</v>
      </c>
      <c r="L16" s="23"/>
    </row>
    <row r="17" spans="1:12" s="14" customFormat="1" ht="30" customHeight="1">
      <c r="A17" s="606"/>
      <c r="B17" s="17" t="s">
        <v>1793</v>
      </c>
      <c r="C17" s="214" t="s">
        <v>1794</v>
      </c>
      <c r="D17" s="214" t="s">
        <v>1898</v>
      </c>
      <c r="E17" s="214" t="s">
        <v>1864</v>
      </c>
      <c r="F17" s="553"/>
      <c r="G17" s="553"/>
      <c r="H17" s="214" t="s">
        <v>24</v>
      </c>
      <c r="I17" s="214" t="s">
        <v>350</v>
      </c>
      <c r="J17" s="22" t="s">
        <v>1897</v>
      </c>
      <c r="K17" s="267" t="s">
        <v>1866</v>
      </c>
      <c r="L17" s="23"/>
    </row>
    <row r="18" spans="1:12" s="14" customFormat="1" ht="30" customHeight="1">
      <c r="A18" s="606"/>
      <c r="B18" s="17" t="s">
        <v>1795</v>
      </c>
      <c r="C18" s="214" t="s">
        <v>1796</v>
      </c>
      <c r="D18" s="214" t="s">
        <v>1899</v>
      </c>
      <c r="E18" s="214" t="s">
        <v>1864</v>
      </c>
      <c r="F18" s="553"/>
      <c r="G18" s="553"/>
      <c r="H18" s="214" t="s">
        <v>24</v>
      </c>
      <c r="I18" s="214" t="s">
        <v>350</v>
      </c>
      <c r="J18" s="22" t="s">
        <v>1897</v>
      </c>
      <c r="K18" s="267" t="s">
        <v>1866</v>
      </c>
      <c r="L18" s="23"/>
    </row>
    <row r="19" spans="1:12" s="14" customFormat="1" ht="30" customHeight="1">
      <c r="A19" s="606"/>
      <c r="B19" s="17" t="s">
        <v>1797</v>
      </c>
      <c r="C19" s="214" t="s">
        <v>1798</v>
      </c>
      <c r="D19" s="214" t="s">
        <v>1900</v>
      </c>
      <c r="E19" s="214" t="s">
        <v>1864</v>
      </c>
      <c r="F19" s="553"/>
      <c r="G19" s="553"/>
      <c r="H19" s="214" t="s">
        <v>24</v>
      </c>
      <c r="I19" s="214" t="s">
        <v>350</v>
      </c>
      <c r="J19" s="22" t="s">
        <v>1897</v>
      </c>
      <c r="K19" s="267" t="s">
        <v>1866</v>
      </c>
      <c r="L19" s="23"/>
    </row>
    <row r="20" spans="1:12" s="14" customFormat="1" ht="30" customHeight="1">
      <c r="A20" s="607"/>
      <c r="B20" s="17" t="s">
        <v>1799</v>
      </c>
      <c r="C20" s="214" t="s">
        <v>1800</v>
      </c>
      <c r="D20" s="214" t="s">
        <v>1901</v>
      </c>
      <c r="E20" s="214" t="s">
        <v>1864</v>
      </c>
      <c r="F20" s="554"/>
      <c r="G20" s="554"/>
      <c r="H20" s="214" t="s">
        <v>24</v>
      </c>
      <c r="I20" s="214" t="s">
        <v>350</v>
      </c>
      <c r="J20" s="22" t="s">
        <v>1897</v>
      </c>
      <c r="K20" s="267" t="s">
        <v>1866</v>
      </c>
      <c r="L20" s="23"/>
    </row>
    <row r="21" spans="1:12" s="14" customFormat="1" ht="30" customHeight="1">
      <c r="A21" s="608" t="s">
        <v>1902</v>
      </c>
      <c r="B21" s="17" t="s">
        <v>1903</v>
      </c>
      <c r="C21" s="214" t="s">
        <v>1781</v>
      </c>
      <c r="D21" s="214" t="s">
        <v>1782</v>
      </c>
      <c r="E21" s="214" t="s">
        <v>1864</v>
      </c>
      <c r="F21" s="532" t="s">
        <v>2390</v>
      </c>
      <c r="G21" s="532" t="s">
        <v>2390</v>
      </c>
      <c r="H21" s="214" t="s">
        <v>24</v>
      </c>
      <c r="I21" s="214" t="s">
        <v>1904</v>
      </c>
      <c r="J21" s="270" t="s">
        <v>1905</v>
      </c>
      <c r="K21" s="267" t="s">
        <v>1866</v>
      </c>
      <c r="L21" s="23"/>
    </row>
    <row r="22" spans="1:12" s="14" customFormat="1" ht="30" customHeight="1">
      <c r="A22" s="609"/>
      <c r="B22" s="17" t="s">
        <v>2689</v>
      </c>
      <c r="C22" s="214" t="s">
        <v>1906</v>
      </c>
      <c r="D22" s="214" t="s">
        <v>1907</v>
      </c>
      <c r="E22" s="214" t="s">
        <v>1864</v>
      </c>
      <c r="F22" s="553"/>
      <c r="G22" s="553"/>
      <c r="H22" s="214" t="s">
        <v>24</v>
      </c>
      <c r="I22" s="214" t="s">
        <v>71</v>
      </c>
      <c r="J22" s="22" t="s">
        <v>1908</v>
      </c>
      <c r="K22" s="267" t="s">
        <v>1866</v>
      </c>
      <c r="L22" s="23"/>
    </row>
    <row r="23" spans="1:12" ht="24" customHeight="1">
      <c r="A23" s="609"/>
      <c r="B23" s="17" t="s">
        <v>2690</v>
      </c>
      <c r="C23" s="214" t="s">
        <v>1909</v>
      </c>
      <c r="D23" s="214" t="s">
        <v>1910</v>
      </c>
      <c r="E23" s="214" t="s">
        <v>1864</v>
      </c>
      <c r="F23" s="553"/>
      <c r="G23" s="553"/>
      <c r="H23" s="214" t="s">
        <v>24</v>
      </c>
      <c r="I23" s="214" t="s">
        <v>71</v>
      </c>
      <c r="J23" s="22" t="s">
        <v>1911</v>
      </c>
      <c r="K23" s="267" t="s">
        <v>1866</v>
      </c>
      <c r="L23" s="271"/>
    </row>
    <row r="24" spans="1:12" ht="24" customHeight="1">
      <c r="A24" s="609"/>
      <c r="B24" s="17" t="s">
        <v>1912</v>
      </c>
      <c r="C24" s="214" t="s">
        <v>1913</v>
      </c>
      <c r="D24" s="214" t="s">
        <v>1914</v>
      </c>
      <c r="E24" s="214" t="s">
        <v>1864</v>
      </c>
      <c r="F24" s="553"/>
      <c r="G24" s="553"/>
      <c r="H24" s="214" t="s">
        <v>24</v>
      </c>
      <c r="I24" s="214" t="s">
        <v>71</v>
      </c>
      <c r="J24" s="22" t="s">
        <v>1915</v>
      </c>
      <c r="K24" s="267" t="s">
        <v>1866</v>
      </c>
      <c r="L24" s="271"/>
    </row>
    <row r="25" spans="1:12" ht="24" customHeight="1">
      <c r="A25" s="609"/>
      <c r="B25" s="17" t="s">
        <v>1916</v>
      </c>
      <c r="C25" s="214" t="s">
        <v>1917</v>
      </c>
      <c r="D25" s="214" t="s">
        <v>1918</v>
      </c>
      <c r="E25" s="214" t="s">
        <v>1864</v>
      </c>
      <c r="F25" s="553"/>
      <c r="G25" s="553"/>
      <c r="H25" s="214" t="s">
        <v>24</v>
      </c>
      <c r="I25" s="214" t="s">
        <v>71</v>
      </c>
      <c r="J25" s="22" t="s">
        <v>1919</v>
      </c>
      <c r="K25" s="267" t="s">
        <v>1866</v>
      </c>
      <c r="L25" s="271"/>
    </row>
    <row r="26" spans="1:12" ht="24" customHeight="1">
      <c r="A26" s="609"/>
      <c r="B26" s="17" t="s">
        <v>1920</v>
      </c>
      <c r="C26" s="214" t="s">
        <v>1921</v>
      </c>
      <c r="D26" s="214" t="s">
        <v>1922</v>
      </c>
      <c r="E26" s="214" t="s">
        <v>1864</v>
      </c>
      <c r="F26" s="553"/>
      <c r="G26" s="553"/>
      <c r="H26" s="214" t="s">
        <v>24</v>
      </c>
      <c r="I26" s="214" t="s">
        <v>71</v>
      </c>
      <c r="J26" s="22" t="s">
        <v>3373</v>
      </c>
      <c r="K26" s="267" t="s">
        <v>1866</v>
      </c>
      <c r="L26" s="271"/>
    </row>
    <row r="27" spans="1:12" ht="24" customHeight="1">
      <c r="A27" s="609"/>
      <c r="B27" s="17" t="s">
        <v>1923</v>
      </c>
      <c r="C27" s="214" t="s">
        <v>1924</v>
      </c>
      <c r="D27" s="214" t="s">
        <v>1925</v>
      </c>
      <c r="E27" s="214" t="s">
        <v>1864</v>
      </c>
      <c r="F27" s="553"/>
      <c r="G27" s="553"/>
      <c r="H27" s="214" t="s">
        <v>24</v>
      </c>
      <c r="I27" s="214" t="s">
        <v>71</v>
      </c>
      <c r="J27" s="22" t="s">
        <v>1926</v>
      </c>
      <c r="K27" s="267" t="s">
        <v>1866</v>
      </c>
      <c r="L27" s="271"/>
    </row>
    <row r="28" spans="1:12" ht="36" customHeight="1">
      <c r="A28" s="609"/>
      <c r="B28" s="17" t="s">
        <v>1927</v>
      </c>
      <c r="C28" s="214" t="s">
        <v>1928</v>
      </c>
      <c r="D28" s="214" t="s">
        <v>1929</v>
      </c>
      <c r="E28" s="214" t="s">
        <v>1864</v>
      </c>
      <c r="F28" s="553"/>
      <c r="G28" s="553"/>
      <c r="H28" s="214" t="s">
        <v>24</v>
      </c>
      <c r="I28" s="214" t="s">
        <v>71</v>
      </c>
      <c r="J28" s="22" t="s">
        <v>1930</v>
      </c>
      <c r="K28" s="267" t="s">
        <v>1866</v>
      </c>
      <c r="L28" s="271"/>
    </row>
    <row r="29" spans="1:12" ht="24" customHeight="1">
      <c r="A29" s="609"/>
      <c r="B29" s="17" t="s">
        <v>1931</v>
      </c>
      <c r="C29" s="214" t="s">
        <v>1932</v>
      </c>
      <c r="D29" s="214" t="s">
        <v>1933</v>
      </c>
      <c r="E29" s="214" t="s">
        <v>1864</v>
      </c>
      <c r="F29" s="553"/>
      <c r="G29" s="553"/>
      <c r="H29" s="214" t="s">
        <v>24</v>
      </c>
      <c r="I29" s="214" t="s">
        <v>71</v>
      </c>
      <c r="J29" s="22" t="s">
        <v>1934</v>
      </c>
      <c r="K29" s="267" t="s">
        <v>1866</v>
      </c>
      <c r="L29" s="271"/>
    </row>
    <row r="30" spans="1:12" ht="24" customHeight="1">
      <c r="A30" s="609"/>
      <c r="B30" s="17" t="s">
        <v>1935</v>
      </c>
      <c r="C30" s="214" t="s">
        <v>1936</v>
      </c>
      <c r="D30" s="214" t="s">
        <v>1937</v>
      </c>
      <c r="E30" s="214" t="s">
        <v>1864</v>
      </c>
      <c r="F30" s="553"/>
      <c r="G30" s="553"/>
      <c r="H30" s="214" t="s">
        <v>24</v>
      </c>
      <c r="I30" s="214" t="s">
        <v>71</v>
      </c>
      <c r="J30" s="22" t="s">
        <v>1938</v>
      </c>
      <c r="K30" s="267" t="s">
        <v>1866</v>
      </c>
      <c r="L30" s="271"/>
    </row>
    <row r="31" spans="1:12" ht="36" customHeight="1">
      <c r="A31" s="609"/>
      <c r="B31" s="17" t="s">
        <v>1939</v>
      </c>
      <c r="C31" s="214" t="s">
        <v>1940</v>
      </c>
      <c r="D31" s="214" t="s">
        <v>1941</v>
      </c>
      <c r="E31" s="214" t="s">
        <v>1864</v>
      </c>
      <c r="F31" s="553"/>
      <c r="G31" s="553"/>
      <c r="H31" s="214" t="s">
        <v>24</v>
      </c>
      <c r="I31" s="214" t="s">
        <v>71</v>
      </c>
      <c r="J31" s="22" t="s">
        <v>3374</v>
      </c>
      <c r="K31" s="267" t="s">
        <v>1866</v>
      </c>
      <c r="L31" s="271"/>
    </row>
    <row r="32" spans="1:12" ht="24" customHeight="1">
      <c r="A32" s="609"/>
      <c r="B32" s="17" t="s">
        <v>1942</v>
      </c>
      <c r="C32" s="214" t="s">
        <v>1943</v>
      </c>
      <c r="D32" s="214" t="s">
        <v>1944</v>
      </c>
      <c r="E32" s="214" t="s">
        <v>1864</v>
      </c>
      <c r="F32" s="553"/>
      <c r="G32" s="553"/>
      <c r="H32" s="214" t="s">
        <v>24</v>
      </c>
      <c r="I32" s="214" t="s">
        <v>71</v>
      </c>
      <c r="J32" s="22" t="s">
        <v>1945</v>
      </c>
      <c r="K32" s="267" t="s">
        <v>1866</v>
      </c>
      <c r="L32" s="271"/>
    </row>
    <row r="33" spans="1:12" ht="36" customHeight="1">
      <c r="A33" s="609"/>
      <c r="B33" s="17" t="s">
        <v>1946</v>
      </c>
      <c r="C33" s="214" t="s">
        <v>1947</v>
      </c>
      <c r="D33" s="214" t="s">
        <v>1948</v>
      </c>
      <c r="E33" s="214" t="s">
        <v>1864</v>
      </c>
      <c r="F33" s="553"/>
      <c r="G33" s="553"/>
      <c r="H33" s="214" t="s">
        <v>24</v>
      </c>
      <c r="I33" s="214" t="s">
        <v>71</v>
      </c>
      <c r="J33" s="22" t="s">
        <v>1949</v>
      </c>
      <c r="K33" s="267" t="s">
        <v>1866</v>
      </c>
      <c r="L33" s="271"/>
    </row>
    <row r="34" spans="1:12" ht="36" customHeight="1">
      <c r="A34" s="609"/>
      <c r="B34" s="17" t="s">
        <v>1950</v>
      </c>
      <c r="C34" s="214" t="s">
        <v>1951</v>
      </c>
      <c r="D34" s="214" t="s">
        <v>1952</v>
      </c>
      <c r="E34" s="214" t="s">
        <v>1864</v>
      </c>
      <c r="F34" s="553"/>
      <c r="G34" s="553"/>
      <c r="H34" s="214" t="s">
        <v>24</v>
      </c>
      <c r="I34" s="214" t="s">
        <v>71</v>
      </c>
      <c r="J34" s="22" t="s">
        <v>1953</v>
      </c>
      <c r="K34" s="267" t="s">
        <v>1866</v>
      </c>
      <c r="L34" s="271"/>
    </row>
    <row r="35" spans="1:12" ht="24" customHeight="1">
      <c r="A35" s="609"/>
      <c r="B35" s="17" t="s">
        <v>1954</v>
      </c>
      <c r="C35" s="214" t="s">
        <v>1955</v>
      </c>
      <c r="D35" s="214" t="s">
        <v>1956</v>
      </c>
      <c r="E35" s="214" t="s">
        <v>1864</v>
      </c>
      <c r="F35" s="553"/>
      <c r="G35" s="553"/>
      <c r="H35" s="214" t="s">
        <v>24</v>
      </c>
      <c r="I35" s="214" t="s">
        <v>71</v>
      </c>
      <c r="J35" s="22" t="s">
        <v>1957</v>
      </c>
      <c r="K35" s="267" t="s">
        <v>1866</v>
      </c>
      <c r="L35" s="271"/>
    </row>
    <row r="36" spans="1:12" ht="36" customHeight="1">
      <c r="A36" s="609"/>
      <c r="B36" s="17" t="s">
        <v>1958</v>
      </c>
      <c r="C36" s="214" t="s">
        <v>1959</v>
      </c>
      <c r="D36" s="214" t="s">
        <v>1960</v>
      </c>
      <c r="E36" s="214" t="s">
        <v>1864</v>
      </c>
      <c r="F36" s="553"/>
      <c r="G36" s="553"/>
      <c r="H36" s="214" t="s">
        <v>24</v>
      </c>
      <c r="I36" s="214" t="s">
        <v>71</v>
      </c>
      <c r="J36" s="22" t="s">
        <v>1961</v>
      </c>
      <c r="K36" s="267" t="s">
        <v>1866</v>
      </c>
      <c r="L36" s="271"/>
    </row>
    <row r="37" spans="1:12" ht="24" customHeight="1">
      <c r="A37" s="609"/>
      <c r="B37" s="17" t="s">
        <v>1962</v>
      </c>
      <c r="C37" s="214" t="s">
        <v>1963</v>
      </c>
      <c r="D37" s="214" t="s">
        <v>1964</v>
      </c>
      <c r="E37" s="214" t="s">
        <v>1864</v>
      </c>
      <c r="F37" s="553"/>
      <c r="G37" s="553"/>
      <c r="H37" s="214" t="s">
        <v>24</v>
      </c>
      <c r="I37" s="214" t="s">
        <v>71</v>
      </c>
      <c r="J37" s="22" t="s">
        <v>1965</v>
      </c>
      <c r="K37" s="267" t="s">
        <v>1866</v>
      </c>
      <c r="L37" s="271"/>
    </row>
    <row r="38" spans="1:12" ht="24" customHeight="1">
      <c r="A38" s="609"/>
      <c r="B38" s="17" t="s">
        <v>1966</v>
      </c>
      <c r="C38" s="214" t="s">
        <v>1967</v>
      </c>
      <c r="D38" s="214" t="s">
        <v>1968</v>
      </c>
      <c r="E38" s="214" t="s">
        <v>1864</v>
      </c>
      <c r="F38" s="553"/>
      <c r="G38" s="553"/>
      <c r="H38" s="214" t="s">
        <v>24</v>
      </c>
      <c r="I38" s="214" t="s">
        <v>71</v>
      </c>
      <c r="J38" s="22" t="s">
        <v>1969</v>
      </c>
      <c r="K38" s="267" t="s">
        <v>1866</v>
      </c>
      <c r="L38" s="271"/>
    </row>
    <row r="39" spans="1:12" ht="24" customHeight="1">
      <c r="A39" s="609"/>
      <c r="B39" s="17" t="s">
        <v>1970</v>
      </c>
      <c r="C39" s="214" t="s">
        <v>1971</v>
      </c>
      <c r="D39" s="214" t="s">
        <v>1972</v>
      </c>
      <c r="E39" s="214" t="s">
        <v>1864</v>
      </c>
      <c r="F39" s="553"/>
      <c r="G39" s="553"/>
      <c r="H39" s="214" t="s">
        <v>24</v>
      </c>
      <c r="I39" s="214" t="s">
        <v>71</v>
      </c>
      <c r="J39" s="22" t="s">
        <v>1973</v>
      </c>
      <c r="K39" s="267" t="s">
        <v>1866</v>
      </c>
      <c r="L39" s="271"/>
    </row>
    <row r="40" spans="1:12" ht="24" customHeight="1">
      <c r="A40" s="609"/>
      <c r="B40" s="17" t="s">
        <v>1974</v>
      </c>
      <c r="C40" s="214" t="s">
        <v>1975</v>
      </c>
      <c r="D40" s="214" t="s">
        <v>1976</v>
      </c>
      <c r="E40" s="214" t="s">
        <v>1864</v>
      </c>
      <c r="F40" s="553"/>
      <c r="G40" s="553"/>
      <c r="H40" s="214" t="s">
        <v>24</v>
      </c>
      <c r="I40" s="214" t="s">
        <v>71</v>
      </c>
      <c r="J40" s="22" t="s">
        <v>1977</v>
      </c>
      <c r="K40" s="267" t="s">
        <v>1866</v>
      </c>
      <c r="L40" s="271"/>
    </row>
    <row r="41" spans="1:12" ht="36" customHeight="1">
      <c r="A41" s="609"/>
      <c r="B41" s="17" t="s">
        <v>1978</v>
      </c>
      <c r="C41" s="214" t="s">
        <v>1979</v>
      </c>
      <c r="D41" s="214" t="s">
        <v>1980</v>
      </c>
      <c r="E41" s="214" t="s">
        <v>1864</v>
      </c>
      <c r="F41" s="553"/>
      <c r="G41" s="553"/>
      <c r="H41" s="214" t="s">
        <v>24</v>
      </c>
      <c r="I41" s="214" t="s">
        <v>71</v>
      </c>
      <c r="J41" s="22" t="s">
        <v>1981</v>
      </c>
      <c r="K41" s="267" t="s">
        <v>1866</v>
      </c>
      <c r="L41" s="271"/>
    </row>
    <row r="42" spans="1:12" ht="24" customHeight="1">
      <c r="A42" s="609"/>
      <c r="B42" s="17" t="s">
        <v>1982</v>
      </c>
      <c r="C42" s="214" t="s">
        <v>1983</v>
      </c>
      <c r="D42" s="214" t="s">
        <v>1984</v>
      </c>
      <c r="E42" s="214" t="s">
        <v>1864</v>
      </c>
      <c r="F42" s="553"/>
      <c r="G42" s="553"/>
      <c r="H42" s="214" t="s">
        <v>24</v>
      </c>
      <c r="I42" s="214" t="s">
        <v>71</v>
      </c>
      <c r="J42" s="22" t="s">
        <v>1985</v>
      </c>
      <c r="K42" s="267" t="s">
        <v>1866</v>
      </c>
      <c r="L42" s="271"/>
    </row>
    <row r="43" spans="1:12" ht="36" customHeight="1">
      <c r="A43" s="609"/>
      <c r="B43" s="17" t="s">
        <v>1986</v>
      </c>
      <c r="C43" s="214" t="s">
        <v>1987</v>
      </c>
      <c r="D43" s="214" t="s">
        <v>1988</v>
      </c>
      <c r="E43" s="214" t="s">
        <v>1864</v>
      </c>
      <c r="F43" s="553"/>
      <c r="G43" s="553"/>
      <c r="H43" s="214" t="s">
        <v>24</v>
      </c>
      <c r="I43" s="214" t="s">
        <v>71</v>
      </c>
      <c r="J43" s="22" t="s">
        <v>1989</v>
      </c>
      <c r="K43" s="267" t="s">
        <v>1866</v>
      </c>
      <c r="L43" s="271"/>
    </row>
    <row r="44" spans="1:12" ht="24" customHeight="1">
      <c r="A44" s="609"/>
      <c r="B44" s="17" t="s">
        <v>1990</v>
      </c>
      <c r="C44" s="214" t="s">
        <v>1991</v>
      </c>
      <c r="D44" s="214" t="s">
        <v>1992</v>
      </c>
      <c r="E44" s="214" t="s">
        <v>1864</v>
      </c>
      <c r="F44" s="553"/>
      <c r="G44" s="553"/>
      <c r="H44" s="214" t="s">
        <v>24</v>
      </c>
      <c r="I44" s="214" t="s">
        <v>71</v>
      </c>
      <c r="J44" s="22" t="s">
        <v>1993</v>
      </c>
      <c r="K44" s="267" t="s">
        <v>1866</v>
      </c>
      <c r="L44" s="271"/>
    </row>
    <row r="45" spans="1:12" ht="36" customHeight="1">
      <c r="A45" s="609"/>
      <c r="B45" s="17" t="s">
        <v>1994</v>
      </c>
      <c r="C45" s="214" t="s">
        <v>1995</v>
      </c>
      <c r="D45" s="214" t="s">
        <v>1996</v>
      </c>
      <c r="E45" s="214" t="s">
        <v>1864</v>
      </c>
      <c r="F45" s="553"/>
      <c r="G45" s="553"/>
      <c r="H45" s="214" t="s">
        <v>24</v>
      </c>
      <c r="I45" s="214" t="s">
        <v>71</v>
      </c>
      <c r="J45" s="22" t="s">
        <v>1997</v>
      </c>
      <c r="K45" s="267" t="s">
        <v>1866</v>
      </c>
      <c r="L45" s="271"/>
    </row>
    <row r="46" spans="1:12" ht="36" customHeight="1">
      <c r="A46" s="609"/>
      <c r="B46" s="17" t="s">
        <v>1998</v>
      </c>
      <c r="C46" s="214" t="s">
        <v>1999</v>
      </c>
      <c r="D46" s="214" t="s">
        <v>2000</v>
      </c>
      <c r="E46" s="214" t="s">
        <v>1864</v>
      </c>
      <c r="F46" s="553"/>
      <c r="G46" s="553"/>
      <c r="H46" s="214" t="s">
        <v>24</v>
      </c>
      <c r="I46" s="214" t="s">
        <v>71</v>
      </c>
      <c r="J46" s="22" t="s">
        <v>2001</v>
      </c>
      <c r="K46" s="267" t="s">
        <v>1866</v>
      </c>
      <c r="L46" s="271"/>
    </row>
    <row r="47" spans="1:12" ht="36" customHeight="1">
      <c r="A47" s="609"/>
      <c r="B47" s="17" t="s">
        <v>2002</v>
      </c>
      <c r="C47" s="214" t="s">
        <v>2003</v>
      </c>
      <c r="D47" s="214" t="s">
        <v>2004</v>
      </c>
      <c r="E47" s="214" t="s">
        <v>1864</v>
      </c>
      <c r="F47" s="553"/>
      <c r="G47" s="553"/>
      <c r="H47" s="214" t="s">
        <v>24</v>
      </c>
      <c r="I47" s="214" t="s">
        <v>71</v>
      </c>
      <c r="J47" s="22" t="s">
        <v>2005</v>
      </c>
      <c r="K47" s="267" t="s">
        <v>1866</v>
      </c>
      <c r="L47" s="271"/>
    </row>
    <row r="48" spans="1:12" ht="36" customHeight="1">
      <c r="A48" s="609"/>
      <c r="B48" s="17" t="s">
        <v>2006</v>
      </c>
      <c r="C48" s="214" t="s">
        <v>2007</v>
      </c>
      <c r="D48" s="214" t="s">
        <v>2008</v>
      </c>
      <c r="E48" s="214" t="s">
        <v>1864</v>
      </c>
      <c r="F48" s="553"/>
      <c r="G48" s="553"/>
      <c r="H48" s="214" t="s">
        <v>24</v>
      </c>
      <c r="I48" s="214" t="s">
        <v>71</v>
      </c>
      <c r="J48" s="22" t="s">
        <v>2009</v>
      </c>
      <c r="K48" s="267" t="s">
        <v>1866</v>
      </c>
      <c r="L48" s="271"/>
    </row>
    <row r="49" spans="1:12" ht="36" customHeight="1">
      <c r="A49" s="610"/>
      <c r="B49" s="17" t="s">
        <v>2010</v>
      </c>
      <c r="C49" s="214" t="s">
        <v>2011</v>
      </c>
      <c r="D49" s="214" t="s">
        <v>2012</v>
      </c>
      <c r="E49" s="214" t="s">
        <v>1864</v>
      </c>
      <c r="F49" s="554"/>
      <c r="G49" s="554"/>
      <c r="H49" s="214" t="s">
        <v>24</v>
      </c>
      <c r="I49" s="214" t="s">
        <v>71</v>
      </c>
      <c r="J49" s="22" t="s">
        <v>2013</v>
      </c>
      <c r="K49" s="267" t="s">
        <v>1866</v>
      </c>
      <c r="L49" s="271"/>
    </row>
    <row r="50" spans="1:12" s="14" customFormat="1" ht="36" customHeight="1">
      <c r="A50" s="608" t="s">
        <v>2014</v>
      </c>
      <c r="B50" s="17" t="s">
        <v>2015</v>
      </c>
      <c r="C50" s="214" t="s">
        <v>1783</v>
      </c>
      <c r="D50" s="214" t="s">
        <v>1784</v>
      </c>
      <c r="E50" s="214" t="s">
        <v>1864</v>
      </c>
      <c r="F50" s="532" t="s">
        <v>2390</v>
      </c>
      <c r="G50" s="532" t="s">
        <v>2390</v>
      </c>
      <c r="H50" s="214" t="s">
        <v>24</v>
      </c>
      <c r="I50" s="214" t="s">
        <v>71</v>
      </c>
      <c r="J50" s="17" t="s">
        <v>2016</v>
      </c>
      <c r="K50" s="267" t="s">
        <v>1866</v>
      </c>
      <c r="L50" s="23"/>
    </row>
    <row r="51" spans="1:12" s="14" customFormat="1" ht="36" customHeight="1">
      <c r="A51" s="609"/>
      <c r="B51" s="17" t="s">
        <v>2017</v>
      </c>
      <c r="C51" s="214" t="s">
        <v>2018</v>
      </c>
      <c r="D51" s="214" t="s">
        <v>2019</v>
      </c>
      <c r="E51" s="214" t="s">
        <v>1864</v>
      </c>
      <c r="F51" s="553"/>
      <c r="G51" s="553"/>
      <c r="H51" s="214" t="s">
        <v>24</v>
      </c>
      <c r="I51" s="214" t="s">
        <v>71</v>
      </c>
      <c r="J51" s="17" t="s">
        <v>2020</v>
      </c>
      <c r="K51" s="267" t="s">
        <v>1866</v>
      </c>
      <c r="L51" s="23"/>
    </row>
    <row r="52" spans="1:12" ht="36" customHeight="1">
      <c r="A52" s="609"/>
      <c r="B52" s="17" t="s">
        <v>2021</v>
      </c>
      <c r="C52" s="214" t="s">
        <v>2022</v>
      </c>
      <c r="D52" s="214" t="s">
        <v>2023</v>
      </c>
      <c r="E52" s="214" t="s">
        <v>1864</v>
      </c>
      <c r="F52" s="553"/>
      <c r="G52" s="553"/>
      <c r="H52" s="214" t="s">
        <v>24</v>
      </c>
      <c r="I52" s="214" t="s">
        <v>71</v>
      </c>
      <c r="J52" s="17" t="s">
        <v>2024</v>
      </c>
      <c r="K52" s="267" t="s">
        <v>1866</v>
      </c>
      <c r="L52" s="271"/>
    </row>
    <row r="53" spans="1:12" ht="36" customHeight="1">
      <c r="A53" s="609"/>
      <c r="B53" s="17" t="s">
        <v>2025</v>
      </c>
      <c r="C53" s="214" t="s">
        <v>2026</v>
      </c>
      <c r="D53" s="214" t="s">
        <v>2027</v>
      </c>
      <c r="E53" s="214" t="s">
        <v>1864</v>
      </c>
      <c r="F53" s="553"/>
      <c r="G53" s="553"/>
      <c r="H53" s="214" t="s">
        <v>24</v>
      </c>
      <c r="I53" s="214" t="s">
        <v>71</v>
      </c>
      <c r="J53" s="17" t="s">
        <v>2028</v>
      </c>
      <c r="K53" s="267" t="s">
        <v>1866</v>
      </c>
      <c r="L53" s="271"/>
    </row>
    <row r="54" spans="1:12" ht="36" customHeight="1">
      <c r="A54" s="609"/>
      <c r="B54" s="17" t="s">
        <v>2029</v>
      </c>
      <c r="C54" s="214" t="s">
        <v>2030</v>
      </c>
      <c r="D54" s="214" t="s">
        <v>2031</v>
      </c>
      <c r="E54" s="214" t="s">
        <v>1864</v>
      </c>
      <c r="F54" s="553"/>
      <c r="G54" s="553"/>
      <c r="H54" s="214" t="s">
        <v>24</v>
      </c>
      <c r="I54" s="214" t="s">
        <v>71</v>
      </c>
      <c r="J54" s="17" t="s">
        <v>2032</v>
      </c>
      <c r="K54" s="267" t="s">
        <v>1866</v>
      </c>
      <c r="L54" s="271"/>
    </row>
    <row r="55" spans="1:12" ht="36" customHeight="1">
      <c r="A55" s="609"/>
      <c r="B55" s="17" t="s">
        <v>2033</v>
      </c>
      <c r="C55" s="214" t="s">
        <v>2034</v>
      </c>
      <c r="D55" s="214" t="s">
        <v>2035</v>
      </c>
      <c r="E55" s="214" t="s">
        <v>1864</v>
      </c>
      <c r="F55" s="553"/>
      <c r="G55" s="553"/>
      <c r="H55" s="214" t="s">
        <v>24</v>
      </c>
      <c r="I55" s="214" t="s">
        <v>71</v>
      </c>
      <c r="J55" s="17" t="s">
        <v>2036</v>
      </c>
      <c r="K55" s="267" t="s">
        <v>1866</v>
      </c>
      <c r="L55" s="271"/>
    </row>
    <row r="56" spans="1:12" ht="36" customHeight="1">
      <c r="A56" s="609"/>
      <c r="B56" s="17" t="s">
        <v>2037</v>
      </c>
      <c r="C56" s="214" t="s">
        <v>2038</v>
      </c>
      <c r="D56" s="214" t="s">
        <v>2039</v>
      </c>
      <c r="E56" s="214" t="s">
        <v>1864</v>
      </c>
      <c r="F56" s="553"/>
      <c r="G56" s="553"/>
      <c r="H56" s="214" t="s">
        <v>24</v>
      </c>
      <c r="I56" s="214" t="s">
        <v>71</v>
      </c>
      <c r="J56" s="17" t="s">
        <v>2040</v>
      </c>
      <c r="K56" s="267" t="s">
        <v>1866</v>
      </c>
      <c r="L56" s="271"/>
    </row>
    <row r="57" spans="1:12" ht="36" customHeight="1">
      <c r="A57" s="609"/>
      <c r="B57" s="17" t="s">
        <v>2041</v>
      </c>
      <c r="C57" s="214" t="s">
        <v>2042</v>
      </c>
      <c r="D57" s="214" t="s">
        <v>2043</v>
      </c>
      <c r="E57" s="214" t="s">
        <v>1864</v>
      </c>
      <c r="F57" s="553"/>
      <c r="G57" s="553"/>
      <c r="H57" s="214" t="s">
        <v>24</v>
      </c>
      <c r="I57" s="214" t="s">
        <v>71</v>
      </c>
      <c r="J57" s="17" t="s">
        <v>2044</v>
      </c>
      <c r="K57" s="267" t="s">
        <v>1866</v>
      </c>
      <c r="L57" s="271"/>
    </row>
    <row r="58" spans="1:12" ht="36" customHeight="1">
      <c r="A58" s="609"/>
      <c r="B58" s="17" t="s">
        <v>2045</v>
      </c>
      <c r="C58" s="214" t="s">
        <v>2046</v>
      </c>
      <c r="D58" s="214" t="s">
        <v>2047</v>
      </c>
      <c r="E58" s="214" t="s">
        <v>1864</v>
      </c>
      <c r="F58" s="553"/>
      <c r="G58" s="553"/>
      <c r="H58" s="214" t="s">
        <v>24</v>
      </c>
      <c r="I58" s="214" t="s">
        <v>71</v>
      </c>
      <c r="J58" s="17" t="s">
        <v>2048</v>
      </c>
      <c r="K58" s="267" t="s">
        <v>1866</v>
      </c>
      <c r="L58" s="271"/>
    </row>
    <row r="59" spans="1:12" ht="36" customHeight="1">
      <c r="A59" s="609"/>
      <c r="B59" s="17" t="s">
        <v>2049</v>
      </c>
      <c r="C59" s="214" t="s">
        <v>2050</v>
      </c>
      <c r="D59" s="214" t="s">
        <v>2051</v>
      </c>
      <c r="E59" s="214" t="s">
        <v>1864</v>
      </c>
      <c r="F59" s="553"/>
      <c r="G59" s="553"/>
      <c r="H59" s="214" t="s">
        <v>24</v>
      </c>
      <c r="I59" s="214" t="s">
        <v>71</v>
      </c>
      <c r="J59" s="17" t="s">
        <v>2052</v>
      </c>
      <c r="K59" s="267" t="s">
        <v>1866</v>
      </c>
      <c r="L59" s="271"/>
    </row>
    <row r="60" spans="1:12" ht="36" customHeight="1">
      <c r="A60" s="609"/>
      <c r="B60" s="17" t="s">
        <v>2053</v>
      </c>
      <c r="C60" s="214" t="s">
        <v>2054</v>
      </c>
      <c r="D60" s="214" t="s">
        <v>2055</v>
      </c>
      <c r="E60" s="214" t="s">
        <v>1864</v>
      </c>
      <c r="F60" s="553"/>
      <c r="G60" s="553"/>
      <c r="H60" s="214" t="s">
        <v>24</v>
      </c>
      <c r="I60" s="214" t="s">
        <v>71</v>
      </c>
      <c r="J60" s="17" t="s">
        <v>2056</v>
      </c>
      <c r="K60" s="267" t="s">
        <v>1866</v>
      </c>
      <c r="L60" s="271"/>
    </row>
    <row r="61" spans="1:12" ht="36" customHeight="1">
      <c r="A61" s="609"/>
      <c r="B61" s="17" t="s">
        <v>2057</v>
      </c>
      <c r="C61" s="214" t="s">
        <v>2058</v>
      </c>
      <c r="D61" s="214" t="s">
        <v>2059</v>
      </c>
      <c r="E61" s="214" t="s">
        <v>1864</v>
      </c>
      <c r="F61" s="553"/>
      <c r="G61" s="553"/>
      <c r="H61" s="214" t="s">
        <v>24</v>
      </c>
      <c r="I61" s="214" t="s">
        <v>71</v>
      </c>
      <c r="J61" s="17" t="s">
        <v>2060</v>
      </c>
      <c r="K61" s="267" t="s">
        <v>1866</v>
      </c>
      <c r="L61" s="271"/>
    </row>
    <row r="62" spans="1:12" ht="36" customHeight="1">
      <c r="A62" s="609"/>
      <c r="B62" s="17" t="s">
        <v>2061</v>
      </c>
      <c r="C62" s="214" t="s">
        <v>2062</v>
      </c>
      <c r="D62" s="214" t="s">
        <v>2063</v>
      </c>
      <c r="E62" s="214" t="s">
        <v>1864</v>
      </c>
      <c r="F62" s="553"/>
      <c r="G62" s="553"/>
      <c r="H62" s="214" t="s">
        <v>24</v>
      </c>
      <c r="I62" s="214" t="s">
        <v>71</v>
      </c>
      <c r="J62" s="17" t="s">
        <v>2064</v>
      </c>
      <c r="K62" s="267" t="s">
        <v>1866</v>
      </c>
      <c r="L62" s="271"/>
    </row>
    <row r="63" spans="1:12" ht="36" customHeight="1">
      <c r="A63" s="609"/>
      <c r="B63" s="17" t="s">
        <v>2065</v>
      </c>
      <c r="C63" s="214" t="s">
        <v>2066</v>
      </c>
      <c r="D63" s="214" t="s">
        <v>2067</v>
      </c>
      <c r="E63" s="214" t="s">
        <v>1864</v>
      </c>
      <c r="F63" s="553"/>
      <c r="G63" s="553"/>
      <c r="H63" s="214" t="s">
        <v>24</v>
      </c>
      <c r="I63" s="214" t="s">
        <v>71</v>
      </c>
      <c r="J63" s="17" t="s">
        <v>2068</v>
      </c>
      <c r="K63" s="267" t="s">
        <v>1866</v>
      </c>
      <c r="L63" s="271"/>
    </row>
    <row r="64" spans="1:12" ht="36" customHeight="1">
      <c r="A64" s="609"/>
      <c r="B64" s="17" t="s">
        <v>2069</v>
      </c>
      <c r="C64" s="214" t="s">
        <v>2070</v>
      </c>
      <c r="D64" s="214" t="s">
        <v>2071</v>
      </c>
      <c r="E64" s="214" t="s">
        <v>1864</v>
      </c>
      <c r="F64" s="553"/>
      <c r="G64" s="553"/>
      <c r="H64" s="214" t="s">
        <v>24</v>
      </c>
      <c r="I64" s="214" t="s">
        <v>71</v>
      </c>
      <c r="J64" s="17" t="s">
        <v>2072</v>
      </c>
      <c r="K64" s="267" t="s">
        <v>1866</v>
      </c>
      <c r="L64" s="271"/>
    </row>
    <row r="65" spans="1:12" ht="36" customHeight="1">
      <c r="A65" s="609"/>
      <c r="B65" s="17" t="s">
        <v>2073</v>
      </c>
      <c r="C65" s="214" t="s">
        <v>2074</v>
      </c>
      <c r="D65" s="214" t="s">
        <v>2075</v>
      </c>
      <c r="E65" s="214" t="s">
        <v>1864</v>
      </c>
      <c r="F65" s="553"/>
      <c r="G65" s="553"/>
      <c r="H65" s="214" t="s">
        <v>24</v>
      </c>
      <c r="I65" s="214" t="s">
        <v>71</v>
      </c>
      <c r="J65" s="17" t="s">
        <v>2076</v>
      </c>
      <c r="K65" s="267" t="s">
        <v>1866</v>
      </c>
      <c r="L65" s="271"/>
    </row>
    <row r="66" spans="1:12" ht="36" customHeight="1">
      <c r="A66" s="609"/>
      <c r="B66" s="17" t="s">
        <v>2077</v>
      </c>
      <c r="C66" s="214" t="s">
        <v>2078</v>
      </c>
      <c r="D66" s="214" t="s">
        <v>2079</v>
      </c>
      <c r="E66" s="214" t="s">
        <v>1864</v>
      </c>
      <c r="F66" s="553"/>
      <c r="G66" s="553"/>
      <c r="H66" s="214" t="s">
        <v>24</v>
      </c>
      <c r="I66" s="214" t="s">
        <v>71</v>
      </c>
      <c r="J66" s="17" t="s">
        <v>2080</v>
      </c>
      <c r="K66" s="267" t="s">
        <v>1866</v>
      </c>
      <c r="L66" s="271"/>
    </row>
    <row r="67" spans="1:12" ht="36" customHeight="1">
      <c r="A67" s="609"/>
      <c r="B67" s="17" t="s">
        <v>2081</v>
      </c>
      <c r="C67" s="214" t="s">
        <v>2082</v>
      </c>
      <c r="D67" s="214" t="s">
        <v>2083</v>
      </c>
      <c r="E67" s="214" t="s">
        <v>1864</v>
      </c>
      <c r="F67" s="553"/>
      <c r="G67" s="553"/>
      <c r="H67" s="214" t="s">
        <v>24</v>
      </c>
      <c r="I67" s="214" t="s">
        <v>71</v>
      </c>
      <c r="J67" s="17" t="s">
        <v>2084</v>
      </c>
      <c r="K67" s="267" t="s">
        <v>1866</v>
      </c>
      <c r="L67" s="271"/>
    </row>
    <row r="68" spans="1:12" ht="36" customHeight="1">
      <c r="A68" s="609"/>
      <c r="B68" s="17" t="s">
        <v>2085</v>
      </c>
      <c r="C68" s="214" t="s">
        <v>2086</v>
      </c>
      <c r="D68" s="214" t="s">
        <v>2087</v>
      </c>
      <c r="E68" s="214" t="s">
        <v>1864</v>
      </c>
      <c r="F68" s="553"/>
      <c r="G68" s="553"/>
      <c r="H68" s="214" t="s">
        <v>24</v>
      </c>
      <c r="I68" s="214" t="s">
        <v>71</v>
      </c>
      <c r="J68" s="17" t="s">
        <v>2088</v>
      </c>
      <c r="K68" s="267" t="s">
        <v>1866</v>
      </c>
      <c r="L68" s="271"/>
    </row>
    <row r="69" spans="1:12" ht="36" customHeight="1">
      <c r="A69" s="609"/>
      <c r="B69" s="17" t="s">
        <v>2089</v>
      </c>
      <c r="C69" s="214" t="s">
        <v>2090</v>
      </c>
      <c r="D69" s="214" t="s">
        <v>2091</v>
      </c>
      <c r="E69" s="214" t="s">
        <v>1864</v>
      </c>
      <c r="F69" s="553"/>
      <c r="G69" s="553"/>
      <c r="H69" s="214" t="s">
        <v>24</v>
      </c>
      <c r="I69" s="214" t="s">
        <v>71</v>
      </c>
      <c r="J69" s="17" t="s">
        <v>2092</v>
      </c>
      <c r="K69" s="267" t="s">
        <v>1866</v>
      </c>
      <c r="L69" s="271"/>
    </row>
    <row r="70" spans="1:12" ht="36" customHeight="1">
      <c r="A70" s="609"/>
      <c r="B70" s="17" t="s">
        <v>2093</v>
      </c>
      <c r="C70" s="214" t="s">
        <v>2094</v>
      </c>
      <c r="D70" s="214" t="s">
        <v>2095</v>
      </c>
      <c r="E70" s="214" t="s">
        <v>1864</v>
      </c>
      <c r="F70" s="553"/>
      <c r="G70" s="553"/>
      <c r="H70" s="214" t="s">
        <v>24</v>
      </c>
      <c r="I70" s="214" t="s">
        <v>71</v>
      </c>
      <c r="J70" s="17" t="s">
        <v>2096</v>
      </c>
      <c r="K70" s="267" t="s">
        <v>1866</v>
      </c>
      <c r="L70" s="271"/>
    </row>
    <row r="71" spans="1:12" ht="36" customHeight="1">
      <c r="A71" s="609"/>
      <c r="B71" s="17" t="s">
        <v>2097</v>
      </c>
      <c r="C71" s="214" t="s">
        <v>2098</v>
      </c>
      <c r="D71" s="214" t="s">
        <v>2099</v>
      </c>
      <c r="E71" s="214" t="s">
        <v>1864</v>
      </c>
      <c r="F71" s="553"/>
      <c r="G71" s="553"/>
      <c r="H71" s="214" t="s">
        <v>24</v>
      </c>
      <c r="I71" s="214" t="s">
        <v>71</v>
      </c>
      <c r="J71" s="17" t="s">
        <v>2100</v>
      </c>
      <c r="K71" s="267" t="s">
        <v>1866</v>
      </c>
      <c r="L71" s="271"/>
    </row>
    <row r="72" spans="1:12" ht="36" customHeight="1">
      <c r="A72" s="609"/>
      <c r="B72" s="17" t="s">
        <v>2101</v>
      </c>
      <c r="C72" s="214" t="s">
        <v>2102</v>
      </c>
      <c r="D72" s="214" t="s">
        <v>2103</v>
      </c>
      <c r="E72" s="214" t="s">
        <v>1864</v>
      </c>
      <c r="F72" s="553"/>
      <c r="G72" s="553"/>
      <c r="H72" s="214" t="s">
        <v>24</v>
      </c>
      <c r="I72" s="214" t="s">
        <v>71</v>
      </c>
      <c r="J72" s="17" t="s">
        <v>2104</v>
      </c>
      <c r="K72" s="267" t="s">
        <v>1866</v>
      </c>
      <c r="L72" s="271"/>
    </row>
    <row r="73" spans="1:12" ht="36" customHeight="1">
      <c r="A73" s="609"/>
      <c r="B73" s="17" t="s">
        <v>2105</v>
      </c>
      <c r="C73" s="214" t="s">
        <v>2106</v>
      </c>
      <c r="D73" s="214" t="s">
        <v>2107</v>
      </c>
      <c r="E73" s="214" t="s">
        <v>1864</v>
      </c>
      <c r="F73" s="553"/>
      <c r="G73" s="553"/>
      <c r="H73" s="214" t="s">
        <v>24</v>
      </c>
      <c r="I73" s="214" t="s">
        <v>71</v>
      </c>
      <c r="J73" s="17" t="s">
        <v>2108</v>
      </c>
      <c r="K73" s="267" t="s">
        <v>1866</v>
      </c>
      <c r="L73" s="271"/>
    </row>
    <row r="74" spans="1:12" ht="36" customHeight="1">
      <c r="A74" s="609"/>
      <c r="B74" s="17" t="s">
        <v>2109</v>
      </c>
      <c r="C74" s="214" t="s">
        <v>2110</v>
      </c>
      <c r="D74" s="214" t="s">
        <v>2111</v>
      </c>
      <c r="E74" s="214" t="s">
        <v>1864</v>
      </c>
      <c r="F74" s="553"/>
      <c r="G74" s="553"/>
      <c r="H74" s="214" t="s">
        <v>24</v>
      </c>
      <c r="I74" s="214" t="s">
        <v>71</v>
      </c>
      <c r="J74" s="17" t="s">
        <v>2112</v>
      </c>
      <c r="K74" s="267" t="s">
        <v>1866</v>
      </c>
      <c r="L74" s="271"/>
    </row>
    <row r="75" spans="1:12" ht="36" customHeight="1">
      <c r="A75" s="609"/>
      <c r="B75" s="17" t="s">
        <v>2113</v>
      </c>
      <c r="C75" s="214" t="s">
        <v>2114</v>
      </c>
      <c r="D75" s="214" t="s">
        <v>2115</v>
      </c>
      <c r="E75" s="214" t="s">
        <v>1864</v>
      </c>
      <c r="F75" s="553"/>
      <c r="G75" s="553"/>
      <c r="H75" s="214" t="s">
        <v>24</v>
      </c>
      <c r="I75" s="214" t="s">
        <v>71</v>
      </c>
      <c r="J75" s="17" t="s">
        <v>2116</v>
      </c>
      <c r="K75" s="267" t="s">
        <v>1866</v>
      </c>
      <c r="L75" s="271"/>
    </row>
    <row r="76" spans="1:12" ht="36" customHeight="1">
      <c r="A76" s="609"/>
      <c r="B76" s="17" t="s">
        <v>2117</v>
      </c>
      <c r="C76" s="214" t="s">
        <v>2118</v>
      </c>
      <c r="D76" s="214" t="s">
        <v>2119</v>
      </c>
      <c r="E76" s="214" t="s">
        <v>1864</v>
      </c>
      <c r="F76" s="553"/>
      <c r="G76" s="553"/>
      <c r="H76" s="214" t="s">
        <v>24</v>
      </c>
      <c r="I76" s="214" t="s">
        <v>71</v>
      </c>
      <c r="J76" s="17" t="s">
        <v>2120</v>
      </c>
      <c r="K76" s="267" t="s">
        <v>1866</v>
      </c>
      <c r="L76" s="271"/>
    </row>
    <row r="77" spans="1:12" ht="36" customHeight="1">
      <c r="A77" s="609"/>
      <c r="B77" s="17" t="s">
        <v>2121</v>
      </c>
      <c r="C77" s="214" t="s">
        <v>2122</v>
      </c>
      <c r="D77" s="214" t="s">
        <v>2123</v>
      </c>
      <c r="E77" s="214" t="s">
        <v>1864</v>
      </c>
      <c r="F77" s="553"/>
      <c r="G77" s="553"/>
      <c r="H77" s="214" t="s">
        <v>24</v>
      </c>
      <c r="I77" s="214" t="s">
        <v>71</v>
      </c>
      <c r="J77" s="17" t="s">
        <v>2124</v>
      </c>
      <c r="K77" s="267" t="s">
        <v>1866</v>
      </c>
      <c r="L77" s="271"/>
    </row>
    <row r="78" spans="1:12" ht="36" customHeight="1">
      <c r="A78" s="609"/>
      <c r="B78" s="17" t="s">
        <v>2125</v>
      </c>
      <c r="C78" s="214" t="s">
        <v>2126</v>
      </c>
      <c r="D78" s="214" t="s">
        <v>2127</v>
      </c>
      <c r="E78" s="214" t="s">
        <v>1864</v>
      </c>
      <c r="F78" s="553"/>
      <c r="G78" s="553"/>
      <c r="H78" s="214" t="s">
        <v>24</v>
      </c>
      <c r="I78" s="214" t="s">
        <v>71</v>
      </c>
      <c r="J78" s="17" t="s">
        <v>2128</v>
      </c>
      <c r="K78" s="267" t="s">
        <v>1866</v>
      </c>
      <c r="L78" s="271"/>
    </row>
    <row r="79" spans="1:12" ht="36" customHeight="1">
      <c r="A79" s="609"/>
      <c r="B79" s="17" t="s">
        <v>2129</v>
      </c>
      <c r="C79" s="214" t="s">
        <v>2130</v>
      </c>
      <c r="D79" s="214" t="s">
        <v>2131</v>
      </c>
      <c r="E79" s="214" t="s">
        <v>1864</v>
      </c>
      <c r="F79" s="553"/>
      <c r="G79" s="553"/>
      <c r="H79" s="214" t="s">
        <v>24</v>
      </c>
      <c r="I79" s="214" t="s">
        <v>71</v>
      </c>
      <c r="J79" s="17" t="s">
        <v>2132</v>
      </c>
      <c r="K79" s="267" t="s">
        <v>1866</v>
      </c>
      <c r="L79" s="271"/>
    </row>
    <row r="80" spans="1:12" ht="36" customHeight="1">
      <c r="A80" s="609"/>
      <c r="B80" s="17" t="s">
        <v>2133</v>
      </c>
      <c r="C80" s="214" t="s">
        <v>2134</v>
      </c>
      <c r="D80" s="214" t="s">
        <v>2135</v>
      </c>
      <c r="E80" s="214" t="s">
        <v>1864</v>
      </c>
      <c r="F80" s="553"/>
      <c r="G80" s="553"/>
      <c r="H80" s="214" t="s">
        <v>24</v>
      </c>
      <c r="I80" s="214" t="s">
        <v>71</v>
      </c>
      <c r="J80" s="17" t="s">
        <v>2136</v>
      </c>
      <c r="K80" s="267" t="s">
        <v>1866</v>
      </c>
      <c r="L80" s="271"/>
    </row>
    <row r="81" spans="1:12" ht="36" customHeight="1">
      <c r="A81" s="609"/>
      <c r="B81" s="17" t="s">
        <v>2137</v>
      </c>
      <c r="C81" s="214" t="s">
        <v>2138</v>
      </c>
      <c r="D81" s="214" t="s">
        <v>2139</v>
      </c>
      <c r="E81" s="214" t="s">
        <v>1864</v>
      </c>
      <c r="F81" s="553"/>
      <c r="G81" s="553"/>
      <c r="H81" s="214" t="s">
        <v>24</v>
      </c>
      <c r="I81" s="214" t="s">
        <v>71</v>
      </c>
      <c r="J81" s="17" t="s">
        <v>2140</v>
      </c>
      <c r="K81" s="267" t="s">
        <v>1866</v>
      </c>
      <c r="L81" s="271"/>
    </row>
    <row r="82" spans="1:12" ht="36" customHeight="1">
      <c r="A82" s="609"/>
      <c r="B82" s="17" t="s">
        <v>2141</v>
      </c>
      <c r="C82" s="214" t="s">
        <v>2142</v>
      </c>
      <c r="D82" s="214" t="s">
        <v>2143</v>
      </c>
      <c r="E82" s="214" t="s">
        <v>1864</v>
      </c>
      <c r="F82" s="553"/>
      <c r="G82" s="553"/>
      <c r="H82" s="214" t="s">
        <v>24</v>
      </c>
      <c r="I82" s="214" t="s">
        <v>71</v>
      </c>
      <c r="J82" s="17" t="s">
        <v>2144</v>
      </c>
      <c r="K82" s="267" t="s">
        <v>1866</v>
      </c>
      <c r="L82" s="271"/>
    </row>
    <row r="83" spans="1:12" ht="36" customHeight="1">
      <c r="A83" s="609"/>
      <c r="B83" s="17" t="s">
        <v>2145</v>
      </c>
      <c r="C83" s="214" t="s">
        <v>2146</v>
      </c>
      <c r="D83" s="214" t="s">
        <v>2147</v>
      </c>
      <c r="E83" s="214" t="s">
        <v>1864</v>
      </c>
      <c r="F83" s="553"/>
      <c r="G83" s="553"/>
      <c r="H83" s="214" t="s">
        <v>24</v>
      </c>
      <c r="I83" s="214" t="s">
        <v>71</v>
      </c>
      <c r="J83" s="17" t="s">
        <v>2148</v>
      </c>
      <c r="K83" s="267" t="s">
        <v>1866</v>
      </c>
      <c r="L83" s="271"/>
    </row>
    <row r="84" spans="1:12" ht="36" customHeight="1">
      <c r="A84" s="609"/>
      <c r="B84" s="17" t="s">
        <v>2710</v>
      </c>
      <c r="C84" s="214" t="s">
        <v>2149</v>
      </c>
      <c r="D84" s="214" t="s">
        <v>2150</v>
      </c>
      <c r="E84" s="214" t="s">
        <v>1864</v>
      </c>
      <c r="F84" s="553"/>
      <c r="G84" s="553"/>
      <c r="H84" s="214" t="s">
        <v>24</v>
      </c>
      <c r="I84" s="214" t="s">
        <v>71</v>
      </c>
      <c r="J84" s="17" t="s">
        <v>2151</v>
      </c>
      <c r="K84" s="267" t="s">
        <v>1866</v>
      </c>
      <c r="L84" s="271"/>
    </row>
    <row r="85" spans="1:12" ht="36" customHeight="1">
      <c r="A85" s="609"/>
      <c r="B85" s="17" t="s">
        <v>2709</v>
      </c>
      <c r="C85" s="354" t="s">
        <v>2711</v>
      </c>
      <c r="D85" s="354" t="s">
        <v>2712</v>
      </c>
      <c r="E85" s="214" t="s">
        <v>1864</v>
      </c>
      <c r="F85" s="553"/>
      <c r="G85" s="553"/>
      <c r="H85" s="214" t="s">
        <v>24</v>
      </c>
      <c r="I85" s="214" t="s">
        <v>71</v>
      </c>
      <c r="J85" s="17" t="s">
        <v>2152</v>
      </c>
      <c r="K85" s="267" t="s">
        <v>1866</v>
      </c>
      <c r="L85" s="271"/>
    </row>
    <row r="86" spans="1:12" ht="36" customHeight="1">
      <c r="A86" s="610"/>
      <c r="B86" s="17" t="s">
        <v>2153</v>
      </c>
      <c r="C86" s="214" t="s">
        <v>2154</v>
      </c>
      <c r="D86" s="214" t="s">
        <v>2155</v>
      </c>
      <c r="E86" s="214" t="s">
        <v>1864</v>
      </c>
      <c r="F86" s="554"/>
      <c r="G86" s="554"/>
      <c r="H86" s="214" t="s">
        <v>24</v>
      </c>
      <c r="I86" s="214" t="s">
        <v>71</v>
      </c>
      <c r="J86" s="17" t="s">
        <v>2156</v>
      </c>
      <c r="K86" s="267" t="s">
        <v>1866</v>
      </c>
      <c r="L86" s="271"/>
    </row>
    <row r="87" spans="1:12" s="14" customFormat="1" ht="30" customHeight="1">
      <c r="A87" s="603" t="s">
        <v>2157</v>
      </c>
      <c r="B87" s="17" t="s">
        <v>2158</v>
      </c>
      <c r="C87" s="214" t="s">
        <v>1785</v>
      </c>
      <c r="D87" s="214" t="s">
        <v>2159</v>
      </c>
      <c r="E87" s="214" t="s">
        <v>1864</v>
      </c>
      <c r="F87" s="532" t="s">
        <v>2390</v>
      </c>
      <c r="G87" s="532" t="s">
        <v>2390</v>
      </c>
      <c r="H87" s="214" t="s">
        <v>24</v>
      </c>
      <c r="I87" s="214" t="s">
        <v>71</v>
      </c>
      <c r="J87" s="22" t="s">
        <v>2160</v>
      </c>
      <c r="K87" s="267" t="s">
        <v>1866</v>
      </c>
      <c r="L87" s="23"/>
    </row>
    <row r="88" spans="1:12" s="14" customFormat="1" ht="30" customHeight="1">
      <c r="A88" s="606"/>
      <c r="B88" s="17" t="s">
        <v>2161</v>
      </c>
      <c r="C88" s="214" t="s">
        <v>2162</v>
      </c>
      <c r="D88" s="214" t="s">
        <v>2163</v>
      </c>
      <c r="E88" s="214" t="s">
        <v>1864</v>
      </c>
      <c r="F88" s="553"/>
      <c r="G88" s="553"/>
      <c r="H88" s="214" t="s">
        <v>24</v>
      </c>
      <c r="I88" s="214" t="s">
        <v>71</v>
      </c>
      <c r="J88" s="22" t="s">
        <v>2164</v>
      </c>
      <c r="K88" s="267" t="s">
        <v>1866</v>
      </c>
      <c r="L88" s="23"/>
    </row>
    <row r="89" spans="1:12" ht="36" customHeight="1">
      <c r="A89" s="606"/>
      <c r="B89" s="17" t="s">
        <v>2165</v>
      </c>
      <c r="C89" s="214" t="s">
        <v>2166</v>
      </c>
      <c r="D89" s="214" t="s">
        <v>2167</v>
      </c>
      <c r="E89" s="214" t="s">
        <v>1864</v>
      </c>
      <c r="F89" s="553"/>
      <c r="G89" s="553"/>
      <c r="H89" s="214" t="s">
        <v>24</v>
      </c>
      <c r="I89" s="214" t="s">
        <v>71</v>
      </c>
      <c r="J89" s="17" t="s">
        <v>2168</v>
      </c>
      <c r="K89" s="267" t="s">
        <v>1866</v>
      </c>
      <c r="L89" s="271"/>
    </row>
    <row r="90" spans="1:12" ht="36" customHeight="1">
      <c r="A90" s="606"/>
      <c r="B90" s="17" t="s">
        <v>2169</v>
      </c>
      <c r="C90" s="214" t="s">
        <v>2170</v>
      </c>
      <c r="D90" s="214" t="s">
        <v>2171</v>
      </c>
      <c r="E90" s="214" t="s">
        <v>1864</v>
      </c>
      <c r="F90" s="553"/>
      <c r="G90" s="553"/>
      <c r="H90" s="214" t="s">
        <v>24</v>
      </c>
      <c r="I90" s="214" t="s">
        <v>71</v>
      </c>
      <c r="J90" s="17" t="s">
        <v>2172</v>
      </c>
      <c r="K90" s="267" t="s">
        <v>1866</v>
      </c>
      <c r="L90" s="271"/>
    </row>
    <row r="91" spans="1:12" ht="36" customHeight="1">
      <c r="A91" s="606"/>
      <c r="B91" s="17" t="s">
        <v>2173</v>
      </c>
      <c r="C91" s="214" t="s">
        <v>2174</v>
      </c>
      <c r="D91" s="214" t="s">
        <v>2175</v>
      </c>
      <c r="E91" s="214" t="s">
        <v>1864</v>
      </c>
      <c r="F91" s="553"/>
      <c r="G91" s="553"/>
      <c r="H91" s="214" t="s">
        <v>24</v>
      </c>
      <c r="I91" s="214" t="s">
        <v>71</v>
      </c>
      <c r="J91" s="17" t="s">
        <v>2176</v>
      </c>
      <c r="K91" s="267" t="s">
        <v>1866</v>
      </c>
      <c r="L91" s="271"/>
    </row>
    <row r="92" spans="1:12" ht="36" customHeight="1">
      <c r="A92" s="606"/>
      <c r="B92" s="17" t="s">
        <v>2177</v>
      </c>
      <c r="C92" s="214" t="s">
        <v>2178</v>
      </c>
      <c r="D92" s="214" t="s">
        <v>2179</v>
      </c>
      <c r="E92" s="214" t="s">
        <v>1864</v>
      </c>
      <c r="F92" s="553"/>
      <c r="G92" s="553"/>
      <c r="H92" s="214" t="s">
        <v>24</v>
      </c>
      <c r="I92" s="214" t="s">
        <v>71</v>
      </c>
      <c r="J92" s="17" t="s">
        <v>2180</v>
      </c>
      <c r="K92" s="267" t="s">
        <v>1866</v>
      </c>
      <c r="L92" s="271"/>
    </row>
    <row r="93" spans="1:12" ht="36" customHeight="1">
      <c r="A93" s="606"/>
      <c r="B93" s="17" t="s">
        <v>2181</v>
      </c>
      <c r="C93" s="214" t="s">
        <v>2182</v>
      </c>
      <c r="D93" s="214" t="s">
        <v>2183</v>
      </c>
      <c r="E93" s="214" t="s">
        <v>1864</v>
      </c>
      <c r="F93" s="553"/>
      <c r="G93" s="553"/>
      <c r="H93" s="214" t="s">
        <v>24</v>
      </c>
      <c r="I93" s="214" t="s">
        <v>71</v>
      </c>
      <c r="J93" s="17" t="s">
        <v>2184</v>
      </c>
      <c r="K93" s="267" t="s">
        <v>1866</v>
      </c>
      <c r="L93" s="271"/>
    </row>
    <row r="94" spans="1:12" ht="36" customHeight="1">
      <c r="A94" s="606"/>
      <c r="B94" s="17" t="s">
        <v>2747</v>
      </c>
      <c r="C94" s="358" t="s">
        <v>2748</v>
      </c>
      <c r="D94" s="358" t="s">
        <v>2749</v>
      </c>
      <c r="E94" s="214" t="s">
        <v>1864</v>
      </c>
      <c r="F94" s="553"/>
      <c r="G94" s="553"/>
      <c r="H94" s="214" t="s">
        <v>24</v>
      </c>
      <c r="I94" s="214" t="s">
        <v>71</v>
      </c>
      <c r="J94" s="17" t="s">
        <v>2750</v>
      </c>
      <c r="K94" s="267" t="s">
        <v>1866</v>
      </c>
      <c r="L94" s="271"/>
    </row>
    <row r="95" spans="1:12" ht="36" customHeight="1">
      <c r="A95" s="606"/>
      <c r="B95" s="17" t="s">
        <v>2185</v>
      </c>
      <c r="C95" s="214" t="s">
        <v>2186</v>
      </c>
      <c r="D95" s="214" t="s">
        <v>2187</v>
      </c>
      <c r="E95" s="214" t="s">
        <v>1864</v>
      </c>
      <c r="F95" s="553"/>
      <c r="G95" s="553"/>
      <c r="H95" s="214" t="s">
        <v>24</v>
      </c>
      <c r="I95" s="214" t="s">
        <v>71</v>
      </c>
      <c r="J95" s="17" t="s">
        <v>2188</v>
      </c>
      <c r="K95" s="267" t="s">
        <v>1866</v>
      </c>
      <c r="L95" s="271"/>
    </row>
    <row r="96" spans="1:12" ht="36" customHeight="1">
      <c r="A96" s="606"/>
      <c r="B96" s="17" t="s">
        <v>2189</v>
      </c>
      <c r="C96" s="214" t="s">
        <v>2190</v>
      </c>
      <c r="D96" s="214" t="s">
        <v>2191</v>
      </c>
      <c r="E96" s="214" t="s">
        <v>1864</v>
      </c>
      <c r="F96" s="553"/>
      <c r="G96" s="553"/>
      <c r="H96" s="214" t="s">
        <v>24</v>
      </c>
      <c r="I96" s="214" t="s">
        <v>71</v>
      </c>
      <c r="J96" s="17" t="s">
        <v>2192</v>
      </c>
      <c r="K96" s="267" t="s">
        <v>1866</v>
      </c>
      <c r="L96" s="271"/>
    </row>
    <row r="97" spans="1:12" ht="36" customHeight="1">
      <c r="A97" s="606"/>
      <c r="B97" s="17" t="s">
        <v>2193</v>
      </c>
      <c r="C97" s="214" t="s">
        <v>2194</v>
      </c>
      <c r="D97" s="214" t="s">
        <v>2195</v>
      </c>
      <c r="E97" s="214" t="s">
        <v>1864</v>
      </c>
      <c r="F97" s="553"/>
      <c r="G97" s="553"/>
      <c r="H97" s="214" t="s">
        <v>24</v>
      </c>
      <c r="I97" s="214" t="s">
        <v>71</v>
      </c>
      <c r="J97" s="17" t="s">
        <v>2196</v>
      </c>
      <c r="K97" s="267" t="s">
        <v>1866</v>
      </c>
      <c r="L97" s="271"/>
    </row>
    <row r="98" spans="1:12" ht="36" customHeight="1">
      <c r="A98" s="606"/>
      <c r="B98" s="17" t="s">
        <v>2751</v>
      </c>
      <c r="C98" s="358" t="s">
        <v>2752</v>
      </c>
      <c r="D98" s="358" t="s">
        <v>2753</v>
      </c>
      <c r="E98" s="214" t="s">
        <v>1864</v>
      </c>
      <c r="F98" s="553"/>
      <c r="G98" s="553"/>
      <c r="H98" s="214" t="s">
        <v>24</v>
      </c>
      <c r="I98" s="214" t="s">
        <v>71</v>
      </c>
      <c r="J98" s="17" t="s">
        <v>2754</v>
      </c>
      <c r="K98" s="267" t="s">
        <v>1866</v>
      </c>
      <c r="L98" s="271"/>
    </row>
    <row r="99" spans="1:12" ht="36" customHeight="1">
      <c r="A99" s="606"/>
      <c r="B99" s="17" t="s">
        <v>2197</v>
      </c>
      <c r="C99" s="214" t="s">
        <v>2198</v>
      </c>
      <c r="D99" s="214" t="s">
        <v>2199</v>
      </c>
      <c r="E99" s="214" t="s">
        <v>1864</v>
      </c>
      <c r="F99" s="553"/>
      <c r="G99" s="553"/>
      <c r="H99" s="214" t="s">
        <v>24</v>
      </c>
      <c r="I99" s="214" t="s">
        <v>71</v>
      </c>
      <c r="J99" s="17" t="s">
        <v>2200</v>
      </c>
      <c r="K99" s="267" t="s">
        <v>1866</v>
      </c>
      <c r="L99" s="271"/>
    </row>
    <row r="100" spans="1:12" ht="36" customHeight="1">
      <c r="A100" s="606"/>
      <c r="B100" s="17" t="s">
        <v>2201</v>
      </c>
      <c r="C100" s="214" t="s">
        <v>2202</v>
      </c>
      <c r="D100" s="214" t="s">
        <v>2203</v>
      </c>
      <c r="E100" s="214" t="s">
        <v>1864</v>
      </c>
      <c r="F100" s="553"/>
      <c r="G100" s="553"/>
      <c r="H100" s="214" t="s">
        <v>24</v>
      </c>
      <c r="I100" s="214" t="s">
        <v>71</v>
      </c>
      <c r="J100" s="17" t="s">
        <v>2204</v>
      </c>
      <c r="K100" s="267" t="s">
        <v>1866</v>
      </c>
      <c r="L100" s="271"/>
    </row>
    <row r="101" spans="1:12" ht="36" customHeight="1">
      <c r="A101" s="606"/>
      <c r="B101" s="17" t="s">
        <v>2205</v>
      </c>
      <c r="C101" s="214" t="s">
        <v>2206</v>
      </c>
      <c r="D101" s="214" t="s">
        <v>2207</v>
      </c>
      <c r="E101" s="214" t="s">
        <v>1864</v>
      </c>
      <c r="F101" s="553"/>
      <c r="G101" s="553"/>
      <c r="H101" s="214" t="s">
        <v>24</v>
      </c>
      <c r="I101" s="214" t="s">
        <v>71</v>
      </c>
      <c r="J101" s="17" t="s">
        <v>2208</v>
      </c>
      <c r="K101" s="267" t="s">
        <v>1866</v>
      </c>
      <c r="L101" s="271"/>
    </row>
    <row r="102" spans="1:12" ht="36" customHeight="1">
      <c r="A102" s="606"/>
      <c r="B102" s="17" t="s">
        <v>2209</v>
      </c>
      <c r="C102" s="214" t="s">
        <v>2210</v>
      </c>
      <c r="D102" s="214" t="s">
        <v>2211</v>
      </c>
      <c r="E102" s="214" t="s">
        <v>1864</v>
      </c>
      <c r="F102" s="553"/>
      <c r="G102" s="553"/>
      <c r="H102" s="214" t="s">
        <v>24</v>
      </c>
      <c r="I102" s="214" t="s">
        <v>71</v>
      </c>
      <c r="J102" s="17" t="s">
        <v>2212</v>
      </c>
      <c r="K102" s="267" t="s">
        <v>1866</v>
      </c>
      <c r="L102" s="271"/>
    </row>
    <row r="103" spans="1:12" ht="36" customHeight="1">
      <c r="A103" s="606"/>
      <c r="B103" s="17" t="s">
        <v>2213</v>
      </c>
      <c r="C103" s="214" t="s">
        <v>2214</v>
      </c>
      <c r="D103" s="214" t="s">
        <v>2215</v>
      </c>
      <c r="E103" s="214" t="s">
        <v>1864</v>
      </c>
      <c r="F103" s="553"/>
      <c r="G103" s="553"/>
      <c r="H103" s="214" t="s">
        <v>24</v>
      </c>
      <c r="I103" s="214" t="s">
        <v>71</v>
      </c>
      <c r="J103" s="17" t="s">
        <v>2216</v>
      </c>
      <c r="K103" s="267" t="s">
        <v>1866</v>
      </c>
      <c r="L103" s="271"/>
    </row>
    <row r="104" spans="1:12" ht="36" customHeight="1">
      <c r="A104" s="606"/>
      <c r="B104" s="17" t="s">
        <v>2217</v>
      </c>
      <c r="C104" s="214" t="s">
        <v>2218</v>
      </c>
      <c r="D104" s="214" t="s">
        <v>2219</v>
      </c>
      <c r="E104" s="214" t="s">
        <v>1864</v>
      </c>
      <c r="F104" s="553"/>
      <c r="G104" s="553"/>
      <c r="H104" s="214" t="s">
        <v>24</v>
      </c>
      <c r="I104" s="214" t="s">
        <v>71</v>
      </c>
      <c r="J104" s="17" t="s">
        <v>2220</v>
      </c>
      <c r="K104" s="267" t="s">
        <v>1866</v>
      </c>
      <c r="L104" s="271"/>
    </row>
    <row r="105" spans="1:12" ht="36" customHeight="1">
      <c r="A105" s="606"/>
      <c r="B105" s="17" t="s">
        <v>2479</v>
      </c>
      <c r="C105" s="291" t="s">
        <v>2480</v>
      </c>
      <c r="D105" s="291" t="s">
        <v>2481</v>
      </c>
      <c r="E105" s="291" t="s">
        <v>2482</v>
      </c>
      <c r="F105" s="553"/>
      <c r="G105" s="553"/>
      <c r="H105" s="291" t="s">
        <v>24</v>
      </c>
      <c r="I105" s="291" t="s">
        <v>71</v>
      </c>
      <c r="J105" s="17" t="s">
        <v>2483</v>
      </c>
      <c r="K105" s="267" t="s">
        <v>1866</v>
      </c>
      <c r="L105" s="271"/>
    </row>
    <row r="106" spans="1:12" ht="36" customHeight="1">
      <c r="A106" s="606"/>
      <c r="B106" s="17" t="s">
        <v>2221</v>
      </c>
      <c r="C106" s="214" t="s">
        <v>2222</v>
      </c>
      <c r="D106" s="214" t="s">
        <v>2223</v>
      </c>
      <c r="E106" s="214" t="s">
        <v>1864</v>
      </c>
      <c r="F106" s="553"/>
      <c r="G106" s="553"/>
      <c r="H106" s="214" t="s">
        <v>24</v>
      </c>
      <c r="I106" s="214" t="s">
        <v>71</v>
      </c>
      <c r="J106" s="17" t="s">
        <v>2224</v>
      </c>
      <c r="K106" s="267" t="s">
        <v>1866</v>
      </c>
      <c r="L106" s="271"/>
    </row>
    <row r="107" spans="1:12" ht="36" customHeight="1">
      <c r="A107" s="606"/>
      <c r="B107" s="17" t="s">
        <v>2225</v>
      </c>
      <c r="C107" s="214" t="s">
        <v>2226</v>
      </c>
      <c r="D107" s="214" t="s">
        <v>2227</v>
      </c>
      <c r="E107" s="214" t="s">
        <v>1864</v>
      </c>
      <c r="F107" s="553"/>
      <c r="G107" s="553"/>
      <c r="H107" s="214" t="s">
        <v>24</v>
      </c>
      <c r="I107" s="214" t="s">
        <v>71</v>
      </c>
      <c r="J107" s="17" t="s">
        <v>2228</v>
      </c>
      <c r="K107" s="267" t="s">
        <v>1866</v>
      </c>
      <c r="L107" s="271"/>
    </row>
    <row r="108" spans="1:12" ht="36" customHeight="1">
      <c r="A108" s="606"/>
      <c r="B108" s="17" t="s">
        <v>2229</v>
      </c>
      <c r="C108" s="214" t="s">
        <v>2230</v>
      </c>
      <c r="D108" s="214" t="s">
        <v>2231</v>
      </c>
      <c r="E108" s="214" t="s">
        <v>1864</v>
      </c>
      <c r="F108" s="553"/>
      <c r="G108" s="553"/>
      <c r="H108" s="214" t="s">
        <v>24</v>
      </c>
      <c r="I108" s="214" t="s">
        <v>71</v>
      </c>
      <c r="J108" s="17" t="s">
        <v>2232</v>
      </c>
      <c r="K108" s="267" t="s">
        <v>1866</v>
      </c>
      <c r="L108" s="271"/>
    </row>
    <row r="109" spans="1:12" ht="36" customHeight="1">
      <c r="A109" s="606"/>
      <c r="B109" s="17" t="s">
        <v>2233</v>
      </c>
      <c r="C109" s="214" t="s">
        <v>2234</v>
      </c>
      <c r="D109" s="214" t="s">
        <v>2235</v>
      </c>
      <c r="E109" s="214" t="s">
        <v>1864</v>
      </c>
      <c r="F109" s="553"/>
      <c r="G109" s="553"/>
      <c r="H109" s="214" t="s">
        <v>24</v>
      </c>
      <c r="I109" s="214" t="s">
        <v>71</v>
      </c>
      <c r="J109" s="17" t="s">
        <v>2236</v>
      </c>
      <c r="K109" s="267" t="s">
        <v>1866</v>
      </c>
      <c r="L109" s="271"/>
    </row>
    <row r="110" spans="1:12" ht="36" customHeight="1">
      <c r="A110" s="606"/>
      <c r="B110" s="17" t="s">
        <v>2237</v>
      </c>
      <c r="C110" s="214" t="s">
        <v>2238</v>
      </c>
      <c r="D110" s="214" t="s">
        <v>2239</v>
      </c>
      <c r="E110" s="214" t="s">
        <v>1864</v>
      </c>
      <c r="F110" s="553"/>
      <c r="G110" s="553"/>
      <c r="H110" s="214" t="s">
        <v>24</v>
      </c>
      <c r="I110" s="214" t="s">
        <v>71</v>
      </c>
      <c r="J110" s="17" t="s">
        <v>2240</v>
      </c>
      <c r="K110" s="267" t="s">
        <v>1866</v>
      </c>
      <c r="L110" s="271"/>
    </row>
    <row r="111" spans="1:12" ht="36" customHeight="1">
      <c r="A111" s="606"/>
      <c r="B111" s="17" t="s">
        <v>2241</v>
      </c>
      <c r="C111" s="214" t="s">
        <v>2242</v>
      </c>
      <c r="D111" s="214" t="s">
        <v>2243</v>
      </c>
      <c r="E111" s="214" t="s">
        <v>1864</v>
      </c>
      <c r="F111" s="553"/>
      <c r="G111" s="553"/>
      <c r="H111" s="214" t="s">
        <v>24</v>
      </c>
      <c r="I111" s="214" t="s">
        <v>71</v>
      </c>
      <c r="J111" s="17" t="s">
        <v>2244</v>
      </c>
      <c r="K111" s="267" t="s">
        <v>1866</v>
      </c>
      <c r="L111" s="271"/>
    </row>
    <row r="112" spans="1:12" ht="36" customHeight="1">
      <c r="A112" s="606"/>
      <c r="B112" s="17" t="s">
        <v>2245</v>
      </c>
      <c r="C112" s="214" t="s">
        <v>2246</v>
      </c>
      <c r="D112" s="214" t="s">
        <v>2247</v>
      </c>
      <c r="E112" s="214" t="s">
        <v>1864</v>
      </c>
      <c r="F112" s="553"/>
      <c r="G112" s="553"/>
      <c r="H112" s="214" t="s">
        <v>24</v>
      </c>
      <c r="I112" s="214" t="s">
        <v>71</v>
      </c>
      <c r="J112" s="17" t="s">
        <v>2248</v>
      </c>
      <c r="K112" s="267" t="s">
        <v>1866</v>
      </c>
      <c r="L112" s="271"/>
    </row>
    <row r="113" spans="1:12" ht="36" customHeight="1">
      <c r="A113" s="606"/>
      <c r="B113" s="17" t="s">
        <v>2249</v>
      </c>
      <c r="C113" s="214" t="s">
        <v>2250</v>
      </c>
      <c r="D113" s="214" t="s">
        <v>2251</v>
      </c>
      <c r="E113" s="214" t="s">
        <v>1864</v>
      </c>
      <c r="F113" s="553"/>
      <c r="G113" s="553"/>
      <c r="H113" s="214" t="s">
        <v>24</v>
      </c>
      <c r="I113" s="214" t="s">
        <v>71</v>
      </c>
      <c r="J113" s="17" t="s">
        <v>2252</v>
      </c>
      <c r="K113" s="267" t="s">
        <v>1866</v>
      </c>
      <c r="L113" s="271"/>
    </row>
    <row r="114" spans="1:12" ht="36" customHeight="1">
      <c r="A114" s="606"/>
      <c r="B114" s="17" t="s">
        <v>2253</v>
      </c>
      <c r="C114" s="214" t="s">
        <v>2254</v>
      </c>
      <c r="D114" s="214" t="s">
        <v>2255</v>
      </c>
      <c r="E114" s="214" t="s">
        <v>1864</v>
      </c>
      <c r="F114" s="553"/>
      <c r="G114" s="553"/>
      <c r="H114" s="214" t="s">
        <v>24</v>
      </c>
      <c r="I114" s="214" t="s">
        <v>71</v>
      </c>
      <c r="J114" s="17" t="s">
        <v>2256</v>
      </c>
      <c r="K114" s="267" t="s">
        <v>1866</v>
      </c>
      <c r="L114" s="271"/>
    </row>
    <row r="115" spans="1:12" ht="36" customHeight="1">
      <c r="A115" s="606"/>
      <c r="B115" s="17" t="s">
        <v>2257</v>
      </c>
      <c r="C115" s="214" t="s">
        <v>2258</v>
      </c>
      <c r="D115" s="214" t="s">
        <v>2259</v>
      </c>
      <c r="E115" s="214" t="s">
        <v>1864</v>
      </c>
      <c r="F115" s="553"/>
      <c r="G115" s="553"/>
      <c r="H115" s="214" t="s">
        <v>24</v>
      </c>
      <c r="I115" s="214" t="s">
        <v>71</v>
      </c>
      <c r="J115" s="17" t="s">
        <v>2260</v>
      </c>
      <c r="K115" s="267" t="s">
        <v>1866</v>
      </c>
      <c r="L115" s="271"/>
    </row>
    <row r="116" spans="1:12" ht="36" customHeight="1">
      <c r="A116" s="606"/>
      <c r="B116" s="17" t="s">
        <v>2261</v>
      </c>
      <c r="C116" s="214" t="s">
        <v>2262</v>
      </c>
      <c r="D116" s="214" t="s">
        <v>2263</v>
      </c>
      <c r="E116" s="214" t="s">
        <v>1864</v>
      </c>
      <c r="F116" s="553"/>
      <c r="G116" s="553"/>
      <c r="H116" s="214" t="s">
        <v>24</v>
      </c>
      <c r="I116" s="214" t="s">
        <v>71</v>
      </c>
      <c r="J116" s="17" t="s">
        <v>2264</v>
      </c>
      <c r="K116" s="267" t="s">
        <v>1866</v>
      </c>
      <c r="L116" s="271"/>
    </row>
    <row r="117" spans="1:12" ht="36" customHeight="1">
      <c r="A117" s="606"/>
      <c r="B117" s="17" t="s">
        <v>2265</v>
      </c>
      <c r="C117" s="214" t="s">
        <v>2266</v>
      </c>
      <c r="D117" s="214" t="s">
        <v>2267</v>
      </c>
      <c r="E117" s="214" t="s">
        <v>1864</v>
      </c>
      <c r="F117" s="553"/>
      <c r="G117" s="553"/>
      <c r="H117" s="214" t="s">
        <v>24</v>
      </c>
      <c r="I117" s="214" t="s">
        <v>71</v>
      </c>
      <c r="J117" s="17" t="s">
        <v>2268</v>
      </c>
      <c r="K117" s="267" t="s">
        <v>1866</v>
      </c>
      <c r="L117" s="271"/>
    </row>
    <row r="118" spans="1:12" ht="36" customHeight="1">
      <c r="A118" s="606"/>
      <c r="B118" s="17" t="s">
        <v>2269</v>
      </c>
      <c r="C118" s="214" t="s">
        <v>2270</v>
      </c>
      <c r="D118" s="214" t="s">
        <v>2271</v>
      </c>
      <c r="E118" s="214" t="s">
        <v>1864</v>
      </c>
      <c r="F118" s="553"/>
      <c r="G118" s="553"/>
      <c r="H118" s="214" t="s">
        <v>24</v>
      </c>
      <c r="I118" s="214" t="s">
        <v>71</v>
      </c>
      <c r="J118" s="17" t="s">
        <v>2272</v>
      </c>
      <c r="K118" s="267" t="s">
        <v>1866</v>
      </c>
      <c r="L118" s="271"/>
    </row>
    <row r="119" spans="1:12" ht="36" customHeight="1">
      <c r="A119" s="606"/>
      <c r="B119" s="17" t="s">
        <v>2273</v>
      </c>
      <c r="C119" s="214" t="s">
        <v>2274</v>
      </c>
      <c r="D119" s="214" t="s">
        <v>2275</v>
      </c>
      <c r="E119" s="214" t="s">
        <v>1864</v>
      </c>
      <c r="F119" s="553"/>
      <c r="G119" s="553"/>
      <c r="H119" s="214" t="s">
        <v>24</v>
      </c>
      <c r="I119" s="214" t="s">
        <v>71</v>
      </c>
      <c r="J119" s="17" t="s">
        <v>2276</v>
      </c>
      <c r="K119" s="267" t="s">
        <v>1866</v>
      </c>
      <c r="L119" s="271"/>
    </row>
    <row r="120" spans="1:12" ht="36" customHeight="1">
      <c r="A120" s="606"/>
      <c r="B120" s="17" t="s">
        <v>2277</v>
      </c>
      <c r="C120" s="214" t="s">
        <v>2278</v>
      </c>
      <c r="D120" s="214" t="s">
        <v>2279</v>
      </c>
      <c r="E120" s="214" t="s">
        <v>1864</v>
      </c>
      <c r="F120" s="553"/>
      <c r="G120" s="553"/>
      <c r="H120" s="214" t="s">
        <v>24</v>
      </c>
      <c r="I120" s="214" t="s">
        <v>71</v>
      </c>
      <c r="J120" s="17" t="s">
        <v>2280</v>
      </c>
      <c r="K120" s="267" t="s">
        <v>1866</v>
      </c>
      <c r="L120" s="271"/>
    </row>
    <row r="121" spans="1:12" ht="36" customHeight="1">
      <c r="A121" s="606"/>
      <c r="B121" s="17" t="s">
        <v>2281</v>
      </c>
      <c r="C121" s="214" t="s">
        <v>2282</v>
      </c>
      <c r="D121" s="214" t="s">
        <v>2283</v>
      </c>
      <c r="E121" s="214" t="s">
        <v>1864</v>
      </c>
      <c r="F121" s="553"/>
      <c r="G121" s="553"/>
      <c r="H121" s="214" t="s">
        <v>24</v>
      </c>
      <c r="I121" s="214" t="s">
        <v>71</v>
      </c>
      <c r="J121" s="17" t="s">
        <v>2284</v>
      </c>
      <c r="K121" s="267" t="s">
        <v>1866</v>
      </c>
      <c r="L121" s="271"/>
    </row>
    <row r="122" spans="1:12" ht="36" customHeight="1">
      <c r="A122" s="606"/>
      <c r="B122" s="17" t="s">
        <v>2755</v>
      </c>
      <c r="C122" s="358" t="s">
        <v>2757</v>
      </c>
      <c r="D122" s="358" t="s">
        <v>2758</v>
      </c>
      <c r="E122" s="214" t="s">
        <v>1864</v>
      </c>
      <c r="F122" s="553"/>
      <c r="G122" s="553"/>
      <c r="H122" s="214" t="s">
        <v>24</v>
      </c>
      <c r="I122" s="214" t="s">
        <v>71</v>
      </c>
      <c r="J122" s="17" t="s">
        <v>2761</v>
      </c>
      <c r="K122" s="267" t="s">
        <v>1866</v>
      </c>
      <c r="L122" s="271"/>
    </row>
    <row r="123" spans="1:12" ht="36" customHeight="1">
      <c r="A123" s="606"/>
      <c r="B123" s="17" t="s">
        <v>2756</v>
      </c>
      <c r="C123" s="358" t="s">
        <v>2759</v>
      </c>
      <c r="D123" s="358" t="s">
        <v>2760</v>
      </c>
      <c r="E123" s="214" t="s">
        <v>1864</v>
      </c>
      <c r="F123" s="553"/>
      <c r="G123" s="553"/>
      <c r="H123" s="214" t="s">
        <v>24</v>
      </c>
      <c r="I123" s="214" t="s">
        <v>71</v>
      </c>
      <c r="J123" s="17" t="s">
        <v>2762</v>
      </c>
      <c r="K123" s="267" t="s">
        <v>1866</v>
      </c>
      <c r="L123" s="271"/>
    </row>
    <row r="124" spans="1:12" ht="36" customHeight="1">
      <c r="A124" s="606"/>
      <c r="B124" s="17" t="s">
        <v>2285</v>
      </c>
      <c r="C124" s="214" t="s">
        <v>2286</v>
      </c>
      <c r="D124" s="214" t="s">
        <v>2287</v>
      </c>
      <c r="E124" s="214" t="s">
        <v>1864</v>
      </c>
      <c r="F124" s="553"/>
      <c r="G124" s="553"/>
      <c r="H124" s="214" t="s">
        <v>24</v>
      </c>
      <c r="I124" s="214" t="s">
        <v>71</v>
      </c>
      <c r="J124" s="17" t="s">
        <v>2288</v>
      </c>
      <c r="K124" s="267" t="s">
        <v>1866</v>
      </c>
      <c r="L124" s="271"/>
    </row>
    <row r="125" spans="1:12" ht="36" customHeight="1">
      <c r="A125" s="606"/>
      <c r="B125" s="17" t="s">
        <v>2289</v>
      </c>
      <c r="C125" s="214" t="s">
        <v>2290</v>
      </c>
      <c r="D125" s="214" t="s">
        <v>2291</v>
      </c>
      <c r="E125" s="214" t="s">
        <v>1864</v>
      </c>
      <c r="F125" s="553"/>
      <c r="G125" s="553"/>
      <c r="H125" s="214" t="s">
        <v>24</v>
      </c>
      <c r="I125" s="214" t="s">
        <v>71</v>
      </c>
      <c r="J125" s="17" t="s">
        <v>2292</v>
      </c>
      <c r="K125" s="267" t="s">
        <v>1866</v>
      </c>
      <c r="L125" s="271"/>
    </row>
    <row r="126" spans="1:12" ht="36" customHeight="1">
      <c r="A126" s="606"/>
      <c r="B126" s="17" t="s">
        <v>2293</v>
      </c>
      <c r="C126" s="214" t="s">
        <v>2294</v>
      </c>
      <c r="D126" s="214" t="s">
        <v>2295</v>
      </c>
      <c r="E126" s="214" t="s">
        <v>1864</v>
      </c>
      <c r="F126" s="553"/>
      <c r="G126" s="553"/>
      <c r="H126" s="214" t="s">
        <v>24</v>
      </c>
      <c r="I126" s="214" t="s">
        <v>71</v>
      </c>
      <c r="J126" s="17" t="s">
        <v>2296</v>
      </c>
      <c r="K126" s="267" t="s">
        <v>1866</v>
      </c>
      <c r="L126" s="271"/>
    </row>
    <row r="127" spans="1:12" ht="36" customHeight="1">
      <c r="A127" s="606"/>
      <c r="B127" s="17" t="s">
        <v>2297</v>
      </c>
      <c r="C127" s="214" t="s">
        <v>2298</v>
      </c>
      <c r="D127" s="214" t="s">
        <v>2299</v>
      </c>
      <c r="E127" s="214" t="s">
        <v>1864</v>
      </c>
      <c r="F127" s="553"/>
      <c r="G127" s="553"/>
      <c r="H127" s="214" t="s">
        <v>24</v>
      </c>
      <c r="I127" s="214" t="s">
        <v>71</v>
      </c>
      <c r="J127" s="17" t="s">
        <v>2300</v>
      </c>
      <c r="K127" s="267" t="s">
        <v>1866</v>
      </c>
      <c r="L127" s="271"/>
    </row>
    <row r="128" spans="1:12" ht="36" customHeight="1">
      <c r="A128" s="606"/>
      <c r="B128" s="17" t="s">
        <v>2301</v>
      </c>
      <c r="C128" s="214" t="s">
        <v>2302</v>
      </c>
      <c r="D128" s="214" t="s">
        <v>2303</v>
      </c>
      <c r="E128" s="214" t="s">
        <v>1864</v>
      </c>
      <c r="F128" s="553"/>
      <c r="G128" s="553"/>
      <c r="H128" s="214" t="s">
        <v>24</v>
      </c>
      <c r="I128" s="214" t="s">
        <v>71</v>
      </c>
      <c r="J128" s="17" t="s">
        <v>2304</v>
      </c>
      <c r="K128" s="267" t="s">
        <v>1866</v>
      </c>
      <c r="L128" s="271"/>
    </row>
    <row r="129" spans="1:12" ht="36" customHeight="1">
      <c r="A129" s="606"/>
      <c r="B129" s="17" t="s">
        <v>2305</v>
      </c>
      <c r="C129" s="214" t="s">
        <v>2306</v>
      </c>
      <c r="D129" s="214" t="s">
        <v>2307</v>
      </c>
      <c r="E129" s="214" t="s">
        <v>1864</v>
      </c>
      <c r="F129" s="553"/>
      <c r="G129" s="553"/>
      <c r="H129" s="214" t="s">
        <v>24</v>
      </c>
      <c r="I129" s="214" t="s">
        <v>71</v>
      </c>
      <c r="J129" s="17" t="s">
        <v>2308</v>
      </c>
      <c r="K129" s="267" t="s">
        <v>1866</v>
      </c>
      <c r="L129" s="271"/>
    </row>
    <row r="130" spans="1:12" ht="36" customHeight="1">
      <c r="A130" s="606"/>
      <c r="B130" s="17" t="s">
        <v>2309</v>
      </c>
      <c r="C130" s="214" t="s">
        <v>2310</v>
      </c>
      <c r="D130" s="214" t="s">
        <v>2311</v>
      </c>
      <c r="E130" s="214" t="s">
        <v>1864</v>
      </c>
      <c r="F130" s="553"/>
      <c r="G130" s="553"/>
      <c r="H130" s="214" t="s">
        <v>24</v>
      </c>
      <c r="I130" s="214" t="s">
        <v>71</v>
      </c>
      <c r="J130" s="17" t="s">
        <v>2312</v>
      </c>
      <c r="K130" s="267" t="s">
        <v>1866</v>
      </c>
      <c r="L130" s="271"/>
    </row>
    <row r="131" spans="1:12" ht="36" customHeight="1">
      <c r="A131" s="606"/>
      <c r="B131" s="17" t="s">
        <v>2313</v>
      </c>
      <c r="C131" s="214" t="s">
        <v>2314</v>
      </c>
      <c r="D131" s="214" t="s">
        <v>2315</v>
      </c>
      <c r="E131" s="214" t="s">
        <v>1864</v>
      </c>
      <c r="F131" s="553"/>
      <c r="G131" s="553"/>
      <c r="H131" s="214" t="s">
        <v>24</v>
      </c>
      <c r="I131" s="214" t="s">
        <v>71</v>
      </c>
      <c r="J131" s="17" t="s">
        <v>2316</v>
      </c>
      <c r="K131" s="267" t="s">
        <v>1866</v>
      </c>
      <c r="L131" s="271"/>
    </row>
    <row r="132" spans="1:12" ht="36" customHeight="1">
      <c r="A132" s="606"/>
      <c r="B132" s="17" t="s">
        <v>2317</v>
      </c>
      <c r="C132" s="214" t="s">
        <v>2318</v>
      </c>
      <c r="D132" s="214" t="s">
        <v>2319</v>
      </c>
      <c r="E132" s="214" t="s">
        <v>1864</v>
      </c>
      <c r="F132" s="553"/>
      <c r="G132" s="553"/>
      <c r="H132" s="214" t="s">
        <v>24</v>
      </c>
      <c r="I132" s="214" t="s">
        <v>71</v>
      </c>
      <c r="J132" s="17" t="s">
        <v>2320</v>
      </c>
      <c r="K132" s="267" t="s">
        <v>1866</v>
      </c>
      <c r="L132" s="271"/>
    </row>
    <row r="133" spans="1:12" ht="36" customHeight="1">
      <c r="A133" s="606"/>
      <c r="B133" s="17" t="s">
        <v>2321</v>
      </c>
      <c r="C133" s="214" t="s">
        <v>2322</v>
      </c>
      <c r="D133" s="214" t="s">
        <v>2323</v>
      </c>
      <c r="E133" s="214" t="s">
        <v>1864</v>
      </c>
      <c r="F133" s="553"/>
      <c r="G133" s="553"/>
      <c r="H133" s="214" t="s">
        <v>24</v>
      </c>
      <c r="I133" s="214" t="s">
        <v>71</v>
      </c>
      <c r="J133" s="17" t="s">
        <v>2324</v>
      </c>
      <c r="K133" s="267" t="s">
        <v>1866</v>
      </c>
      <c r="L133" s="271"/>
    </row>
    <row r="134" spans="1:12" ht="36" customHeight="1">
      <c r="A134" s="606"/>
      <c r="B134" s="17" t="s">
        <v>2325</v>
      </c>
      <c r="C134" s="214" t="s">
        <v>2326</v>
      </c>
      <c r="D134" s="214" t="s">
        <v>2327</v>
      </c>
      <c r="E134" s="214" t="s">
        <v>1864</v>
      </c>
      <c r="F134" s="553"/>
      <c r="G134" s="553"/>
      <c r="H134" s="214" t="s">
        <v>24</v>
      </c>
      <c r="I134" s="214" t="s">
        <v>71</v>
      </c>
      <c r="J134" s="17" t="s">
        <v>2328</v>
      </c>
      <c r="K134" s="267" t="s">
        <v>1866</v>
      </c>
      <c r="L134" s="271"/>
    </row>
    <row r="135" spans="1:12" ht="36" customHeight="1">
      <c r="A135" s="606"/>
      <c r="B135" s="17" t="s">
        <v>2329</v>
      </c>
      <c r="C135" s="214" t="s">
        <v>2330</v>
      </c>
      <c r="D135" s="214" t="s">
        <v>2331</v>
      </c>
      <c r="E135" s="214" t="s">
        <v>1864</v>
      </c>
      <c r="F135" s="553"/>
      <c r="G135" s="553"/>
      <c r="H135" s="214" t="s">
        <v>24</v>
      </c>
      <c r="I135" s="214" t="s">
        <v>71</v>
      </c>
      <c r="J135" s="17" t="s">
        <v>2332</v>
      </c>
      <c r="K135" s="267" t="s">
        <v>1866</v>
      </c>
      <c r="L135" s="271"/>
    </row>
    <row r="136" spans="1:12" ht="36" customHeight="1">
      <c r="A136" s="606"/>
      <c r="B136" s="17" t="s">
        <v>2333</v>
      </c>
      <c r="C136" s="214" t="s">
        <v>2334</v>
      </c>
      <c r="D136" s="214" t="s">
        <v>2335</v>
      </c>
      <c r="E136" s="214" t="s">
        <v>1864</v>
      </c>
      <c r="F136" s="553"/>
      <c r="G136" s="553"/>
      <c r="H136" s="214" t="s">
        <v>24</v>
      </c>
      <c r="I136" s="214" t="s">
        <v>71</v>
      </c>
      <c r="J136" s="17" t="s">
        <v>2336</v>
      </c>
      <c r="K136" s="267" t="s">
        <v>1866</v>
      </c>
      <c r="L136" s="271"/>
    </row>
    <row r="137" spans="1:12" ht="36" customHeight="1">
      <c r="A137" s="606"/>
      <c r="B137" s="17" t="s">
        <v>2337</v>
      </c>
      <c r="C137" s="214" t="s">
        <v>2338</v>
      </c>
      <c r="D137" s="214" t="s">
        <v>2339</v>
      </c>
      <c r="E137" s="214" t="s">
        <v>1864</v>
      </c>
      <c r="F137" s="553"/>
      <c r="G137" s="553"/>
      <c r="H137" s="214" t="s">
        <v>24</v>
      </c>
      <c r="I137" s="214" t="s">
        <v>71</v>
      </c>
      <c r="J137" s="17" t="s">
        <v>2340</v>
      </c>
      <c r="K137" s="267" t="s">
        <v>1866</v>
      </c>
      <c r="L137" s="271"/>
    </row>
    <row r="138" spans="1:12" ht="36" customHeight="1">
      <c r="A138" s="607"/>
      <c r="B138" s="17" t="s">
        <v>2341</v>
      </c>
      <c r="C138" s="214" t="s">
        <v>2342</v>
      </c>
      <c r="D138" s="214" t="s">
        <v>2343</v>
      </c>
      <c r="E138" s="214" t="s">
        <v>1864</v>
      </c>
      <c r="F138" s="554"/>
      <c r="G138" s="554"/>
      <c r="H138" s="214" t="s">
        <v>24</v>
      </c>
      <c r="I138" s="214" t="s">
        <v>71</v>
      </c>
      <c r="J138" s="17" t="s">
        <v>2344</v>
      </c>
      <c r="K138" s="267" t="s">
        <v>1866</v>
      </c>
      <c r="L138" s="271"/>
    </row>
    <row r="139" spans="1:12" ht="36" customHeight="1">
      <c r="A139" s="603" t="s">
        <v>2345</v>
      </c>
      <c r="B139" s="17" t="s">
        <v>2346</v>
      </c>
      <c r="C139" s="214" t="s">
        <v>2347</v>
      </c>
      <c r="D139" s="214" t="s">
        <v>2348</v>
      </c>
      <c r="E139" s="214" t="s">
        <v>1864</v>
      </c>
      <c r="F139" s="532" t="s">
        <v>2390</v>
      </c>
      <c r="G139" s="532" t="s">
        <v>2390</v>
      </c>
      <c r="H139" s="214" t="s">
        <v>24</v>
      </c>
      <c r="I139" s="214" t="s">
        <v>71</v>
      </c>
      <c r="J139" s="22" t="s">
        <v>2349</v>
      </c>
      <c r="K139" s="267" t="s">
        <v>1866</v>
      </c>
      <c r="L139" s="271"/>
    </row>
    <row r="140" spans="1:12" ht="36" customHeight="1">
      <c r="A140" s="606"/>
      <c r="B140" s="17" t="s">
        <v>2350</v>
      </c>
      <c r="C140" s="214" t="s">
        <v>2351</v>
      </c>
      <c r="D140" s="214" t="s">
        <v>2352</v>
      </c>
      <c r="E140" s="214" t="s">
        <v>1864</v>
      </c>
      <c r="F140" s="533"/>
      <c r="G140" s="533"/>
      <c r="H140" s="214" t="s">
        <v>24</v>
      </c>
      <c r="I140" s="214" t="s">
        <v>71</v>
      </c>
      <c r="J140" s="22" t="s">
        <v>2353</v>
      </c>
      <c r="K140" s="267" t="s">
        <v>1866</v>
      </c>
      <c r="L140" s="271"/>
    </row>
    <row r="141" spans="1:12" ht="36" customHeight="1">
      <c r="A141" s="606"/>
      <c r="B141" s="17" t="s">
        <v>2354</v>
      </c>
      <c r="C141" s="214" t="s">
        <v>2355</v>
      </c>
      <c r="D141" s="214" t="s">
        <v>2356</v>
      </c>
      <c r="E141" s="214" t="s">
        <v>1864</v>
      </c>
      <c r="F141" s="533"/>
      <c r="G141" s="533"/>
      <c r="H141" s="214" t="s">
        <v>24</v>
      </c>
      <c r="I141" s="214" t="s">
        <v>71</v>
      </c>
      <c r="J141" s="17" t="s">
        <v>2357</v>
      </c>
      <c r="K141" s="267" t="s">
        <v>1866</v>
      </c>
      <c r="L141" s="271"/>
    </row>
    <row r="142" spans="1:12" ht="36" customHeight="1">
      <c r="A142" s="606"/>
      <c r="B142" s="17" t="s">
        <v>2358</v>
      </c>
      <c r="C142" s="214" t="s">
        <v>2359</v>
      </c>
      <c r="D142" s="214" t="s">
        <v>2360</v>
      </c>
      <c r="E142" s="214" t="s">
        <v>1864</v>
      </c>
      <c r="F142" s="533"/>
      <c r="G142" s="533"/>
      <c r="H142" s="214" t="s">
        <v>24</v>
      </c>
      <c r="I142" s="214" t="s">
        <v>71</v>
      </c>
      <c r="J142" s="17" t="s">
        <v>2361</v>
      </c>
      <c r="K142" s="267" t="s">
        <v>1866</v>
      </c>
      <c r="L142" s="271"/>
    </row>
    <row r="143" spans="1:12" ht="36" customHeight="1">
      <c r="A143" s="606"/>
      <c r="B143" s="17" t="s">
        <v>2362</v>
      </c>
      <c r="C143" s="214" t="s">
        <v>2363</v>
      </c>
      <c r="D143" s="214" t="s">
        <v>2364</v>
      </c>
      <c r="E143" s="214" t="s">
        <v>1864</v>
      </c>
      <c r="F143" s="533"/>
      <c r="G143" s="533"/>
      <c r="H143" s="214" t="s">
        <v>24</v>
      </c>
      <c r="I143" s="214" t="s">
        <v>71</v>
      </c>
      <c r="J143" s="17" t="s">
        <v>2365</v>
      </c>
      <c r="K143" s="267" t="s">
        <v>1866</v>
      </c>
      <c r="L143" s="271"/>
    </row>
    <row r="144" spans="1:12" ht="36" customHeight="1">
      <c r="A144" s="606"/>
      <c r="B144" s="17" t="s">
        <v>2366</v>
      </c>
      <c r="C144" s="214" t="s">
        <v>2367</v>
      </c>
      <c r="D144" s="214" t="s">
        <v>2368</v>
      </c>
      <c r="E144" s="214" t="s">
        <v>1864</v>
      </c>
      <c r="F144" s="533"/>
      <c r="G144" s="533"/>
      <c r="H144" s="214" t="s">
        <v>24</v>
      </c>
      <c r="I144" s="214" t="s">
        <v>71</v>
      </c>
      <c r="J144" s="17" t="s">
        <v>2369</v>
      </c>
      <c r="K144" s="267" t="s">
        <v>1866</v>
      </c>
      <c r="L144" s="271"/>
    </row>
    <row r="145" spans="1:12" ht="36" customHeight="1">
      <c r="A145" s="606"/>
      <c r="B145" s="17" t="s">
        <v>2370</v>
      </c>
      <c r="C145" s="214" t="s">
        <v>2371</v>
      </c>
      <c r="D145" s="214" t="s">
        <v>2372</v>
      </c>
      <c r="E145" s="214" t="s">
        <v>1864</v>
      </c>
      <c r="F145" s="533"/>
      <c r="G145" s="533"/>
      <c r="H145" s="214" t="s">
        <v>24</v>
      </c>
      <c r="I145" s="214" t="s">
        <v>71</v>
      </c>
      <c r="J145" s="17" t="s">
        <v>2373</v>
      </c>
      <c r="K145" s="267" t="s">
        <v>1866</v>
      </c>
      <c r="L145" s="271"/>
    </row>
    <row r="146" spans="1:12" ht="36" customHeight="1">
      <c r="A146" s="606"/>
      <c r="B146" s="17" t="s">
        <v>2374</v>
      </c>
      <c r="C146" s="214" t="s">
        <v>2375</v>
      </c>
      <c r="D146" s="214" t="s">
        <v>2376</v>
      </c>
      <c r="E146" s="214" t="s">
        <v>1864</v>
      </c>
      <c r="F146" s="533"/>
      <c r="G146" s="533"/>
      <c r="H146" s="214" t="s">
        <v>24</v>
      </c>
      <c r="I146" s="214" t="s">
        <v>71</v>
      </c>
      <c r="J146" s="17" t="s">
        <v>2377</v>
      </c>
      <c r="K146" s="267" t="s">
        <v>1866</v>
      </c>
      <c r="L146" s="271"/>
    </row>
    <row r="147" spans="1:12" ht="36" customHeight="1">
      <c r="A147" s="606"/>
      <c r="B147" s="17" t="s">
        <v>2378</v>
      </c>
      <c r="C147" s="214" t="s">
        <v>2379</v>
      </c>
      <c r="D147" s="214" t="s">
        <v>2380</v>
      </c>
      <c r="E147" s="214" t="s">
        <v>1864</v>
      </c>
      <c r="F147" s="533"/>
      <c r="G147" s="533"/>
      <c r="H147" s="214" t="s">
        <v>24</v>
      </c>
      <c r="I147" s="214" t="s">
        <v>71</v>
      </c>
      <c r="J147" s="17" t="s">
        <v>2381</v>
      </c>
      <c r="K147" s="267" t="s">
        <v>1866</v>
      </c>
      <c r="L147" s="271"/>
    </row>
    <row r="148" spans="1:12" ht="36" customHeight="1">
      <c r="A148" s="606"/>
      <c r="B148" s="17" t="s">
        <v>2382</v>
      </c>
      <c r="C148" s="214" t="s">
        <v>2383</v>
      </c>
      <c r="D148" s="214" t="s">
        <v>2384</v>
      </c>
      <c r="E148" s="214" t="s">
        <v>1864</v>
      </c>
      <c r="F148" s="533"/>
      <c r="G148" s="533"/>
      <c r="H148" s="214" t="s">
        <v>24</v>
      </c>
      <c r="I148" s="214" t="s">
        <v>71</v>
      </c>
      <c r="J148" s="17" t="s">
        <v>2385</v>
      </c>
      <c r="K148" s="267" t="s">
        <v>1866</v>
      </c>
      <c r="L148" s="271"/>
    </row>
    <row r="149" spans="1:12" ht="36" customHeight="1">
      <c r="A149" s="607"/>
      <c r="B149" s="17" t="s">
        <v>2386</v>
      </c>
      <c r="C149" s="214" t="s">
        <v>2387</v>
      </c>
      <c r="D149" s="214" t="s">
        <v>2388</v>
      </c>
      <c r="E149" s="214" t="s">
        <v>1864</v>
      </c>
      <c r="F149" s="534"/>
      <c r="G149" s="534"/>
      <c r="H149" s="214" t="s">
        <v>24</v>
      </c>
      <c r="I149" s="214" t="s">
        <v>71</v>
      </c>
      <c r="J149" s="17" t="s">
        <v>2389</v>
      </c>
      <c r="K149" s="267" t="s">
        <v>1866</v>
      </c>
      <c r="L149" s="271"/>
    </row>
  </sheetData>
  <mergeCells count="18">
    <mergeCell ref="F139:F149"/>
    <mergeCell ref="G139:G149"/>
    <mergeCell ref="F12:F20"/>
    <mergeCell ref="G12:G20"/>
    <mergeCell ref="F21:F49"/>
    <mergeCell ref="G21:G49"/>
    <mergeCell ref="A2:A8"/>
    <mergeCell ref="F50:F86"/>
    <mergeCell ref="G50:G86"/>
    <mergeCell ref="F87:F138"/>
    <mergeCell ref="G87:G138"/>
    <mergeCell ref="F2:F8"/>
    <mergeCell ref="G2:G8"/>
    <mergeCell ref="A139:A149"/>
    <mergeCell ref="A12:A20"/>
    <mergeCell ref="A21:A49"/>
    <mergeCell ref="A50:A86"/>
    <mergeCell ref="A87:A138"/>
  </mergeCells>
  <phoneticPr fontId="53" type="noConversion"/>
  <pageMargins left="0.75" right="0.75" top="1" bottom="1" header="0.51180555555555596" footer="0.51180555555555596"/>
</worksheet>
</file>

<file path=xl/worksheets/sheet25.xml><?xml version="1.0" encoding="utf-8"?>
<worksheet xmlns="http://schemas.openxmlformats.org/spreadsheetml/2006/main" xmlns:r="http://schemas.openxmlformats.org/officeDocument/2006/relationships">
  <dimension ref="A1:KI58"/>
  <sheetViews>
    <sheetView zoomScale="85" zoomScaleNormal="85" workbookViewId="0">
      <selection sqref="A1:XFD1048576"/>
    </sheetView>
  </sheetViews>
  <sheetFormatPr defaultColWidth="9" defaultRowHeight="13"/>
  <cols>
    <col min="1" max="1" width="17.08984375" style="295" customWidth="1"/>
    <col min="2" max="2" width="111.54296875" style="295" customWidth="1"/>
    <col min="3" max="3" width="39.453125" style="297" customWidth="1"/>
    <col min="4" max="4" width="13.26953125" style="298" customWidth="1"/>
    <col min="5" max="5" width="9" style="295"/>
    <col min="6" max="6" width="42.7265625" style="297" customWidth="1"/>
    <col min="7" max="16384" width="9" style="295"/>
  </cols>
  <sheetData>
    <row r="1" spans="1:295" s="296" customFormat="1">
      <c r="A1" s="292" t="s">
        <v>287</v>
      </c>
      <c r="B1" s="293" t="s">
        <v>288</v>
      </c>
      <c r="C1" s="294" t="s">
        <v>3</v>
      </c>
      <c r="D1" s="293" t="s">
        <v>8</v>
      </c>
      <c r="E1" s="294" t="s">
        <v>294</v>
      </c>
      <c r="F1" s="294" t="s">
        <v>241</v>
      </c>
      <c r="G1" s="293" t="s">
        <v>295</v>
      </c>
      <c r="H1" s="295"/>
      <c r="I1" s="295"/>
      <c r="J1" s="295"/>
      <c r="K1" s="295"/>
      <c r="L1" s="295"/>
      <c r="M1" s="295"/>
      <c r="N1" s="295"/>
      <c r="O1" s="295"/>
      <c r="P1" s="295"/>
      <c r="Q1" s="295"/>
      <c r="R1" s="295"/>
      <c r="S1" s="295"/>
      <c r="T1" s="295"/>
      <c r="U1" s="295"/>
      <c r="V1" s="273"/>
      <c r="W1" s="273"/>
      <c r="X1" s="273"/>
      <c r="Y1" s="273"/>
      <c r="Z1" s="273"/>
      <c r="AA1" s="273"/>
    </row>
    <row r="2" spans="1:295" s="301" customFormat="1" ht="14.15" customHeight="1">
      <c r="A2" s="611" t="s">
        <v>2463</v>
      </c>
      <c r="B2" s="299" t="s">
        <v>2418</v>
      </c>
      <c r="C2" s="299" t="s">
        <v>2419</v>
      </c>
      <c r="D2" s="300" t="s">
        <v>1869</v>
      </c>
      <c r="E2" s="299" t="s">
        <v>2420</v>
      </c>
      <c r="F2" s="299" t="s">
        <v>1801</v>
      </c>
      <c r="G2" s="299"/>
    </row>
    <row r="3" spans="1:295" s="301" customFormat="1">
      <c r="A3" s="612"/>
      <c r="B3" s="299" t="s">
        <v>2421</v>
      </c>
      <c r="C3" s="299" t="s">
        <v>2422</v>
      </c>
      <c r="D3" s="300" t="s">
        <v>2423</v>
      </c>
      <c r="E3" s="299"/>
      <c r="F3" s="299" t="s">
        <v>1801</v>
      </c>
      <c r="G3" s="299"/>
    </row>
    <row r="4" spans="1:295" s="301" customFormat="1" ht="13" customHeight="1">
      <c r="A4" s="612"/>
      <c r="B4" s="299" t="s">
        <v>2823</v>
      </c>
      <c r="C4" s="299" t="s">
        <v>1820</v>
      </c>
      <c r="D4" s="300" t="s">
        <v>24</v>
      </c>
      <c r="E4" s="299" t="s">
        <v>2420</v>
      </c>
      <c r="F4" s="299" t="s">
        <v>1801</v>
      </c>
      <c r="G4" s="299"/>
    </row>
    <row r="5" spans="1:295" s="301" customFormat="1" ht="15.65" customHeight="1">
      <c r="A5" s="612"/>
      <c r="B5" s="299" t="s">
        <v>2424</v>
      </c>
      <c r="C5" s="299" t="s">
        <v>1821</v>
      </c>
      <c r="D5" s="300" t="s">
        <v>24</v>
      </c>
      <c r="E5" s="299" t="s">
        <v>2420</v>
      </c>
      <c r="F5" s="299" t="s">
        <v>1801</v>
      </c>
      <c r="G5" s="299"/>
    </row>
    <row r="6" spans="1:295" s="304" customFormat="1">
      <c r="A6" s="612"/>
      <c r="B6" s="299" t="s">
        <v>3072</v>
      </c>
      <c r="C6" s="299" t="s">
        <v>1809</v>
      </c>
      <c r="D6" s="300" t="s">
        <v>57</v>
      </c>
      <c r="E6" s="300"/>
      <c r="F6" s="299" t="s">
        <v>1801</v>
      </c>
      <c r="G6" s="302"/>
      <c r="H6" s="301"/>
      <c r="I6" s="301"/>
      <c r="J6" s="301"/>
      <c r="K6" s="301"/>
      <c r="L6" s="301"/>
      <c r="M6" s="301"/>
      <c r="N6" s="301"/>
      <c r="O6" s="301"/>
      <c r="P6" s="301"/>
      <c r="Q6" s="301"/>
      <c r="R6" s="301"/>
      <c r="S6" s="301"/>
      <c r="T6" s="301"/>
      <c r="U6" s="301"/>
      <c r="V6" s="303"/>
      <c r="W6" s="303"/>
      <c r="X6" s="303"/>
      <c r="Y6" s="303"/>
      <c r="Z6" s="303"/>
      <c r="AA6" s="303"/>
      <c r="AB6" s="303"/>
      <c r="AC6" s="303"/>
      <c r="AD6" s="303"/>
      <c r="AE6" s="303"/>
      <c r="AF6" s="303"/>
      <c r="AG6" s="303"/>
      <c r="AH6" s="303"/>
      <c r="AI6" s="303"/>
      <c r="AJ6" s="303"/>
      <c r="AK6" s="303"/>
      <c r="AL6" s="303"/>
      <c r="AM6" s="303"/>
      <c r="AN6" s="303"/>
      <c r="AO6" s="303"/>
      <c r="AP6" s="303"/>
      <c r="AQ6" s="303"/>
      <c r="AR6" s="303"/>
      <c r="AS6" s="303"/>
      <c r="AT6" s="303"/>
      <c r="AU6" s="303"/>
      <c r="AV6" s="303"/>
      <c r="AW6" s="303"/>
      <c r="AX6" s="303"/>
      <c r="AY6" s="303"/>
      <c r="AZ6" s="303"/>
      <c r="BA6" s="303"/>
      <c r="BB6" s="303"/>
      <c r="BC6" s="303"/>
      <c r="BD6" s="303"/>
      <c r="BE6" s="303"/>
      <c r="BF6" s="303"/>
      <c r="BG6" s="303"/>
      <c r="BH6" s="303"/>
      <c r="BI6" s="303"/>
      <c r="BJ6" s="303"/>
      <c r="BK6" s="303"/>
      <c r="BL6" s="303"/>
      <c r="BM6" s="303"/>
      <c r="BN6" s="303"/>
      <c r="BO6" s="303"/>
      <c r="BP6" s="303"/>
      <c r="BQ6" s="303"/>
      <c r="BR6" s="303"/>
      <c r="BS6" s="303"/>
      <c r="BT6" s="303"/>
      <c r="BU6" s="303"/>
      <c r="BV6" s="303"/>
      <c r="BW6" s="303"/>
      <c r="BX6" s="303"/>
      <c r="BY6" s="303"/>
      <c r="BZ6" s="303"/>
      <c r="CA6" s="303"/>
      <c r="CB6" s="303"/>
      <c r="CC6" s="303"/>
      <c r="CD6" s="303"/>
      <c r="CE6" s="303"/>
      <c r="CF6" s="303"/>
      <c r="CG6" s="303"/>
      <c r="CH6" s="303"/>
      <c r="CI6" s="303"/>
      <c r="CJ6" s="303"/>
      <c r="CK6" s="303"/>
      <c r="CL6" s="303"/>
      <c r="CM6" s="303"/>
      <c r="CN6" s="303"/>
      <c r="CO6" s="303"/>
      <c r="CP6" s="303"/>
      <c r="CQ6" s="303"/>
      <c r="CR6" s="303"/>
      <c r="CS6" s="303"/>
      <c r="CT6" s="303"/>
      <c r="CU6" s="303"/>
      <c r="CV6" s="303"/>
      <c r="CW6" s="303"/>
      <c r="CX6" s="303"/>
      <c r="CY6" s="303"/>
      <c r="CZ6" s="303"/>
      <c r="DA6" s="303"/>
      <c r="DB6" s="303"/>
      <c r="DC6" s="303"/>
      <c r="DD6" s="303"/>
      <c r="DE6" s="303"/>
      <c r="DF6" s="303"/>
      <c r="DG6" s="303"/>
      <c r="DH6" s="303"/>
      <c r="DI6" s="303"/>
      <c r="DJ6" s="303"/>
      <c r="DK6" s="303"/>
      <c r="DL6" s="303"/>
      <c r="DM6" s="303"/>
      <c r="DN6" s="303"/>
      <c r="DO6" s="303"/>
      <c r="DP6" s="303"/>
      <c r="DQ6" s="303"/>
      <c r="DR6" s="303"/>
      <c r="DS6" s="303"/>
      <c r="DT6" s="303"/>
      <c r="DU6" s="303"/>
      <c r="DV6" s="303"/>
      <c r="DW6" s="303"/>
      <c r="DX6" s="303"/>
      <c r="DY6" s="303"/>
      <c r="DZ6" s="303"/>
      <c r="EA6" s="303"/>
      <c r="EB6" s="303"/>
      <c r="EC6" s="303"/>
      <c r="ED6" s="303"/>
      <c r="EE6" s="303"/>
      <c r="EF6" s="303"/>
      <c r="EG6" s="303"/>
      <c r="EH6" s="303"/>
      <c r="EI6" s="303"/>
      <c r="EJ6" s="303"/>
      <c r="EK6" s="303"/>
      <c r="EL6" s="303"/>
      <c r="EM6" s="303"/>
      <c r="EN6" s="303"/>
      <c r="EO6" s="303"/>
      <c r="EP6" s="303"/>
      <c r="EQ6" s="303"/>
      <c r="ER6" s="303"/>
      <c r="ES6" s="303"/>
      <c r="ET6" s="303"/>
      <c r="EU6" s="303"/>
      <c r="EV6" s="303"/>
      <c r="EW6" s="303"/>
      <c r="EX6" s="303"/>
      <c r="EY6" s="303"/>
      <c r="EZ6" s="303"/>
      <c r="FA6" s="303"/>
      <c r="FB6" s="303"/>
      <c r="FC6" s="303"/>
      <c r="FD6" s="303"/>
      <c r="FE6" s="303"/>
      <c r="FF6" s="303"/>
      <c r="FG6" s="303"/>
      <c r="FH6" s="303"/>
      <c r="FI6" s="303"/>
      <c r="FJ6" s="303"/>
      <c r="FK6" s="303"/>
      <c r="FL6" s="303"/>
      <c r="FM6" s="303"/>
      <c r="FN6" s="303"/>
      <c r="FO6" s="303"/>
      <c r="FP6" s="303"/>
      <c r="FQ6" s="303"/>
      <c r="FR6" s="303"/>
      <c r="FS6" s="303"/>
      <c r="FT6" s="303"/>
      <c r="FU6" s="303"/>
      <c r="FV6" s="303"/>
      <c r="FW6" s="303"/>
      <c r="FX6" s="303"/>
      <c r="FY6" s="303"/>
      <c r="FZ6" s="303"/>
      <c r="GA6" s="303"/>
      <c r="GB6" s="303"/>
      <c r="GC6" s="303"/>
      <c r="GD6" s="303"/>
      <c r="GE6" s="303"/>
      <c r="GF6" s="303"/>
      <c r="GG6" s="303"/>
      <c r="GH6" s="303"/>
      <c r="GI6" s="303"/>
      <c r="GJ6" s="303"/>
      <c r="GK6" s="303"/>
      <c r="GL6" s="303"/>
      <c r="GM6" s="303"/>
      <c r="GN6" s="303"/>
      <c r="GO6" s="303"/>
      <c r="GP6" s="303"/>
      <c r="GQ6" s="303"/>
      <c r="GR6" s="303"/>
      <c r="GS6" s="303"/>
      <c r="GT6" s="303"/>
      <c r="GU6" s="303"/>
      <c r="GV6" s="303"/>
      <c r="GW6" s="303"/>
      <c r="GX6" s="303"/>
      <c r="GY6" s="303"/>
      <c r="GZ6" s="303"/>
      <c r="HA6" s="303"/>
      <c r="HB6" s="303"/>
      <c r="HC6" s="303"/>
      <c r="HD6" s="303"/>
      <c r="HE6" s="303"/>
      <c r="HF6" s="303"/>
      <c r="HG6" s="303"/>
      <c r="HH6" s="303"/>
      <c r="HI6" s="303"/>
      <c r="HJ6" s="303"/>
      <c r="HK6" s="303"/>
      <c r="HL6" s="303"/>
      <c r="HM6" s="303"/>
      <c r="HN6" s="303"/>
      <c r="HO6" s="303"/>
      <c r="HP6" s="303"/>
      <c r="HQ6" s="303"/>
      <c r="HR6" s="303"/>
      <c r="HS6" s="303"/>
      <c r="HT6" s="303"/>
      <c r="HU6" s="303"/>
      <c r="HV6" s="303"/>
      <c r="HW6" s="303"/>
      <c r="HX6" s="303"/>
      <c r="HY6" s="303"/>
      <c r="HZ6" s="303"/>
      <c r="IA6" s="303"/>
      <c r="IB6" s="303"/>
      <c r="IC6" s="303"/>
      <c r="ID6" s="303"/>
      <c r="IE6" s="303"/>
      <c r="IF6" s="303"/>
      <c r="IG6" s="303"/>
      <c r="IH6" s="303"/>
      <c r="II6" s="303"/>
      <c r="IJ6" s="303"/>
      <c r="IK6" s="303"/>
      <c r="IL6" s="303"/>
      <c r="IM6" s="303"/>
      <c r="IN6" s="303"/>
      <c r="IO6" s="303"/>
      <c r="IP6" s="303"/>
      <c r="IQ6" s="303"/>
      <c r="IR6" s="303"/>
      <c r="IS6" s="303"/>
      <c r="IT6" s="303"/>
      <c r="IU6" s="303"/>
      <c r="IV6" s="303"/>
      <c r="IW6" s="303"/>
      <c r="IX6" s="303"/>
      <c r="IY6" s="303"/>
      <c r="IZ6" s="303"/>
      <c r="JA6" s="303"/>
      <c r="JB6" s="303"/>
      <c r="JC6" s="303"/>
      <c r="JD6" s="303"/>
      <c r="JE6" s="303"/>
      <c r="JF6" s="303"/>
      <c r="JG6" s="303"/>
      <c r="JH6" s="303"/>
      <c r="JI6" s="303"/>
      <c r="JJ6" s="303"/>
      <c r="JK6" s="303"/>
      <c r="JL6" s="303"/>
      <c r="JM6" s="303"/>
      <c r="JN6" s="303"/>
      <c r="JO6" s="303"/>
      <c r="JP6" s="303"/>
      <c r="JQ6" s="303"/>
      <c r="JR6" s="303"/>
      <c r="JS6" s="303"/>
      <c r="JT6" s="303"/>
      <c r="JU6" s="303"/>
      <c r="JV6" s="303"/>
      <c r="JW6" s="303"/>
      <c r="JX6" s="303"/>
      <c r="JY6" s="303"/>
      <c r="JZ6" s="303"/>
      <c r="KA6" s="303"/>
      <c r="KB6" s="303"/>
      <c r="KC6" s="303"/>
      <c r="KD6" s="303"/>
      <c r="KE6" s="303"/>
      <c r="KF6" s="303"/>
      <c r="KG6" s="303"/>
      <c r="KH6" s="303"/>
      <c r="KI6" s="303"/>
    </row>
    <row r="7" spans="1:295" s="304" customFormat="1">
      <c r="A7" s="612"/>
      <c r="B7" s="299" t="s">
        <v>2705</v>
      </c>
      <c r="C7" s="299" t="s">
        <v>1810</v>
      </c>
      <c r="D7" s="300" t="s">
        <v>57</v>
      </c>
      <c r="E7" s="299"/>
      <c r="F7" s="299" t="s">
        <v>1801</v>
      </c>
      <c r="G7" s="299"/>
      <c r="H7" s="301"/>
      <c r="I7" s="301"/>
      <c r="J7" s="301"/>
      <c r="K7" s="301"/>
      <c r="L7" s="301"/>
      <c r="M7" s="301"/>
      <c r="N7" s="301"/>
      <c r="O7" s="301"/>
      <c r="P7" s="301"/>
      <c r="Q7" s="301"/>
      <c r="R7" s="301"/>
      <c r="S7" s="301"/>
      <c r="T7" s="301"/>
      <c r="U7" s="301"/>
      <c r="V7" s="303"/>
      <c r="W7" s="303"/>
      <c r="X7" s="303"/>
      <c r="Y7" s="303"/>
      <c r="Z7" s="303"/>
      <c r="AA7" s="303"/>
      <c r="AB7" s="303"/>
      <c r="AC7" s="303"/>
      <c r="AD7" s="303"/>
      <c r="AE7" s="303"/>
      <c r="AF7" s="303"/>
      <c r="AG7" s="303"/>
      <c r="AH7" s="303"/>
      <c r="AI7" s="303"/>
      <c r="AJ7" s="303"/>
      <c r="AK7" s="303"/>
      <c r="AL7" s="303"/>
      <c r="AM7" s="303"/>
      <c r="AN7" s="303"/>
      <c r="AO7" s="303"/>
      <c r="AP7" s="303"/>
      <c r="AQ7" s="303"/>
      <c r="AR7" s="303"/>
      <c r="AS7" s="303"/>
      <c r="AT7" s="303"/>
      <c r="AU7" s="303"/>
      <c r="AV7" s="303"/>
      <c r="AW7" s="303"/>
      <c r="AX7" s="303"/>
      <c r="AY7" s="303"/>
      <c r="AZ7" s="303"/>
      <c r="BA7" s="303"/>
      <c r="BB7" s="303"/>
      <c r="BC7" s="303"/>
      <c r="BD7" s="303"/>
      <c r="BE7" s="303"/>
      <c r="BF7" s="303"/>
      <c r="BG7" s="303"/>
      <c r="BH7" s="303"/>
      <c r="BI7" s="303"/>
      <c r="BJ7" s="303"/>
      <c r="BK7" s="303"/>
      <c r="BL7" s="303"/>
      <c r="BM7" s="303"/>
      <c r="BN7" s="303"/>
      <c r="BO7" s="303"/>
      <c r="BP7" s="303"/>
      <c r="BQ7" s="303"/>
      <c r="BR7" s="303"/>
      <c r="BS7" s="303"/>
      <c r="BT7" s="303"/>
      <c r="BU7" s="303"/>
      <c r="BV7" s="303"/>
      <c r="BW7" s="303"/>
      <c r="BX7" s="303"/>
      <c r="BY7" s="303"/>
      <c r="BZ7" s="303"/>
      <c r="CA7" s="303"/>
      <c r="CB7" s="303"/>
      <c r="CC7" s="303"/>
      <c r="CD7" s="303"/>
      <c r="CE7" s="303"/>
      <c r="CF7" s="303"/>
      <c r="CG7" s="303"/>
      <c r="CH7" s="303"/>
      <c r="CI7" s="303"/>
      <c r="CJ7" s="303"/>
      <c r="CK7" s="303"/>
      <c r="CL7" s="303"/>
      <c r="CM7" s="303"/>
      <c r="CN7" s="303"/>
      <c r="CO7" s="303"/>
      <c r="CP7" s="303"/>
      <c r="CQ7" s="303"/>
      <c r="CR7" s="303"/>
      <c r="CS7" s="303"/>
      <c r="CT7" s="303"/>
      <c r="CU7" s="303"/>
      <c r="CV7" s="303"/>
      <c r="CW7" s="303"/>
      <c r="CX7" s="303"/>
      <c r="CY7" s="303"/>
      <c r="CZ7" s="303"/>
      <c r="DA7" s="303"/>
      <c r="DB7" s="303"/>
      <c r="DC7" s="303"/>
      <c r="DD7" s="303"/>
      <c r="DE7" s="303"/>
      <c r="DF7" s="303"/>
      <c r="DG7" s="303"/>
      <c r="DH7" s="303"/>
      <c r="DI7" s="303"/>
      <c r="DJ7" s="303"/>
      <c r="DK7" s="303"/>
      <c r="DL7" s="303"/>
      <c r="DM7" s="303"/>
      <c r="DN7" s="303"/>
      <c r="DO7" s="303"/>
      <c r="DP7" s="303"/>
      <c r="DQ7" s="303"/>
      <c r="DR7" s="303"/>
      <c r="DS7" s="303"/>
      <c r="DT7" s="303"/>
      <c r="DU7" s="303"/>
      <c r="DV7" s="303"/>
      <c r="DW7" s="303"/>
      <c r="DX7" s="303"/>
      <c r="DY7" s="303"/>
      <c r="DZ7" s="303"/>
      <c r="EA7" s="303"/>
      <c r="EB7" s="303"/>
      <c r="EC7" s="303"/>
      <c r="ED7" s="303"/>
      <c r="EE7" s="303"/>
      <c r="EF7" s="303"/>
      <c r="EG7" s="303"/>
      <c r="EH7" s="303"/>
      <c r="EI7" s="303"/>
      <c r="EJ7" s="303"/>
      <c r="EK7" s="303"/>
      <c r="EL7" s="303"/>
      <c r="EM7" s="303"/>
      <c r="EN7" s="303"/>
      <c r="EO7" s="303"/>
      <c r="EP7" s="303"/>
      <c r="EQ7" s="303"/>
      <c r="ER7" s="303"/>
      <c r="ES7" s="303"/>
      <c r="ET7" s="303"/>
      <c r="EU7" s="303"/>
      <c r="EV7" s="303"/>
      <c r="EW7" s="303"/>
      <c r="EX7" s="303"/>
      <c r="EY7" s="303"/>
      <c r="EZ7" s="303"/>
      <c r="FA7" s="303"/>
      <c r="FB7" s="303"/>
      <c r="FC7" s="303"/>
      <c r="FD7" s="303"/>
      <c r="FE7" s="303"/>
      <c r="FF7" s="303"/>
      <c r="FG7" s="303"/>
      <c r="FH7" s="303"/>
      <c r="FI7" s="303"/>
      <c r="FJ7" s="303"/>
      <c r="FK7" s="303"/>
      <c r="FL7" s="303"/>
      <c r="FM7" s="303"/>
      <c r="FN7" s="303"/>
      <c r="FO7" s="303"/>
      <c r="FP7" s="303"/>
      <c r="FQ7" s="303"/>
      <c r="FR7" s="303"/>
      <c r="FS7" s="303"/>
      <c r="FT7" s="303"/>
      <c r="FU7" s="303"/>
      <c r="FV7" s="303"/>
      <c r="FW7" s="303"/>
      <c r="FX7" s="303"/>
      <c r="FY7" s="303"/>
      <c r="FZ7" s="303"/>
      <c r="GA7" s="303"/>
      <c r="GB7" s="303"/>
      <c r="GC7" s="303"/>
      <c r="GD7" s="303"/>
      <c r="GE7" s="303"/>
      <c r="GF7" s="303"/>
      <c r="GG7" s="303"/>
      <c r="GH7" s="303"/>
      <c r="GI7" s="303"/>
      <c r="GJ7" s="303"/>
      <c r="GK7" s="303"/>
      <c r="GL7" s="303"/>
      <c r="GM7" s="303"/>
      <c r="GN7" s="303"/>
      <c r="GO7" s="303"/>
      <c r="GP7" s="303"/>
      <c r="GQ7" s="303"/>
      <c r="GR7" s="303"/>
      <c r="GS7" s="303"/>
      <c r="GT7" s="303"/>
      <c r="GU7" s="303"/>
      <c r="GV7" s="303"/>
      <c r="GW7" s="303"/>
      <c r="GX7" s="303"/>
      <c r="GY7" s="303"/>
      <c r="GZ7" s="303"/>
      <c r="HA7" s="303"/>
      <c r="HB7" s="303"/>
      <c r="HC7" s="303"/>
      <c r="HD7" s="303"/>
      <c r="HE7" s="303"/>
      <c r="HF7" s="303"/>
      <c r="HG7" s="303"/>
      <c r="HH7" s="303"/>
      <c r="HI7" s="303"/>
      <c r="HJ7" s="303"/>
      <c r="HK7" s="303"/>
      <c r="HL7" s="303"/>
      <c r="HM7" s="303"/>
      <c r="HN7" s="303"/>
      <c r="HO7" s="303"/>
      <c r="HP7" s="303"/>
      <c r="HQ7" s="303"/>
      <c r="HR7" s="303"/>
      <c r="HS7" s="303"/>
      <c r="HT7" s="303"/>
      <c r="HU7" s="303"/>
      <c r="HV7" s="303"/>
      <c r="HW7" s="303"/>
      <c r="HX7" s="303"/>
      <c r="HY7" s="303"/>
      <c r="HZ7" s="303"/>
      <c r="IA7" s="303"/>
      <c r="IB7" s="303"/>
      <c r="IC7" s="303"/>
      <c r="ID7" s="303"/>
      <c r="IE7" s="303"/>
      <c r="IF7" s="303"/>
      <c r="IG7" s="303"/>
      <c r="IH7" s="303"/>
      <c r="II7" s="303"/>
      <c r="IJ7" s="303"/>
      <c r="IK7" s="303"/>
      <c r="IL7" s="303"/>
      <c r="IM7" s="303"/>
      <c r="IN7" s="303"/>
      <c r="IO7" s="303"/>
      <c r="IP7" s="303"/>
      <c r="IQ7" s="303"/>
      <c r="IR7" s="303"/>
      <c r="IS7" s="303"/>
      <c r="IT7" s="303"/>
      <c r="IU7" s="303"/>
      <c r="IV7" s="303"/>
      <c r="IW7" s="303"/>
      <c r="IX7" s="303"/>
      <c r="IY7" s="303"/>
      <c r="IZ7" s="303"/>
      <c r="JA7" s="303"/>
      <c r="JB7" s="303"/>
      <c r="JC7" s="303"/>
      <c r="JD7" s="303"/>
      <c r="JE7" s="303"/>
      <c r="JF7" s="303"/>
      <c r="JG7" s="303"/>
      <c r="JH7" s="303"/>
      <c r="JI7" s="303"/>
      <c r="JJ7" s="303"/>
      <c r="JK7" s="303"/>
      <c r="JL7" s="303"/>
      <c r="JM7" s="303"/>
      <c r="JN7" s="303"/>
      <c r="JO7" s="303"/>
      <c r="JP7" s="303"/>
      <c r="JQ7" s="303"/>
      <c r="JR7" s="303"/>
      <c r="JS7" s="303"/>
      <c r="JT7" s="303"/>
      <c r="JU7" s="303"/>
      <c r="JV7" s="303"/>
      <c r="JW7" s="303"/>
      <c r="JX7" s="303"/>
      <c r="JY7" s="303"/>
      <c r="JZ7" s="303"/>
      <c r="KA7" s="303"/>
      <c r="KB7" s="303"/>
      <c r="KC7" s="303"/>
      <c r="KD7" s="303"/>
      <c r="KE7" s="303"/>
      <c r="KF7" s="303"/>
      <c r="KG7" s="303"/>
      <c r="KH7" s="303"/>
      <c r="KI7" s="303"/>
    </row>
    <row r="8" spans="1:295" s="304" customFormat="1">
      <c r="A8" s="612"/>
      <c r="B8" s="299" t="s">
        <v>2704</v>
      </c>
      <c r="C8" s="299" t="s">
        <v>1811</v>
      </c>
      <c r="D8" s="300" t="s">
        <v>57</v>
      </c>
      <c r="E8" s="299"/>
      <c r="F8" s="299" t="s">
        <v>1801</v>
      </c>
      <c r="G8" s="299"/>
      <c r="H8" s="301"/>
      <c r="I8" s="301"/>
      <c r="J8" s="301"/>
      <c r="K8" s="301"/>
      <c r="L8" s="301"/>
      <c r="M8" s="301"/>
      <c r="N8" s="301"/>
      <c r="O8" s="301"/>
      <c r="P8" s="301"/>
      <c r="Q8" s="301"/>
      <c r="R8" s="301"/>
      <c r="S8" s="301"/>
      <c r="T8" s="301"/>
      <c r="U8" s="301"/>
      <c r="V8" s="303"/>
      <c r="W8" s="303"/>
      <c r="X8" s="303"/>
      <c r="Y8" s="303"/>
      <c r="Z8" s="303"/>
      <c r="AA8" s="303"/>
      <c r="AB8" s="303"/>
      <c r="AC8" s="303"/>
      <c r="AD8" s="303"/>
      <c r="AE8" s="303"/>
      <c r="AF8" s="303"/>
      <c r="AG8" s="303"/>
      <c r="AH8" s="303"/>
      <c r="AI8" s="303"/>
      <c r="AJ8" s="303"/>
      <c r="AK8" s="303"/>
      <c r="AL8" s="303"/>
      <c r="AM8" s="303"/>
      <c r="AN8" s="303"/>
      <c r="AO8" s="303"/>
      <c r="AP8" s="303"/>
      <c r="AQ8" s="303"/>
      <c r="AR8" s="303"/>
      <c r="AS8" s="303"/>
      <c r="AT8" s="303"/>
      <c r="AU8" s="303"/>
      <c r="AV8" s="303"/>
      <c r="AW8" s="303"/>
      <c r="AX8" s="303"/>
      <c r="AY8" s="303"/>
      <c r="AZ8" s="303"/>
      <c r="BA8" s="303"/>
      <c r="BB8" s="303"/>
      <c r="BC8" s="303"/>
      <c r="BD8" s="303"/>
      <c r="BE8" s="303"/>
      <c r="BF8" s="303"/>
      <c r="BG8" s="303"/>
      <c r="BH8" s="303"/>
      <c r="BI8" s="303"/>
      <c r="BJ8" s="303"/>
      <c r="BK8" s="303"/>
      <c r="BL8" s="303"/>
      <c r="BM8" s="303"/>
      <c r="BN8" s="303"/>
      <c r="BO8" s="303"/>
      <c r="BP8" s="303"/>
      <c r="BQ8" s="303"/>
      <c r="BR8" s="303"/>
      <c r="BS8" s="303"/>
      <c r="BT8" s="303"/>
      <c r="BU8" s="303"/>
      <c r="BV8" s="303"/>
      <c r="BW8" s="303"/>
      <c r="BX8" s="303"/>
      <c r="BY8" s="303"/>
      <c r="BZ8" s="303"/>
      <c r="CA8" s="303"/>
      <c r="CB8" s="303"/>
      <c r="CC8" s="303"/>
      <c r="CD8" s="303"/>
      <c r="CE8" s="303"/>
      <c r="CF8" s="303"/>
      <c r="CG8" s="303"/>
      <c r="CH8" s="303"/>
      <c r="CI8" s="303"/>
      <c r="CJ8" s="303"/>
      <c r="CK8" s="303"/>
      <c r="CL8" s="303"/>
      <c r="CM8" s="303"/>
      <c r="CN8" s="303"/>
      <c r="CO8" s="303"/>
      <c r="CP8" s="303"/>
      <c r="CQ8" s="303"/>
      <c r="CR8" s="303"/>
      <c r="CS8" s="303"/>
      <c r="CT8" s="303"/>
      <c r="CU8" s="303"/>
      <c r="CV8" s="303"/>
      <c r="CW8" s="303"/>
      <c r="CX8" s="303"/>
      <c r="CY8" s="303"/>
      <c r="CZ8" s="303"/>
      <c r="DA8" s="303"/>
      <c r="DB8" s="303"/>
      <c r="DC8" s="303"/>
      <c r="DD8" s="303"/>
      <c r="DE8" s="303"/>
      <c r="DF8" s="303"/>
      <c r="DG8" s="303"/>
      <c r="DH8" s="303"/>
      <c r="DI8" s="303"/>
      <c r="DJ8" s="303"/>
      <c r="DK8" s="303"/>
      <c r="DL8" s="303"/>
      <c r="DM8" s="303"/>
      <c r="DN8" s="303"/>
      <c r="DO8" s="303"/>
      <c r="DP8" s="303"/>
      <c r="DQ8" s="303"/>
      <c r="DR8" s="303"/>
      <c r="DS8" s="303"/>
      <c r="DT8" s="303"/>
      <c r="DU8" s="303"/>
      <c r="DV8" s="303"/>
      <c r="DW8" s="303"/>
      <c r="DX8" s="303"/>
      <c r="DY8" s="303"/>
      <c r="DZ8" s="303"/>
      <c r="EA8" s="303"/>
      <c r="EB8" s="303"/>
      <c r="EC8" s="303"/>
      <c r="ED8" s="303"/>
      <c r="EE8" s="303"/>
      <c r="EF8" s="303"/>
      <c r="EG8" s="303"/>
      <c r="EH8" s="303"/>
      <c r="EI8" s="303"/>
      <c r="EJ8" s="303"/>
      <c r="EK8" s="303"/>
      <c r="EL8" s="303"/>
      <c r="EM8" s="303"/>
      <c r="EN8" s="303"/>
      <c r="EO8" s="303"/>
      <c r="EP8" s="303"/>
      <c r="EQ8" s="303"/>
      <c r="ER8" s="303"/>
      <c r="ES8" s="303"/>
      <c r="ET8" s="303"/>
      <c r="EU8" s="303"/>
      <c r="EV8" s="303"/>
      <c r="EW8" s="303"/>
      <c r="EX8" s="303"/>
      <c r="EY8" s="303"/>
      <c r="EZ8" s="303"/>
      <c r="FA8" s="303"/>
      <c r="FB8" s="303"/>
      <c r="FC8" s="303"/>
      <c r="FD8" s="303"/>
      <c r="FE8" s="303"/>
      <c r="FF8" s="303"/>
      <c r="FG8" s="303"/>
      <c r="FH8" s="303"/>
      <c r="FI8" s="303"/>
      <c r="FJ8" s="303"/>
      <c r="FK8" s="303"/>
      <c r="FL8" s="303"/>
      <c r="FM8" s="303"/>
      <c r="FN8" s="303"/>
      <c r="FO8" s="303"/>
      <c r="FP8" s="303"/>
      <c r="FQ8" s="303"/>
      <c r="FR8" s="303"/>
      <c r="FS8" s="303"/>
      <c r="FT8" s="303"/>
      <c r="FU8" s="303"/>
      <c r="FV8" s="303"/>
      <c r="FW8" s="303"/>
      <c r="FX8" s="303"/>
      <c r="FY8" s="303"/>
      <c r="FZ8" s="303"/>
      <c r="GA8" s="303"/>
      <c r="GB8" s="303"/>
      <c r="GC8" s="303"/>
      <c r="GD8" s="303"/>
      <c r="GE8" s="303"/>
      <c r="GF8" s="303"/>
      <c r="GG8" s="303"/>
      <c r="GH8" s="303"/>
      <c r="GI8" s="303"/>
      <c r="GJ8" s="303"/>
      <c r="GK8" s="303"/>
      <c r="GL8" s="303"/>
      <c r="GM8" s="303"/>
      <c r="GN8" s="303"/>
      <c r="GO8" s="303"/>
      <c r="GP8" s="303"/>
      <c r="GQ8" s="303"/>
      <c r="GR8" s="303"/>
      <c r="GS8" s="303"/>
      <c r="GT8" s="303"/>
      <c r="GU8" s="303"/>
      <c r="GV8" s="303"/>
      <c r="GW8" s="303"/>
      <c r="GX8" s="303"/>
      <c r="GY8" s="303"/>
      <c r="GZ8" s="303"/>
      <c r="HA8" s="303"/>
      <c r="HB8" s="303"/>
      <c r="HC8" s="303"/>
      <c r="HD8" s="303"/>
      <c r="HE8" s="303"/>
      <c r="HF8" s="303"/>
      <c r="HG8" s="303"/>
      <c r="HH8" s="303"/>
      <c r="HI8" s="303"/>
      <c r="HJ8" s="303"/>
      <c r="HK8" s="303"/>
      <c r="HL8" s="303"/>
      <c r="HM8" s="303"/>
      <c r="HN8" s="303"/>
      <c r="HO8" s="303"/>
      <c r="HP8" s="303"/>
      <c r="HQ8" s="303"/>
      <c r="HR8" s="303"/>
      <c r="HS8" s="303"/>
      <c r="HT8" s="303"/>
      <c r="HU8" s="303"/>
      <c r="HV8" s="303"/>
      <c r="HW8" s="303"/>
      <c r="HX8" s="303"/>
      <c r="HY8" s="303"/>
      <c r="HZ8" s="303"/>
      <c r="IA8" s="303"/>
      <c r="IB8" s="303"/>
      <c r="IC8" s="303"/>
      <c r="ID8" s="303"/>
      <c r="IE8" s="303"/>
      <c r="IF8" s="303"/>
      <c r="IG8" s="303"/>
      <c r="IH8" s="303"/>
      <c r="II8" s="303"/>
      <c r="IJ8" s="303"/>
      <c r="IK8" s="303"/>
      <c r="IL8" s="303"/>
      <c r="IM8" s="303"/>
      <c r="IN8" s="303"/>
      <c r="IO8" s="303"/>
      <c r="IP8" s="303"/>
      <c r="IQ8" s="303"/>
      <c r="IR8" s="303"/>
      <c r="IS8" s="303"/>
      <c r="IT8" s="303"/>
      <c r="IU8" s="303"/>
      <c r="IV8" s="303"/>
      <c r="IW8" s="303"/>
      <c r="IX8" s="303"/>
      <c r="IY8" s="303"/>
      <c r="IZ8" s="303"/>
      <c r="JA8" s="303"/>
      <c r="JB8" s="303"/>
      <c r="JC8" s="303"/>
      <c r="JD8" s="303"/>
      <c r="JE8" s="303"/>
      <c r="JF8" s="303"/>
      <c r="JG8" s="303"/>
      <c r="JH8" s="303"/>
      <c r="JI8" s="303"/>
      <c r="JJ8" s="303"/>
      <c r="JK8" s="303"/>
      <c r="JL8" s="303"/>
      <c r="JM8" s="303"/>
      <c r="JN8" s="303"/>
      <c r="JO8" s="303"/>
      <c r="JP8" s="303"/>
      <c r="JQ8" s="303"/>
      <c r="JR8" s="303"/>
      <c r="JS8" s="303"/>
      <c r="JT8" s="303"/>
      <c r="JU8" s="303"/>
      <c r="JV8" s="303"/>
      <c r="JW8" s="303"/>
      <c r="JX8" s="303"/>
      <c r="JY8" s="303"/>
      <c r="JZ8" s="303"/>
      <c r="KA8" s="303"/>
      <c r="KB8" s="303"/>
      <c r="KC8" s="303"/>
      <c r="KD8" s="303"/>
      <c r="KE8" s="303"/>
      <c r="KF8" s="303"/>
      <c r="KG8" s="303"/>
      <c r="KH8" s="303"/>
      <c r="KI8" s="303"/>
    </row>
    <row r="9" spans="1:295" s="304" customFormat="1">
      <c r="A9" s="612"/>
      <c r="B9" s="299" t="s">
        <v>1812</v>
      </c>
      <c r="C9" s="299" t="s">
        <v>1813</v>
      </c>
      <c r="D9" s="300" t="s">
        <v>57</v>
      </c>
      <c r="E9" s="299"/>
      <c r="F9" s="299" t="s">
        <v>1801</v>
      </c>
      <c r="G9" s="299"/>
      <c r="H9" s="301"/>
      <c r="I9" s="301"/>
      <c r="J9" s="301"/>
      <c r="K9" s="301"/>
      <c r="L9" s="301"/>
      <c r="M9" s="301"/>
      <c r="N9" s="301"/>
      <c r="O9" s="301"/>
      <c r="P9" s="301"/>
      <c r="Q9" s="301"/>
      <c r="R9" s="301"/>
      <c r="S9" s="301"/>
      <c r="T9" s="301"/>
      <c r="U9" s="301"/>
      <c r="V9" s="303"/>
      <c r="W9" s="303"/>
      <c r="X9" s="303"/>
      <c r="Y9" s="303"/>
      <c r="Z9" s="303"/>
      <c r="AA9" s="303"/>
      <c r="AB9" s="303"/>
      <c r="AC9" s="303"/>
      <c r="AD9" s="303"/>
      <c r="AE9" s="303"/>
      <c r="AF9" s="303"/>
      <c r="AG9" s="303"/>
      <c r="AH9" s="303"/>
      <c r="AI9" s="303"/>
      <c r="AJ9" s="303"/>
      <c r="AK9" s="303"/>
      <c r="AL9" s="303"/>
      <c r="AM9" s="303"/>
      <c r="AN9" s="303"/>
      <c r="AO9" s="303"/>
      <c r="AP9" s="303"/>
      <c r="AQ9" s="303"/>
      <c r="AR9" s="303"/>
      <c r="AS9" s="303"/>
      <c r="AT9" s="303"/>
      <c r="AU9" s="303"/>
      <c r="AV9" s="303"/>
      <c r="AW9" s="303"/>
      <c r="AX9" s="303"/>
      <c r="AY9" s="303"/>
      <c r="AZ9" s="303"/>
      <c r="BA9" s="303"/>
      <c r="BB9" s="303"/>
      <c r="BC9" s="303"/>
      <c r="BD9" s="303"/>
      <c r="BE9" s="303"/>
      <c r="BF9" s="303"/>
      <c r="BG9" s="303"/>
      <c r="BH9" s="303"/>
      <c r="BI9" s="303"/>
      <c r="BJ9" s="303"/>
      <c r="BK9" s="303"/>
      <c r="BL9" s="303"/>
      <c r="BM9" s="303"/>
      <c r="BN9" s="303"/>
      <c r="BO9" s="303"/>
      <c r="BP9" s="303"/>
      <c r="BQ9" s="303"/>
      <c r="BR9" s="303"/>
      <c r="BS9" s="303"/>
      <c r="BT9" s="303"/>
      <c r="BU9" s="303"/>
      <c r="BV9" s="303"/>
      <c r="BW9" s="303"/>
      <c r="BX9" s="303"/>
      <c r="BY9" s="303"/>
      <c r="BZ9" s="303"/>
      <c r="CA9" s="303"/>
      <c r="CB9" s="303"/>
      <c r="CC9" s="303"/>
      <c r="CD9" s="303"/>
      <c r="CE9" s="303"/>
      <c r="CF9" s="303"/>
      <c r="CG9" s="303"/>
      <c r="CH9" s="303"/>
      <c r="CI9" s="303"/>
      <c r="CJ9" s="303"/>
      <c r="CK9" s="303"/>
      <c r="CL9" s="303"/>
      <c r="CM9" s="303"/>
      <c r="CN9" s="303"/>
      <c r="CO9" s="303"/>
      <c r="CP9" s="303"/>
      <c r="CQ9" s="303"/>
      <c r="CR9" s="303"/>
      <c r="CS9" s="303"/>
      <c r="CT9" s="303"/>
      <c r="CU9" s="303"/>
      <c r="CV9" s="303"/>
      <c r="CW9" s="303"/>
      <c r="CX9" s="303"/>
      <c r="CY9" s="303"/>
      <c r="CZ9" s="303"/>
      <c r="DA9" s="303"/>
      <c r="DB9" s="303"/>
      <c r="DC9" s="303"/>
      <c r="DD9" s="303"/>
      <c r="DE9" s="303"/>
      <c r="DF9" s="303"/>
      <c r="DG9" s="303"/>
      <c r="DH9" s="303"/>
      <c r="DI9" s="303"/>
      <c r="DJ9" s="303"/>
      <c r="DK9" s="303"/>
      <c r="DL9" s="303"/>
      <c r="DM9" s="303"/>
      <c r="DN9" s="303"/>
      <c r="DO9" s="303"/>
      <c r="DP9" s="303"/>
      <c r="DQ9" s="303"/>
      <c r="DR9" s="303"/>
      <c r="DS9" s="303"/>
      <c r="DT9" s="303"/>
      <c r="DU9" s="303"/>
      <c r="DV9" s="303"/>
      <c r="DW9" s="303"/>
      <c r="DX9" s="303"/>
      <c r="DY9" s="303"/>
      <c r="DZ9" s="303"/>
      <c r="EA9" s="303"/>
      <c r="EB9" s="303"/>
      <c r="EC9" s="303"/>
      <c r="ED9" s="303"/>
      <c r="EE9" s="303"/>
      <c r="EF9" s="303"/>
      <c r="EG9" s="303"/>
      <c r="EH9" s="303"/>
      <c r="EI9" s="303"/>
      <c r="EJ9" s="303"/>
      <c r="EK9" s="303"/>
      <c r="EL9" s="303"/>
      <c r="EM9" s="303"/>
      <c r="EN9" s="303"/>
      <c r="EO9" s="303"/>
      <c r="EP9" s="303"/>
      <c r="EQ9" s="303"/>
      <c r="ER9" s="303"/>
      <c r="ES9" s="303"/>
      <c r="ET9" s="303"/>
      <c r="EU9" s="303"/>
      <c r="EV9" s="303"/>
      <c r="EW9" s="303"/>
      <c r="EX9" s="303"/>
      <c r="EY9" s="303"/>
      <c r="EZ9" s="303"/>
      <c r="FA9" s="303"/>
      <c r="FB9" s="303"/>
      <c r="FC9" s="303"/>
      <c r="FD9" s="303"/>
      <c r="FE9" s="303"/>
      <c r="FF9" s="303"/>
      <c r="FG9" s="303"/>
      <c r="FH9" s="303"/>
      <c r="FI9" s="303"/>
      <c r="FJ9" s="303"/>
      <c r="FK9" s="303"/>
      <c r="FL9" s="303"/>
      <c r="FM9" s="303"/>
      <c r="FN9" s="303"/>
      <c r="FO9" s="303"/>
      <c r="FP9" s="303"/>
      <c r="FQ9" s="303"/>
      <c r="FR9" s="303"/>
      <c r="FS9" s="303"/>
      <c r="FT9" s="303"/>
      <c r="FU9" s="303"/>
      <c r="FV9" s="303"/>
      <c r="FW9" s="303"/>
      <c r="FX9" s="303"/>
      <c r="FY9" s="303"/>
      <c r="FZ9" s="303"/>
      <c r="GA9" s="303"/>
      <c r="GB9" s="303"/>
      <c r="GC9" s="303"/>
      <c r="GD9" s="303"/>
      <c r="GE9" s="303"/>
      <c r="GF9" s="303"/>
      <c r="GG9" s="303"/>
      <c r="GH9" s="303"/>
      <c r="GI9" s="303"/>
      <c r="GJ9" s="303"/>
      <c r="GK9" s="303"/>
      <c r="GL9" s="303"/>
      <c r="GM9" s="303"/>
      <c r="GN9" s="303"/>
      <c r="GO9" s="303"/>
      <c r="GP9" s="303"/>
      <c r="GQ9" s="303"/>
      <c r="GR9" s="303"/>
      <c r="GS9" s="303"/>
      <c r="GT9" s="303"/>
      <c r="GU9" s="303"/>
      <c r="GV9" s="303"/>
      <c r="GW9" s="303"/>
      <c r="GX9" s="303"/>
      <c r="GY9" s="303"/>
      <c r="GZ9" s="303"/>
      <c r="HA9" s="303"/>
      <c r="HB9" s="303"/>
      <c r="HC9" s="303"/>
      <c r="HD9" s="303"/>
      <c r="HE9" s="303"/>
      <c r="HF9" s="303"/>
      <c r="HG9" s="303"/>
      <c r="HH9" s="303"/>
      <c r="HI9" s="303"/>
      <c r="HJ9" s="303"/>
      <c r="HK9" s="303"/>
      <c r="HL9" s="303"/>
      <c r="HM9" s="303"/>
      <c r="HN9" s="303"/>
      <c r="HO9" s="303"/>
      <c r="HP9" s="303"/>
      <c r="HQ9" s="303"/>
      <c r="HR9" s="303"/>
      <c r="HS9" s="303"/>
      <c r="HT9" s="303"/>
      <c r="HU9" s="303"/>
      <c r="HV9" s="303"/>
      <c r="HW9" s="303"/>
      <c r="HX9" s="303"/>
      <c r="HY9" s="303"/>
      <c r="HZ9" s="303"/>
      <c r="IA9" s="303"/>
      <c r="IB9" s="303"/>
      <c r="IC9" s="303"/>
      <c r="ID9" s="303"/>
      <c r="IE9" s="303"/>
      <c r="IF9" s="303"/>
      <c r="IG9" s="303"/>
      <c r="IH9" s="303"/>
      <c r="II9" s="303"/>
      <c r="IJ9" s="303"/>
      <c r="IK9" s="303"/>
      <c r="IL9" s="303"/>
      <c r="IM9" s="303"/>
      <c r="IN9" s="303"/>
      <c r="IO9" s="303"/>
      <c r="IP9" s="303"/>
      <c r="IQ9" s="303"/>
      <c r="IR9" s="303"/>
      <c r="IS9" s="303"/>
      <c r="IT9" s="303"/>
      <c r="IU9" s="303"/>
      <c r="IV9" s="303"/>
      <c r="IW9" s="303"/>
      <c r="IX9" s="303"/>
      <c r="IY9" s="303"/>
      <c r="IZ9" s="303"/>
      <c r="JA9" s="303"/>
      <c r="JB9" s="303"/>
      <c r="JC9" s="303"/>
      <c r="JD9" s="303"/>
      <c r="JE9" s="303"/>
      <c r="JF9" s="303"/>
      <c r="JG9" s="303"/>
      <c r="JH9" s="303"/>
      <c r="JI9" s="303"/>
      <c r="JJ9" s="303"/>
      <c r="JK9" s="303"/>
      <c r="JL9" s="303"/>
      <c r="JM9" s="303"/>
      <c r="JN9" s="303"/>
      <c r="JO9" s="303"/>
      <c r="JP9" s="303"/>
      <c r="JQ9" s="303"/>
      <c r="JR9" s="303"/>
      <c r="JS9" s="303"/>
      <c r="JT9" s="303"/>
      <c r="JU9" s="303"/>
      <c r="JV9" s="303"/>
      <c r="JW9" s="303"/>
      <c r="JX9" s="303"/>
      <c r="JY9" s="303"/>
      <c r="JZ9" s="303"/>
      <c r="KA9" s="303"/>
      <c r="KB9" s="303"/>
      <c r="KC9" s="303"/>
      <c r="KD9" s="303"/>
      <c r="KE9" s="303"/>
      <c r="KF9" s="303"/>
      <c r="KG9" s="303"/>
      <c r="KH9" s="303"/>
      <c r="KI9" s="303"/>
    </row>
    <row r="10" spans="1:295" s="304" customFormat="1">
      <c r="A10" s="612"/>
      <c r="B10" s="299" t="s">
        <v>1814</v>
      </c>
      <c r="C10" s="299" t="s">
        <v>1815</v>
      </c>
      <c r="D10" s="300" t="s">
        <v>57</v>
      </c>
      <c r="E10" s="299"/>
      <c r="F10" s="299" t="s">
        <v>1801</v>
      </c>
      <c r="G10" s="299"/>
      <c r="H10" s="301"/>
      <c r="I10" s="301"/>
      <c r="J10" s="301"/>
      <c r="K10" s="301"/>
      <c r="L10" s="301"/>
      <c r="M10" s="301"/>
      <c r="N10" s="301"/>
      <c r="O10" s="301"/>
      <c r="P10" s="301"/>
      <c r="Q10" s="301"/>
      <c r="R10" s="301"/>
      <c r="S10" s="301"/>
      <c r="T10" s="301"/>
      <c r="U10" s="301"/>
      <c r="V10" s="303"/>
      <c r="W10" s="303"/>
      <c r="X10" s="303"/>
      <c r="Y10" s="303"/>
      <c r="Z10" s="303"/>
      <c r="AA10" s="303"/>
      <c r="AB10" s="303"/>
      <c r="AC10" s="303"/>
      <c r="AD10" s="303"/>
      <c r="AE10" s="303"/>
      <c r="AF10" s="303"/>
      <c r="AG10" s="303"/>
      <c r="AH10" s="303"/>
      <c r="AI10" s="303"/>
      <c r="AJ10" s="303"/>
      <c r="AK10" s="303"/>
      <c r="AL10" s="303"/>
      <c r="AM10" s="303"/>
      <c r="AN10" s="303"/>
      <c r="AO10" s="303"/>
      <c r="AP10" s="303"/>
      <c r="AQ10" s="303"/>
      <c r="AR10" s="303"/>
      <c r="AS10" s="303"/>
      <c r="AT10" s="303"/>
      <c r="AU10" s="303"/>
      <c r="AV10" s="303"/>
      <c r="AW10" s="303"/>
      <c r="AX10" s="303"/>
      <c r="AY10" s="303"/>
      <c r="AZ10" s="303"/>
      <c r="BA10" s="303"/>
      <c r="BB10" s="303"/>
      <c r="BC10" s="303"/>
      <c r="BD10" s="303"/>
      <c r="BE10" s="303"/>
      <c r="BF10" s="303"/>
      <c r="BG10" s="303"/>
      <c r="BH10" s="303"/>
      <c r="BI10" s="303"/>
      <c r="BJ10" s="303"/>
      <c r="BK10" s="303"/>
      <c r="BL10" s="303"/>
      <c r="BM10" s="303"/>
      <c r="BN10" s="303"/>
      <c r="BO10" s="303"/>
      <c r="BP10" s="303"/>
      <c r="BQ10" s="303"/>
      <c r="BR10" s="303"/>
      <c r="BS10" s="303"/>
      <c r="BT10" s="303"/>
      <c r="BU10" s="303"/>
      <c r="BV10" s="303"/>
      <c r="BW10" s="303"/>
      <c r="BX10" s="303"/>
      <c r="BY10" s="303"/>
      <c r="BZ10" s="303"/>
      <c r="CA10" s="303"/>
      <c r="CB10" s="303"/>
      <c r="CC10" s="303"/>
      <c r="CD10" s="303"/>
      <c r="CE10" s="303"/>
      <c r="CF10" s="303"/>
      <c r="CG10" s="303"/>
      <c r="CH10" s="303"/>
      <c r="CI10" s="303"/>
      <c r="CJ10" s="303"/>
      <c r="CK10" s="303"/>
      <c r="CL10" s="303"/>
      <c r="CM10" s="303"/>
      <c r="CN10" s="303"/>
      <c r="CO10" s="303"/>
      <c r="CP10" s="303"/>
      <c r="CQ10" s="303"/>
      <c r="CR10" s="303"/>
      <c r="CS10" s="303"/>
      <c r="CT10" s="303"/>
      <c r="CU10" s="303"/>
      <c r="CV10" s="303"/>
      <c r="CW10" s="303"/>
      <c r="CX10" s="303"/>
      <c r="CY10" s="303"/>
      <c r="CZ10" s="303"/>
      <c r="DA10" s="303"/>
      <c r="DB10" s="303"/>
      <c r="DC10" s="303"/>
      <c r="DD10" s="303"/>
      <c r="DE10" s="303"/>
      <c r="DF10" s="303"/>
      <c r="DG10" s="303"/>
      <c r="DH10" s="303"/>
      <c r="DI10" s="303"/>
      <c r="DJ10" s="303"/>
      <c r="DK10" s="303"/>
      <c r="DL10" s="303"/>
      <c r="DM10" s="303"/>
      <c r="DN10" s="303"/>
      <c r="DO10" s="303"/>
      <c r="DP10" s="303"/>
      <c r="DQ10" s="303"/>
      <c r="DR10" s="303"/>
      <c r="DS10" s="303"/>
      <c r="DT10" s="303"/>
      <c r="DU10" s="303"/>
      <c r="DV10" s="303"/>
      <c r="DW10" s="303"/>
      <c r="DX10" s="303"/>
      <c r="DY10" s="303"/>
      <c r="DZ10" s="303"/>
      <c r="EA10" s="303"/>
      <c r="EB10" s="303"/>
      <c r="EC10" s="303"/>
      <c r="ED10" s="303"/>
      <c r="EE10" s="303"/>
      <c r="EF10" s="303"/>
      <c r="EG10" s="303"/>
      <c r="EH10" s="303"/>
      <c r="EI10" s="303"/>
      <c r="EJ10" s="303"/>
      <c r="EK10" s="303"/>
      <c r="EL10" s="303"/>
      <c r="EM10" s="303"/>
      <c r="EN10" s="303"/>
      <c r="EO10" s="303"/>
      <c r="EP10" s="303"/>
      <c r="EQ10" s="303"/>
      <c r="ER10" s="303"/>
      <c r="ES10" s="303"/>
      <c r="ET10" s="303"/>
      <c r="EU10" s="303"/>
      <c r="EV10" s="303"/>
      <c r="EW10" s="303"/>
      <c r="EX10" s="303"/>
      <c r="EY10" s="303"/>
      <c r="EZ10" s="303"/>
      <c r="FA10" s="303"/>
      <c r="FB10" s="303"/>
      <c r="FC10" s="303"/>
      <c r="FD10" s="303"/>
      <c r="FE10" s="303"/>
      <c r="FF10" s="303"/>
      <c r="FG10" s="303"/>
      <c r="FH10" s="303"/>
      <c r="FI10" s="303"/>
      <c r="FJ10" s="303"/>
      <c r="FK10" s="303"/>
      <c r="FL10" s="303"/>
      <c r="FM10" s="303"/>
      <c r="FN10" s="303"/>
      <c r="FO10" s="303"/>
      <c r="FP10" s="303"/>
      <c r="FQ10" s="303"/>
      <c r="FR10" s="303"/>
      <c r="FS10" s="303"/>
      <c r="FT10" s="303"/>
      <c r="FU10" s="303"/>
      <c r="FV10" s="303"/>
      <c r="FW10" s="303"/>
      <c r="FX10" s="303"/>
      <c r="FY10" s="303"/>
      <c r="FZ10" s="303"/>
      <c r="GA10" s="303"/>
      <c r="GB10" s="303"/>
      <c r="GC10" s="303"/>
      <c r="GD10" s="303"/>
      <c r="GE10" s="303"/>
      <c r="GF10" s="303"/>
      <c r="GG10" s="303"/>
      <c r="GH10" s="303"/>
      <c r="GI10" s="303"/>
      <c r="GJ10" s="303"/>
      <c r="GK10" s="303"/>
      <c r="GL10" s="303"/>
      <c r="GM10" s="303"/>
      <c r="GN10" s="303"/>
      <c r="GO10" s="303"/>
      <c r="GP10" s="303"/>
      <c r="GQ10" s="303"/>
      <c r="GR10" s="303"/>
      <c r="GS10" s="303"/>
      <c r="GT10" s="303"/>
      <c r="GU10" s="303"/>
      <c r="GV10" s="303"/>
      <c r="GW10" s="303"/>
      <c r="GX10" s="303"/>
      <c r="GY10" s="303"/>
      <c r="GZ10" s="303"/>
      <c r="HA10" s="303"/>
      <c r="HB10" s="303"/>
      <c r="HC10" s="303"/>
      <c r="HD10" s="303"/>
      <c r="HE10" s="303"/>
      <c r="HF10" s="303"/>
      <c r="HG10" s="303"/>
      <c r="HH10" s="303"/>
      <c r="HI10" s="303"/>
      <c r="HJ10" s="303"/>
      <c r="HK10" s="303"/>
      <c r="HL10" s="303"/>
      <c r="HM10" s="303"/>
      <c r="HN10" s="303"/>
      <c r="HO10" s="303"/>
      <c r="HP10" s="303"/>
      <c r="HQ10" s="303"/>
      <c r="HR10" s="303"/>
      <c r="HS10" s="303"/>
      <c r="HT10" s="303"/>
      <c r="HU10" s="303"/>
      <c r="HV10" s="303"/>
      <c r="HW10" s="303"/>
      <c r="HX10" s="303"/>
      <c r="HY10" s="303"/>
      <c r="HZ10" s="303"/>
      <c r="IA10" s="303"/>
      <c r="IB10" s="303"/>
      <c r="IC10" s="303"/>
      <c r="ID10" s="303"/>
      <c r="IE10" s="303"/>
      <c r="IF10" s="303"/>
      <c r="IG10" s="303"/>
      <c r="IH10" s="303"/>
      <c r="II10" s="303"/>
      <c r="IJ10" s="303"/>
      <c r="IK10" s="303"/>
      <c r="IL10" s="303"/>
      <c r="IM10" s="303"/>
      <c r="IN10" s="303"/>
      <c r="IO10" s="303"/>
      <c r="IP10" s="303"/>
      <c r="IQ10" s="303"/>
      <c r="IR10" s="303"/>
      <c r="IS10" s="303"/>
      <c r="IT10" s="303"/>
      <c r="IU10" s="303"/>
      <c r="IV10" s="303"/>
      <c r="IW10" s="303"/>
      <c r="IX10" s="303"/>
      <c r="IY10" s="303"/>
      <c r="IZ10" s="303"/>
      <c r="JA10" s="303"/>
      <c r="JB10" s="303"/>
      <c r="JC10" s="303"/>
      <c r="JD10" s="303"/>
      <c r="JE10" s="303"/>
      <c r="JF10" s="303"/>
      <c r="JG10" s="303"/>
      <c r="JH10" s="303"/>
      <c r="JI10" s="303"/>
      <c r="JJ10" s="303"/>
      <c r="JK10" s="303"/>
      <c r="JL10" s="303"/>
      <c r="JM10" s="303"/>
      <c r="JN10" s="303"/>
      <c r="JO10" s="303"/>
      <c r="JP10" s="303"/>
      <c r="JQ10" s="303"/>
      <c r="JR10" s="303"/>
      <c r="JS10" s="303"/>
      <c r="JT10" s="303"/>
      <c r="JU10" s="303"/>
      <c r="JV10" s="303"/>
      <c r="JW10" s="303"/>
      <c r="JX10" s="303"/>
      <c r="JY10" s="303"/>
      <c r="JZ10" s="303"/>
      <c r="KA10" s="303"/>
      <c r="KB10" s="303"/>
      <c r="KC10" s="303"/>
      <c r="KD10" s="303"/>
      <c r="KE10" s="303"/>
      <c r="KF10" s="303"/>
      <c r="KG10" s="303"/>
      <c r="KH10" s="303"/>
      <c r="KI10" s="303"/>
    </row>
    <row r="11" spans="1:295" s="301" customFormat="1">
      <c r="A11" s="612"/>
      <c r="B11" s="299" t="s">
        <v>1816</v>
      </c>
      <c r="C11" s="299" t="s">
        <v>1817</v>
      </c>
      <c r="D11" s="300" t="s">
        <v>3593</v>
      </c>
      <c r="E11" s="299"/>
      <c r="F11" s="299" t="s">
        <v>1801</v>
      </c>
      <c r="G11" s="299"/>
    </row>
    <row r="12" spans="1:295" s="301" customFormat="1">
      <c r="A12" s="612"/>
      <c r="B12" s="299" t="s">
        <v>1818</v>
      </c>
      <c r="C12" s="299" t="s">
        <v>1819</v>
      </c>
      <c r="D12" s="300" t="s">
        <v>3593</v>
      </c>
      <c r="E12" s="299"/>
      <c r="F12" s="299" t="s">
        <v>1801</v>
      </c>
      <c r="G12" s="299"/>
    </row>
    <row r="13" spans="1:295" s="306" customFormat="1" ht="12.65" customHeight="1">
      <c r="A13" s="612"/>
      <c r="B13" s="299" t="s">
        <v>2466</v>
      </c>
      <c r="C13" s="299" t="s">
        <v>2465</v>
      </c>
      <c r="D13" s="300" t="s">
        <v>2464</v>
      </c>
      <c r="E13" s="300"/>
      <c r="F13" s="299" t="s">
        <v>1801</v>
      </c>
      <c r="G13" s="299"/>
      <c r="H13" s="305"/>
      <c r="I13" s="305"/>
      <c r="J13" s="305"/>
      <c r="K13" s="305"/>
      <c r="L13" s="305"/>
      <c r="M13" s="305"/>
      <c r="N13" s="305"/>
      <c r="O13" s="305"/>
      <c r="P13" s="305"/>
      <c r="Q13" s="305"/>
      <c r="R13" s="305"/>
      <c r="S13" s="305"/>
      <c r="T13" s="305"/>
      <c r="U13" s="305"/>
    </row>
    <row r="14" spans="1:295" s="301" customFormat="1">
      <c r="A14" s="612"/>
      <c r="B14" s="307" t="s">
        <v>2425</v>
      </c>
      <c r="C14" s="307" t="s">
        <v>2426</v>
      </c>
      <c r="D14" s="308" t="s">
        <v>24</v>
      </c>
      <c r="E14" s="307"/>
      <c r="F14" s="307" t="s">
        <v>1801</v>
      </c>
      <c r="G14" s="299"/>
    </row>
    <row r="15" spans="1:295" s="301" customFormat="1">
      <c r="A15" s="612"/>
      <c r="B15" s="307" t="s">
        <v>3546</v>
      </c>
      <c r="C15" s="307" t="s">
        <v>3547</v>
      </c>
      <c r="D15" s="308" t="s">
        <v>3548</v>
      </c>
      <c r="E15" s="307"/>
      <c r="F15" s="307" t="s">
        <v>1801</v>
      </c>
      <c r="G15" s="299"/>
    </row>
    <row r="16" spans="1:295" s="301" customFormat="1">
      <c r="A16" s="612"/>
      <c r="B16" s="307" t="s">
        <v>2427</v>
      </c>
      <c r="C16" s="307" t="s">
        <v>2428</v>
      </c>
      <c r="D16" s="308" t="s">
        <v>24</v>
      </c>
      <c r="E16" s="307"/>
      <c r="F16" s="307" t="s">
        <v>1801</v>
      </c>
      <c r="G16" s="299"/>
    </row>
    <row r="17" spans="1:17" s="301" customFormat="1">
      <c r="A17" s="612"/>
      <c r="B17" s="307" t="s">
        <v>2497</v>
      </c>
      <c r="C17" s="307" t="s">
        <v>2498</v>
      </c>
      <c r="D17" s="308" t="s">
        <v>24</v>
      </c>
      <c r="E17" s="307"/>
      <c r="F17" s="307" t="s">
        <v>1801</v>
      </c>
      <c r="G17" s="299"/>
    </row>
    <row r="18" spans="1:17" s="301" customFormat="1">
      <c r="A18" s="612"/>
      <c r="B18" s="307" t="s">
        <v>3589</v>
      </c>
      <c r="C18" s="307" t="s">
        <v>2501</v>
      </c>
      <c r="D18" s="308" t="s">
        <v>24</v>
      </c>
      <c r="E18" s="307"/>
      <c r="F18" s="307" t="s">
        <v>1801</v>
      </c>
      <c r="G18" s="299"/>
    </row>
    <row r="19" spans="1:17" s="301" customFormat="1">
      <c r="A19" s="612"/>
      <c r="B19" s="307" t="s">
        <v>2500</v>
      </c>
      <c r="C19" s="307" t="s">
        <v>2502</v>
      </c>
      <c r="D19" s="308" t="s">
        <v>24</v>
      </c>
      <c r="E19" s="307"/>
      <c r="F19" s="307" t="s">
        <v>1801</v>
      </c>
      <c r="G19" s="299"/>
    </row>
    <row r="20" spans="1:17" s="301" customFormat="1">
      <c r="A20" s="612"/>
      <c r="B20" s="307" t="s">
        <v>2504</v>
      </c>
      <c r="C20" s="307" t="s">
        <v>2507</v>
      </c>
      <c r="D20" s="308" t="s">
        <v>24</v>
      </c>
      <c r="E20" s="307"/>
      <c r="F20" s="307" t="s">
        <v>1801</v>
      </c>
      <c r="G20" s="299"/>
    </row>
    <row r="21" spans="1:17" s="301" customFormat="1">
      <c r="A21" s="612"/>
      <c r="B21" s="307" t="s">
        <v>2506</v>
      </c>
      <c r="C21" s="307" t="s">
        <v>2508</v>
      </c>
      <c r="D21" s="308" t="s">
        <v>24</v>
      </c>
      <c r="E21" s="307"/>
      <c r="F21" s="307" t="s">
        <v>1801</v>
      </c>
      <c r="G21" s="299"/>
    </row>
    <row r="22" spans="1:17" s="301" customFormat="1">
      <c r="A22" s="612"/>
      <c r="B22" s="307" t="s">
        <v>3155</v>
      </c>
      <c r="C22" s="307" t="s">
        <v>3164</v>
      </c>
      <c r="D22" s="308" t="s">
        <v>24</v>
      </c>
      <c r="E22" s="307"/>
      <c r="F22" s="307" t="s">
        <v>1801</v>
      </c>
      <c r="G22" s="299"/>
    </row>
    <row r="23" spans="1:17" s="301" customFormat="1">
      <c r="A23" s="612"/>
      <c r="B23" s="307" t="s">
        <v>3157</v>
      </c>
      <c r="C23" s="307" t="s">
        <v>3165</v>
      </c>
      <c r="D23" s="308" t="s">
        <v>24</v>
      </c>
      <c r="E23" s="307"/>
      <c r="F23" s="307" t="s">
        <v>1801</v>
      </c>
      <c r="G23" s="299"/>
    </row>
    <row r="24" spans="1:17" s="301" customFormat="1">
      <c r="A24" s="612"/>
      <c r="B24" s="307" t="s">
        <v>3159</v>
      </c>
      <c r="C24" s="307" t="s">
        <v>3166</v>
      </c>
      <c r="D24" s="308" t="s">
        <v>24</v>
      </c>
      <c r="E24" s="307"/>
      <c r="F24" s="307" t="s">
        <v>1801</v>
      </c>
      <c r="G24" s="299"/>
    </row>
    <row r="25" spans="1:17" s="301" customFormat="1">
      <c r="A25" s="612"/>
      <c r="B25" s="307" t="s">
        <v>3161</v>
      </c>
      <c r="C25" s="307" t="s">
        <v>3167</v>
      </c>
      <c r="D25" s="308" t="s">
        <v>24</v>
      </c>
      <c r="E25" s="307"/>
      <c r="F25" s="307" t="s">
        <v>1801</v>
      </c>
      <c r="G25" s="299"/>
    </row>
    <row r="26" spans="1:17" s="301" customFormat="1">
      <c r="A26" s="612"/>
      <c r="B26" s="307" t="s">
        <v>3163</v>
      </c>
      <c r="C26" s="307" t="s">
        <v>3168</v>
      </c>
      <c r="D26" s="308" t="s">
        <v>24</v>
      </c>
      <c r="E26" s="307"/>
      <c r="F26" s="307" t="s">
        <v>1801</v>
      </c>
      <c r="G26" s="299"/>
    </row>
    <row r="27" spans="1:17" s="301" customFormat="1">
      <c r="A27" s="612"/>
      <c r="B27" s="307" t="s">
        <v>2429</v>
      </c>
      <c r="C27" s="307" t="s">
        <v>2430</v>
      </c>
      <c r="D27" s="308" t="s">
        <v>24</v>
      </c>
      <c r="E27" s="307"/>
      <c r="F27" s="307" t="s">
        <v>1801</v>
      </c>
      <c r="G27" s="299"/>
    </row>
    <row r="28" spans="1:17" s="301" customFormat="1">
      <c r="A28" s="612"/>
      <c r="B28" s="307" t="s">
        <v>2825</v>
      </c>
      <c r="C28" s="307" t="s">
        <v>2431</v>
      </c>
      <c r="D28" s="308" t="s">
        <v>24</v>
      </c>
      <c r="E28" s="307"/>
      <c r="F28" s="307" t="s">
        <v>1801</v>
      </c>
      <c r="G28" s="299"/>
    </row>
    <row r="29" spans="1:17" s="313" customFormat="1" ht="13.5" customHeight="1">
      <c r="A29" s="612"/>
      <c r="B29" s="309" t="s">
        <v>2432</v>
      </c>
      <c r="C29" s="310" t="s">
        <v>2435</v>
      </c>
      <c r="D29" s="311" t="s">
        <v>2405</v>
      </c>
      <c r="E29" s="311"/>
      <c r="F29" s="307" t="s">
        <v>1801</v>
      </c>
      <c r="G29" s="311"/>
      <c r="H29" s="407"/>
      <c r="I29" s="408"/>
      <c r="J29" s="407"/>
      <c r="K29" s="407"/>
      <c r="L29" s="312"/>
      <c r="M29" s="312"/>
      <c r="N29" s="312"/>
      <c r="O29" s="312"/>
      <c r="P29" s="312"/>
      <c r="Q29" s="312"/>
    </row>
    <row r="30" spans="1:17" s="313" customFormat="1" ht="12.65" customHeight="1">
      <c r="A30" s="612"/>
      <c r="B30" s="309" t="s">
        <v>2433</v>
      </c>
      <c r="C30" s="310" t="s">
        <v>2436</v>
      </c>
      <c r="D30" s="311" t="s">
        <v>2405</v>
      </c>
      <c r="E30" s="311"/>
      <c r="F30" s="307" t="s">
        <v>1801</v>
      </c>
      <c r="G30" s="311"/>
      <c r="H30" s="407"/>
      <c r="I30" s="408"/>
      <c r="J30" s="407"/>
      <c r="K30" s="407"/>
      <c r="L30" s="312"/>
      <c r="M30" s="312"/>
      <c r="N30" s="312"/>
      <c r="O30" s="312"/>
      <c r="P30" s="312"/>
      <c r="Q30" s="312"/>
    </row>
    <row r="31" spans="1:17" s="313" customFormat="1" ht="13" customHeight="1">
      <c r="A31" s="612"/>
      <c r="B31" s="309" t="s">
        <v>2434</v>
      </c>
      <c r="C31" s="310" t="s">
        <v>2437</v>
      </c>
      <c r="D31" s="311" t="s">
        <v>2405</v>
      </c>
      <c r="E31" s="311"/>
      <c r="F31" s="307" t="s">
        <v>1801</v>
      </c>
      <c r="G31" s="311"/>
      <c r="H31" s="407"/>
      <c r="I31" s="407"/>
      <c r="J31" s="407"/>
      <c r="K31" s="407"/>
      <c r="L31" s="312"/>
      <c r="M31" s="312"/>
      <c r="N31" s="312"/>
      <c r="O31" s="312"/>
      <c r="P31" s="312"/>
      <c r="Q31" s="312"/>
    </row>
    <row r="32" spans="1:17" s="313" customFormat="1" ht="13" customHeight="1">
      <c r="A32" s="612"/>
      <c r="B32" s="309" t="s">
        <v>3150</v>
      </c>
      <c r="C32" s="310" t="s">
        <v>3151</v>
      </c>
      <c r="D32" s="311" t="s">
        <v>3116</v>
      </c>
      <c r="E32" s="311"/>
      <c r="F32" s="307" t="s">
        <v>3152</v>
      </c>
      <c r="G32" s="311"/>
      <c r="H32" s="407"/>
      <c r="I32" s="407"/>
      <c r="J32" s="407"/>
      <c r="K32" s="407"/>
      <c r="L32" s="312"/>
      <c r="M32" s="312"/>
      <c r="N32" s="312"/>
      <c r="O32" s="312"/>
      <c r="P32" s="312"/>
      <c r="Q32" s="312"/>
    </row>
    <row r="33" spans="1:7" s="316" customFormat="1">
      <c r="A33" s="612"/>
      <c r="B33" s="314" t="s">
        <v>2438</v>
      </c>
      <c r="C33" s="315" t="s">
        <v>2439</v>
      </c>
      <c r="D33" s="311" t="s">
        <v>2405</v>
      </c>
      <c r="E33" s="311"/>
      <c r="F33" s="307" t="s">
        <v>1801</v>
      </c>
      <c r="G33" s="314"/>
    </row>
    <row r="34" spans="1:7" s="316" customFormat="1">
      <c r="A34" s="612"/>
      <c r="B34" s="314" t="s">
        <v>3059</v>
      </c>
      <c r="C34" s="315" t="s">
        <v>2440</v>
      </c>
      <c r="D34" s="311" t="s">
        <v>2405</v>
      </c>
      <c r="E34" s="311"/>
      <c r="F34" s="307" t="s">
        <v>1801</v>
      </c>
      <c r="G34" s="314"/>
    </row>
    <row r="35" spans="1:7" s="316" customFormat="1">
      <c r="A35" s="612"/>
      <c r="B35" s="399" t="s">
        <v>3060</v>
      </c>
      <c r="C35" s="315" t="s">
        <v>3062</v>
      </c>
      <c r="D35" s="311" t="s">
        <v>2405</v>
      </c>
      <c r="E35" s="311"/>
      <c r="F35" s="307" t="s">
        <v>1801</v>
      </c>
      <c r="G35" s="314"/>
    </row>
    <row r="36" spans="1:7" s="316" customFormat="1">
      <c r="A36" s="612"/>
      <c r="B36" s="399" t="s">
        <v>3061</v>
      </c>
      <c r="C36" s="315" t="s">
        <v>3063</v>
      </c>
      <c r="D36" s="311" t="s">
        <v>2405</v>
      </c>
      <c r="E36" s="311"/>
      <c r="F36" s="307" t="s">
        <v>1801</v>
      </c>
      <c r="G36" s="314"/>
    </row>
    <row r="37" spans="1:7" s="316" customFormat="1">
      <c r="A37" s="612"/>
      <c r="B37" s="399" t="s">
        <v>3064</v>
      </c>
      <c r="C37" s="315" t="s">
        <v>3065</v>
      </c>
      <c r="D37" s="311" t="s">
        <v>2405</v>
      </c>
      <c r="E37" s="311"/>
      <c r="F37" s="307" t="s">
        <v>1801</v>
      </c>
      <c r="G37" s="314"/>
    </row>
    <row r="38" spans="1:7" s="316" customFormat="1">
      <c r="A38" s="612"/>
      <c r="B38" s="399" t="s">
        <v>3066</v>
      </c>
      <c r="C38" s="315" t="s">
        <v>3067</v>
      </c>
      <c r="D38" s="311" t="s">
        <v>2405</v>
      </c>
      <c r="E38" s="311"/>
      <c r="F38" s="307" t="s">
        <v>1801</v>
      </c>
      <c r="G38" s="314"/>
    </row>
    <row r="39" spans="1:7" s="316" customFormat="1" ht="14" customHeight="1">
      <c r="A39" s="612"/>
      <c r="B39" s="399" t="s">
        <v>3069</v>
      </c>
      <c r="C39" s="315" t="s">
        <v>2441</v>
      </c>
      <c r="D39" s="311" t="s">
        <v>2405</v>
      </c>
      <c r="E39" s="311"/>
      <c r="F39" s="307" t="s">
        <v>1801</v>
      </c>
      <c r="G39" s="314"/>
    </row>
    <row r="40" spans="1:7" s="305" customFormat="1">
      <c r="A40" s="612"/>
      <c r="B40" s="299" t="s">
        <v>2443</v>
      </c>
      <c r="C40" s="299" t="s">
        <v>2444</v>
      </c>
      <c r="D40" s="300" t="s">
        <v>24</v>
      </c>
      <c r="E40" s="299"/>
      <c r="F40" s="299" t="s">
        <v>2445</v>
      </c>
      <c r="G40" s="299"/>
    </row>
    <row r="41" spans="1:7" s="305" customFormat="1">
      <c r="A41" s="612"/>
      <c r="B41" s="299" t="s">
        <v>2446</v>
      </c>
      <c r="C41" s="299" t="s">
        <v>2447</v>
      </c>
      <c r="D41" s="300" t="s">
        <v>24</v>
      </c>
      <c r="E41" s="299"/>
      <c r="F41" s="299" t="s">
        <v>2445</v>
      </c>
      <c r="G41" s="299"/>
    </row>
    <row r="42" spans="1:7" s="305" customFormat="1">
      <c r="A42" s="612"/>
      <c r="B42" s="299" t="s">
        <v>2448</v>
      </c>
      <c r="C42" s="299" t="s">
        <v>2449</v>
      </c>
      <c r="D42" s="300" t="s">
        <v>24</v>
      </c>
      <c r="E42" s="299"/>
      <c r="F42" s="299" t="s">
        <v>2445</v>
      </c>
      <c r="G42" s="299"/>
    </row>
    <row r="43" spans="1:7" s="305" customFormat="1">
      <c r="A43" s="612"/>
      <c r="B43" s="299" t="s">
        <v>2450</v>
      </c>
      <c r="C43" s="299" t="s">
        <v>1802</v>
      </c>
      <c r="D43" s="300" t="s">
        <v>24</v>
      </c>
      <c r="E43" s="299"/>
      <c r="F43" s="299" t="s">
        <v>2445</v>
      </c>
      <c r="G43" s="299"/>
    </row>
    <row r="44" spans="1:7" s="305" customFormat="1">
      <c r="A44" s="612"/>
      <c r="B44" s="299" t="s">
        <v>2451</v>
      </c>
      <c r="C44" s="299" t="s">
        <v>1803</v>
      </c>
      <c r="D44" s="300" t="s">
        <v>24</v>
      </c>
      <c r="E44" s="299"/>
      <c r="F44" s="299" t="s">
        <v>2445</v>
      </c>
      <c r="G44" s="299"/>
    </row>
    <row r="45" spans="1:7" s="305" customFormat="1">
      <c r="A45" s="612"/>
      <c r="B45" s="299" t="s">
        <v>2452</v>
      </c>
      <c r="C45" s="299" t="s">
        <v>1804</v>
      </c>
      <c r="D45" s="300" t="s">
        <v>24</v>
      </c>
      <c r="E45" s="299"/>
      <c r="F45" s="299" t="s">
        <v>2445</v>
      </c>
      <c r="G45" s="299"/>
    </row>
    <row r="46" spans="1:7" s="305" customFormat="1">
      <c r="A46" s="612"/>
      <c r="B46" s="299" t="s">
        <v>2453</v>
      </c>
      <c r="C46" s="299" t="s">
        <v>1805</v>
      </c>
      <c r="D46" s="300" t="s">
        <v>24</v>
      </c>
      <c r="E46" s="299"/>
      <c r="F46" s="299" t="s">
        <v>2445</v>
      </c>
      <c r="G46" s="299"/>
    </row>
    <row r="47" spans="1:7" s="305" customFormat="1">
      <c r="A47" s="612"/>
      <c r="B47" s="299" t="s">
        <v>2454</v>
      </c>
      <c r="C47" s="299" t="s">
        <v>1806</v>
      </c>
      <c r="D47" s="300" t="s">
        <v>24</v>
      </c>
      <c r="E47" s="299"/>
      <c r="F47" s="299" t="s">
        <v>2445</v>
      </c>
      <c r="G47" s="299"/>
    </row>
    <row r="48" spans="1:7" s="305" customFormat="1">
      <c r="A48" s="612"/>
      <c r="B48" s="299" t="s">
        <v>2455</v>
      </c>
      <c r="C48" s="299" t="s">
        <v>1807</v>
      </c>
      <c r="D48" s="300" t="s">
        <v>24</v>
      </c>
      <c r="E48" s="299"/>
      <c r="F48" s="299" t="s">
        <v>2445</v>
      </c>
      <c r="G48" s="299"/>
    </row>
    <row r="49" spans="1:21" s="305" customFormat="1">
      <c r="A49" s="612"/>
      <c r="B49" s="299" t="s">
        <v>2456</v>
      </c>
      <c r="C49" s="299" t="s">
        <v>1808</v>
      </c>
      <c r="D49" s="300" t="s">
        <v>24</v>
      </c>
      <c r="E49" s="299"/>
      <c r="F49" s="299" t="s">
        <v>2445</v>
      </c>
      <c r="G49" s="299"/>
    </row>
    <row r="50" spans="1:21" s="305" customFormat="1">
      <c r="A50" s="612"/>
      <c r="B50" s="299" t="s">
        <v>2457</v>
      </c>
      <c r="C50" s="299" t="s">
        <v>2458</v>
      </c>
      <c r="D50" s="300" t="s">
        <v>24</v>
      </c>
      <c r="E50" s="299"/>
      <c r="F50" s="299" t="s">
        <v>2445</v>
      </c>
      <c r="G50" s="299"/>
    </row>
    <row r="51" spans="1:21" s="305" customFormat="1">
      <c r="A51" s="612"/>
      <c r="B51" s="299" t="s">
        <v>3545</v>
      </c>
      <c r="C51" s="299" t="s">
        <v>2459</v>
      </c>
      <c r="D51" s="300" t="s">
        <v>24</v>
      </c>
      <c r="E51" s="299"/>
      <c r="F51" s="299" t="s">
        <v>2445</v>
      </c>
      <c r="G51" s="299"/>
    </row>
    <row r="52" spans="1:21" s="306" customFormat="1" ht="14.5" customHeight="1">
      <c r="A52" s="612"/>
      <c r="B52" s="299" t="s">
        <v>2460</v>
      </c>
      <c r="C52" s="299" t="s">
        <v>2461</v>
      </c>
      <c r="D52" s="300" t="s">
        <v>2464</v>
      </c>
      <c r="E52" s="300"/>
      <c r="F52" s="299" t="s">
        <v>2445</v>
      </c>
      <c r="G52" s="299"/>
      <c r="H52" s="305"/>
      <c r="I52" s="305"/>
      <c r="J52" s="305"/>
      <c r="K52" s="305"/>
      <c r="L52" s="305"/>
      <c r="M52" s="305"/>
      <c r="N52" s="305"/>
      <c r="O52" s="305"/>
      <c r="P52" s="305"/>
      <c r="Q52" s="305"/>
      <c r="R52" s="305"/>
      <c r="S52" s="305"/>
      <c r="T52" s="305"/>
      <c r="U52" s="305"/>
    </row>
    <row r="53" spans="1:21" s="306" customFormat="1" ht="14.5" customHeight="1">
      <c r="A53" s="612"/>
      <c r="B53" s="299" t="s">
        <v>2462</v>
      </c>
      <c r="C53" s="299" t="s">
        <v>3092</v>
      </c>
      <c r="D53" s="300" t="s">
        <v>24</v>
      </c>
      <c r="E53" s="300"/>
      <c r="F53" s="299" t="s">
        <v>2445</v>
      </c>
      <c r="G53" s="299"/>
      <c r="H53" s="305"/>
      <c r="I53" s="305"/>
      <c r="J53" s="305"/>
      <c r="K53" s="305"/>
      <c r="L53" s="305"/>
      <c r="M53" s="305"/>
      <c r="N53" s="305"/>
      <c r="O53" s="305"/>
      <c r="P53" s="305"/>
      <c r="Q53" s="305"/>
      <c r="R53" s="305"/>
      <c r="S53" s="305"/>
      <c r="T53" s="305"/>
      <c r="U53" s="305"/>
    </row>
    <row r="54" spans="1:21" s="306" customFormat="1" ht="14.5" customHeight="1">
      <c r="A54" s="612"/>
      <c r="B54" s="299" t="s">
        <v>3089</v>
      </c>
      <c r="C54" s="299" t="s">
        <v>3093</v>
      </c>
      <c r="D54" s="300" t="s">
        <v>24</v>
      </c>
      <c r="E54" s="300"/>
      <c r="F54" s="299" t="s">
        <v>2445</v>
      </c>
      <c r="G54" s="299"/>
      <c r="H54" s="305"/>
      <c r="I54" s="305"/>
      <c r="J54" s="305"/>
      <c r="K54" s="305"/>
      <c r="L54" s="305"/>
      <c r="M54" s="305"/>
      <c r="N54" s="305"/>
      <c r="O54" s="305"/>
      <c r="P54" s="305"/>
      <c r="Q54" s="305"/>
      <c r="R54" s="305"/>
      <c r="S54" s="305"/>
      <c r="T54" s="305"/>
      <c r="U54" s="305"/>
    </row>
    <row r="55" spans="1:21" s="306" customFormat="1" ht="14.5" customHeight="1">
      <c r="A55" s="612"/>
      <c r="B55" s="299" t="s">
        <v>3091</v>
      </c>
      <c r="C55" s="299" t="s">
        <v>3094</v>
      </c>
      <c r="D55" s="300" t="s">
        <v>24</v>
      </c>
      <c r="E55" s="300"/>
      <c r="F55" s="299" t="s">
        <v>2445</v>
      </c>
      <c r="G55" s="299"/>
      <c r="H55" s="305"/>
      <c r="I55" s="305"/>
      <c r="J55" s="305"/>
      <c r="K55" s="305"/>
      <c r="L55" s="305"/>
      <c r="M55" s="305"/>
      <c r="N55" s="305"/>
      <c r="O55" s="305"/>
      <c r="P55" s="305"/>
      <c r="Q55" s="305"/>
      <c r="R55" s="305"/>
      <c r="S55" s="305"/>
      <c r="T55" s="305"/>
      <c r="U55" s="305"/>
    </row>
    <row r="56" spans="1:21" s="306" customFormat="1" ht="14.5" customHeight="1">
      <c r="A56" s="612"/>
      <c r="B56" s="299" t="s">
        <v>3211</v>
      </c>
      <c r="C56" s="299" t="s">
        <v>3095</v>
      </c>
      <c r="D56" s="300" t="s">
        <v>24</v>
      </c>
      <c r="E56" s="300"/>
      <c r="F56" s="299" t="s">
        <v>2445</v>
      </c>
      <c r="G56" s="299"/>
      <c r="H56" s="305"/>
      <c r="I56" s="305"/>
      <c r="J56" s="305"/>
      <c r="K56" s="305"/>
      <c r="L56" s="305"/>
      <c r="M56" s="305"/>
      <c r="N56" s="305"/>
      <c r="O56" s="305"/>
      <c r="P56" s="305"/>
      <c r="Q56" s="305"/>
      <c r="R56" s="305"/>
      <c r="S56" s="305"/>
      <c r="T56" s="305"/>
      <c r="U56" s="305"/>
    </row>
    <row r="57" spans="1:21" s="306" customFormat="1" ht="14.5" customHeight="1">
      <c r="A57" s="613"/>
      <c r="B57" s="299" t="s">
        <v>2468</v>
      </c>
      <c r="C57" s="299" t="s">
        <v>2484</v>
      </c>
      <c r="D57" s="300" t="s">
        <v>2464</v>
      </c>
      <c r="E57" s="300"/>
      <c r="F57" s="307"/>
      <c r="G57" s="299"/>
      <c r="H57" s="305"/>
      <c r="I57" s="305"/>
      <c r="J57" s="305"/>
      <c r="K57" s="305"/>
      <c r="L57" s="305"/>
      <c r="M57" s="305"/>
      <c r="N57" s="305"/>
      <c r="O57" s="305"/>
      <c r="P57" s="305"/>
      <c r="Q57" s="305"/>
      <c r="R57" s="305"/>
      <c r="S57" s="305"/>
      <c r="T57" s="305"/>
      <c r="U57" s="305"/>
    </row>
    <row r="58" spans="1:21" s="319" customFormat="1" ht="27" customHeight="1">
      <c r="A58" s="317" t="s">
        <v>1822</v>
      </c>
      <c r="B58" s="317"/>
      <c r="C58" s="317"/>
      <c r="D58" s="318"/>
      <c r="E58" s="317"/>
      <c r="F58" s="317"/>
      <c r="G58" s="317"/>
    </row>
  </sheetData>
  <mergeCells count="1">
    <mergeCell ref="A2:A57"/>
  </mergeCells>
  <phoneticPr fontId="53" type="noConversion"/>
  <pageMargins left="0.69930555555555596" right="0.69930555555555596"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dimension ref="A1:E32"/>
  <sheetViews>
    <sheetView zoomScale="80" zoomScaleNormal="80" workbookViewId="0">
      <selection activeCell="B8" sqref="B8"/>
    </sheetView>
  </sheetViews>
  <sheetFormatPr defaultRowHeight="14"/>
  <cols>
    <col min="1" max="1" width="21" customWidth="1"/>
    <col min="2" max="2" width="22.1796875" customWidth="1"/>
    <col min="3" max="3" width="21" customWidth="1"/>
    <col min="4" max="4" width="17.453125" customWidth="1"/>
    <col min="5" max="5" width="27.90625" customWidth="1"/>
  </cols>
  <sheetData>
    <row r="1" spans="1:5" s="39" customFormat="1" ht="15" thickBot="1">
      <c r="A1" s="482" t="s">
        <v>4048</v>
      </c>
      <c r="B1" s="483" t="s">
        <v>4049</v>
      </c>
      <c r="C1" s="482" t="s">
        <v>4050</v>
      </c>
      <c r="D1" s="482" t="s">
        <v>4051</v>
      </c>
      <c r="E1" s="484" t="s">
        <v>4130</v>
      </c>
    </row>
    <row r="2" spans="1:5" ht="56.5" thickBot="1">
      <c r="A2" s="479" t="s">
        <v>4052</v>
      </c>
      <c r="B2" s="478" t="s">
        <v>4053</v>
      </c>
      <c r="C2" s="479" t="s">
        <v>4054</v>
      </c>
      <c r="D2" s="479" t="s">
        <v>4116</v>
      </c>
      <c r="E2" s="481"/>
    </row>
    <row r="3" spans="1:5" ht="84.5" thickBot="1">
      <c r="A3" s="479" t="s">
        <v>4055</v>
      </c>
      <c r="B3" s="478" t="s">
        <v>4056</v>
      </c>
      <c r="C3" s="479" t="s">
        <v>4052</v>
      </c>
      <c r="D3" s="479" t="s">
        <v>4141</v>
      </c>
      <c r="E3" s="480"/>
    </row>
    <row r="4" spans="1:5" ht="14.5" thickBot="1">
      <c r="A4" s="479" t="s">
        <v>4058</v>
      </c>
      <c r="B4" s="478" t="s">
        <v>4059</v>
      </c>
      <c r="C4" s="479" t="s">
        <v>4055</v>
      </c>
      <c r="D4" s="478" t="s">
        <v>4057</v>
      </c>
      <c r="E4" s="480"/>
    </row>
    <row r="5" spans="1:5" ht="14.5" thickBot="1">
      <c r="A5" s="479" t="s">
        <v>4060</v>
      </c>
      <c r="B5" s="478" t="s">
        <v>4061</v>
      </c>
      <c r="C5" s="479" t="s">
        <v>4058</v>
      </c>
      <c r="D5" s="478" t="s">
        <v>4057</v>
      </c>
      <c r="E5" s="480"/>
    </row>
    <row r="6" spans="1:5" ht="98.5" thickBot="1">
      <c r="A6" s="479" t="s">
        <v>4062</v>
      </c>
      <c r="B6" s="478" t="s">
        <v>4063</v>
      </c>
      <c r="C6" s="479" t="s">
        <v>4052</v>
      </c>
      <c r="D6" s="479" t="s">
        <v>4148</v>
      </c>
      <c r="E6" s="480"/>
    </row>
    <row r="7" spans="1:5" ht="56.5" thickBot="1">
      <c r="A7" s="479" t="s">
        <v>4064</v>
      </c>
      <c r="B7" s="479" t="s">
        <v>4065</v>
      </c>
      <c r="C7" s="479" t="s">
        <v>4052</v>
      </c>
      <c r="D7" s="479" t="s">
        <v>4116</v>
      </c>
      <c r="E7" s="481"/>
    </row>
    <row r="8" spans="1:5" ht="98.5" thickBot="1">
      <c r="A8" s="479" t="s">
        <v>4066</v>
      </c>
      <c r="B8" s="479" t="s">
        <v>4067</v>
      </c>
      <c r="C8" s="479" t="s">
        <v>4052</v>
      </c>
      <c r="D8" s="479" t="s">
        <v>4129</v>
      </c>
      <c r="E8" s="481"/>
    </row>
    <row r="9" spans="1:5" ht="112.5" thickBot="1">
      <c r="A9" s="479" t="s">
        <v>4068</v>
      </c>
      <c r="B9" s="479" t="s">
        <v>4069</v>
      </c>
      <c r="C9" s="479" t="s">
        <v>4066</v>
      </c>
      <c r="D9" s="479" t="s">
        <v>4118</v>
      </c>
      <c r="E9" s="481"/>
    </row>
    <row r="10" spans="1:5" ht="56.5" thickBot="1">
      <c r="A10" s="479" t="s">
        <v>4070</v>
      </c>
      <c r="B10" s="479" t="s">
        <v>4071</v>
      </c>
      <c r="C10" s="479" t="s">
        <v>4068</v>
      </c>
      <c r="D10" s="479" t="s">
        <v>4112</v>
      </c>
      <c r="E10" s="481"/>
    </row>
    <row r="11" spans="1:5" ht="56.5" thickBot="1">
      <c r="A11" s="479" t="s">
        <v>4072</v>
      </c>
      <c r="B11" s="479" t="s">
        <v>4073</v>
      </c>
      <c r="C11" s="479" t="s">
        <v>4068</v>
      </c>
      <c r="D11" s="479" t="s">
        <v>4114</v>
      </c>
      <c r="E11" s="481"/>
    </row>
    <row r="12" spans="1:5" ht="28.5" thickBot="1">
      <c r="A12" s="479" t="s">
        <v>4074</v>
      </c>
      <c r="B12" s="479" t="s">
        <v>4075</v>
      </c>
      <c r="C12" s="479" t="s">
        <v>4068</v>
      </c>
      <c r="D12" s="479" t="s">
        <v>4138</v>
      </c>
      <c r="E12" s="481"/>
    </row>
    <row r="13" spans="1:5" ht="56.5" thickBot="1">
      <c r="A13" s="479" t="s">
        <v>4076</v>
      </c>
      <c r="B13" s="479" t="s">
        <v>4077</v>
      </c>
      <c r="C13" s="479" t="s">
        <v>4052</v>
      </c>
      <c r="D13" s="479" t="s">
        <v>4034</v>
      </c>
      <c r="E13" s="481"/>
    </row>
    <row r="14" spans="1:5" ht="112.5" thickBot="1">
      <c r="A14" s="479" t="s">
        <v>4078</v>
      </c>
      <c r="B14" s="479" t="s">
        <v>4079</v>
      </c>
      <c r="C14" s="479" t="s">
        <v>4076</v>
      </c>
      <c r="D14" s="479" t="s">
        <v>4206</v>
      </c>
      <c r="E14" s="481"/>
    </row>
    <row r="15" spans="1:5" ht="112.5" thickBot="1">
      <c r="A15" s="479" t="s">
        <v>4080</v>
      </c>
      <c r="B15" s="479" t="s">
        <v>4081</v>
      </c>
      <c r="C15" s="479" t="s">
        <v>4082</v>
      </c>
      <c r="D15" s="479" t="s">
        <v>4119</v>
      </c>
      <c r="E15" s="481"/>
    </row>
    <row r="16" spans="1:5" ht="112.5" thickBot="1">
      <c r="A16" s="479" t="s">
        <v>4080</v>
      </c>
      <c r="B16" s="479" t="s">
        <v>4083</v>
      </c>
      <c r="C16" s="479" t="s">
        <v>4082</v>
      </c>
      <c r="D16" s="479" t="s">
        <v>4119</v>
      </c>
      <c r="E16" s="481"/>
    </row>
    <row r="17" spans="1:5" ht="14.5" thickBot="1">
      <c r="A17" s="479" t="s">
        <v>4084</v>
      </c>
      <c r="B17" s="478" t="s">
        <v>4085</v>
      </c>
      <c r="C17" s="479" t="s">
        <v>4052</v>
      </c>
      <c r="D17" s="479" t="s">
        <v>4117</v>
      </c>
      <c r="E17" s="480"/>
    </row>
    <row r="18" spans="1:5" ht="28.5" thickBot="1">
      <c r="A18" s="479" t="s">
        <v>4086</v>
      </c>
      <c r="B18" s="478" t="s">
        <v>4087</v>
      </c>
      <c r="C18" s="479" t="s">
        <v>4052</v>
      </c>
      <c r="D18" s="479" t="s">
        <v>3966</v>
      </c>
      <c r="E18" s="481"/>
    </row>
    <row r="19" spans="1:5" ht="112.5" thickBot="1">
      <c r="A19" s="479" t="s">
        <v>4082</v>
      </c>
      <c r="B19" s="478" t="s">
        <v>4088</v>
      </c>
      <c r="C19" s="479" t="s">
        <v>4052</v>
      </c>
      <c r="D19" s="479" t="s">
        <v>4119</v>
      </c>
      <c r="E19" s="481"/>
    </row>
    <row r="20" spans="1:5" ht="56.5" thickBot="1">
      <c r="A20" s="479" t="s">
        <v>4089</v>
      </c>
      <c r="B20" s="479" t="s">
        <v>4090</v>
      </c>
      <c r="C20" s="479" t="s">
        <v>4064</v>
      </c>
      <c r="D20" s="479" t="s">
        <v>4123</v>
      </c>
      <c r="E20" s="481"/>
    </row>
    <row r="21" spans="1:5" ht="42.5" thickBot="1">
      <c r="A21" s="479" t="s">
        <v>4091</v>
      </c>
      <c r="B21" s="478" t="s">
        <v>4092</v>
      </c>
      <c r="C21" s="479" t="s">
        <v>4060</v>
      </c>
      <c r="D21" s="479" t="s">
        <v>4125</v>
      </c>
      <c r="E21" s="481"/>
    </row>
    <row r="22" spans="1:5" ht="15" thickBot="1">
      <c r="A22" s="479" t="s">
        <v>4093</v>
      </c>
      <c r="B22" s="479" t="s">
        <v>4094</v>
      </c>
      <c r="C22" s="479" t="s">
        <v>4068</v>
      </c>
      <c r="D22" s="479" t="s">
        <v>4117</v>
      </c>
      <c r="E22" s="480"/>
    </row>
    <row r="23" spans="1:5" ht="15" thickBot="1">
      <c r="A23" s="479" t="s">
        <v>4095</v>
      </c>
      <c r="B23" s="479" t="s">
        <v>4096</v>
      </c>
      <c r="C23" s="479" t="s">
        <v>4093</v>
      </c>
      <c r="D23" s="479" t="s">
        <v>4117</v>
      </c>
      <c r="E23" s="480"/>
    </row>
    <row r="24" spans="1:5" ht="15" thickBot="1">
      <c r="A24" s="479" t="s">
        <v>4097</v>
      </c>
      <c r="B24" s="479" t="s">
        <v>4098</v>
      </c>
      <c r="C24" s="479" t="s">
        <v>4078</v>
      </c>
      <c r="D24" s="479" t="s">
        <v>4117</v>
      </c>
      <c r="E24" s="480"/>
    </row>
    <row r="25" spans="1:5" ht="15" thickBot="1">
      <c r="A25" s="479" t="s">
        <v>4099</v>
      </c>
      <c r="B25" s="479" t="s">
        <v>4100</v>
      </c>
      <c r="C25" s="479" t="s">
        <v>4097</v>
      </c>
      <c r="D25" s="479" t="s">
        <v>4117</v>
      </c>
      <c r="E25" s="480"/>
    </row>
    <row r="26" spans="1:5" ht="15" thickBot="1">
      <c r="A26" s="479" t="s">
        <v>4101</v>
      </c>
      <c r="B26" s="479" t="s">
        <v>4102</v>
      </c>
      <c r="C26" s="479" t="s">
        <v>4082</v>
      </c>
      <c r="D26" s="479" t="s">
        <v>4117</v>
      </c>
      <c r="E26" s="480"/>
    </row>
    <row r="27" spans="1:5" ht="14.5" thickBot="1">
      <c r="A27" s="479" t="s">
        <v>4103</v>
      </c>
      <c r="B27" s="478" t="s">
        <v>4104</v>
      </c>
      <c r="C27" s="479" t="s">
        <v>4082</v>
      </c>
      <c r="D27" s="479" t="s">
        <v>4117</v>
      </c>
      <c r="E27" s="480"/>
    </row>
    <row r="28" spans="1:5" ht="28.5" thickBot="1">
      <c r="A28" s="479" t="s">
        <v>4105</v>
      </c>
      <c r="B28" s="478" t="s">
        <v>4106</v>
      </c>
      <c r="C28" s="479" t="s">
        <v>4054</v>
      </c>
      <c r="D28" s="479" t="s">
        <v>4127</v>
      </c>
      <c r="E28" s="481"/>
    </row>
    <row r="29" spans="1:5" ht="55.5" thickBot="1">
      <c r="A29" s="479" t="s">
        <v>4107</v>
      </c>
      <c r="B29" s="479" t="s">
        <v>4108</v>
      </c>
      <c r="C29" s="479" t="s">
        <v>4052</v>
      </c>
      <c r="D29" s="479" t="s">
        <v>4142</v>
      </c>
      <c r="E29" s="481"/>
    </row>
    <row r="30" spans="1:5" ht="112.5" thickBot="1">
      <c r="A30" s="479" t="s">
        <v>4082</v>
      </c>
      <c r="B30" s="479" t="s">
        <v>4109</v>
      </c>
      <c r="C30" s="479" t="s">
        <v>4052</v>
      </c>
      <c r="D30" s="479" t="s">
        <v>4119</v>
      </c>
      <c r="E30" s="481"/>
    </row>
    <row r="31" spans="1:5" ht="112.5" thickBot="1">
      <c r="A31" s="479" t="s">
        <v>4110</v>
      </c>
      <c r="B31" s="479" t="s">
        <v>4111</v>
      </c>
      <c r="C31" s="479" t="s">
        <v>4052</v>
      </c>
      <c r="D31" s="479" t="s">
        <v>4119</v>
      </c>
      <c r="E31" s="481"/>
    </row>
    <row r="32" spans="1:5" ht="98.5" thickBot="1">
      <c r="A32" s="479" t="s">
        <v>4143</v>
      </c>
      <c r="B32" s="479" t="s">
        <v>4144</v>
      </c>
      <c r="C32" s="479" t="s">
        <v>4052</v>
      </c>
      <c r="D32" s="479" t="s">
        <v>4147</v>
      </c>
      <c r="E32" s="479"/>
    </row>
  </sheetData>
  <phoneticPr fontId="5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26</vt:i4>
      </vt:variant>
    </vt:vector>
  </HeadingPairs>
  <TitlesOfParts>
    <vt:vector size="26" baseType="lpstr">
      <vt:lpstr>设备参数数据表</vt:lpstr>
      <vt:lpstr>修订历史</vt:lpstr>
      <vt:lpstr>封面</vt:lpstr>
      <vt:lpstr>目录</vt:lpstr>
      <vt:lpstr>SA</vt:lpstr>
      <vt:lpstr>SB</vt:lpstr>
      <vt:lpstr>SC</vt:lpstr>
      <vt:lpstr>SD</vt:lpstr>
      <vt:lpstr>SE</vt:lpstr>
      <vt:lpstr>SF</vt:lpstr>
      <vt:lpstr>SG</vt:lpstr>
      <vt:lpstr>SH</vt:lpstr>
      <vt:lpstr>SI</vt:lpstr>
      <vt:lpstr>SJ</vt:lpstr>
      <vt:lpstr>SK</vt:lpstr>
      <vt:lpstr>SL</vt:lpstr>
      <vt:lpstr>SM</vt:lpstr>
      <vt:lpstr>SN</vt:lpstr>
      <vt:lpstr>SO</vt:lpstr>
      <vt:lpstr>SP</vt:lpstr>
      <vt:lpstr>SQ</vt:lpstr>
      <vt:lpstr>SR</vt:lpstr>
      <vt:lpstr>SS</vt:lpstr>
      <vt:lpstr>ST</vt:lpstr>
      <vt:lpstr>多实例参数Object个数读写属性</vt:lpstr>
      <vt:lpstr>北向资源映射</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qiuzhiming</dc:creator>
  <cp:lastModifiedBy>cmcc</cp:lastModifiedBy>
  <cp:lastPrinted>2017-10-24T01:43:00Z</cp:lastPrinted>
  <dcterms:created xsi:type="dcterms:W3CDTF">2006-09-13T11:21:00Z</dcterms:created>
  <dcterms:modified xsi:type="dcterms:W3CDTF">2021-10-29T01:05:48Z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2052-10.1.0.7697</vt:lpwstr>
  </property>
  <property fmtid="{D5CDD505-2E9C-101B-9397-08002B2CF9AE}" pid="3" name="WorkbookGuid">
    <vt:lpwstr>561cec43-6236-4cab-bc88-14c0f4ba036c</vt:lpwstr>
  </property>
</Properties>
</file>