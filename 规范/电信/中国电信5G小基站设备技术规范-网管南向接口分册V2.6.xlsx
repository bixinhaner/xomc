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3500" tabRatio="737" firstSheet="1" activeTab="4"/>
  </bookViews>
  <sheets>
    <sheet name="设备参数数据表" sheetId="1" state="hidden" r:id="rId1"/>
    <sheet name="修订历史" sheetId="33" r:id="rId2"/>
    <sheet name="封面" sheetId="2" state="hidden" r:id="rId3"/>
    <sheet name="目录" sheetId="34" r:id="rId4"/>
    <sheet name="SA" sheetId="3" r:id="rId5"/>
    <sheet name="SB" sheetId="52" r:id="rId6"/>
    <sheet name="SC" sheetId="24" r:id="rId7"/>
    <sheet name="SD" sheetId="4" r:id="rId8"/>
    <sheet name="SE" sheetId="18" r:id="rId9"/>
    <sheet name="SF" sheetId="7" r:id="rId10"/>
    <sheet name="SG" sheetId="50" r:id="rId11"/>
    <sheet name="SH" sheetId="51" r:id="rId12"/>
    <sheet name="SI" sheetId="53" r:id="rId13"/>
    <sheet name="SJ" sheetId="45" r:id="rId14"/>
    <sheet name="SK" sheetId="20" r:id="rId15"/>
    <sheet name="SL" sheetId="35" r:id="rId16"/>
    <sheet name="SM" sheetId="15" r:id="rId17"/>
    <sheet name="SN" sheetId="43" r:id="rId18"/>
    <sheet name="SO" sheetId="26" r:id="rId19"/>
    <sheet name="SP" sheetId="8" r:id="rId20"/>
    <sheet name="SQ" sheetId="10" r:id="rId21"/>
    <sheet name="SR" sheetId="41" r:id="rId22"/>
    <sheet name="SS" sheetId="5" r:id="rId23"/>
    <sheet name="ST" sheetId="54" r:id="rId24"/>
    <sheet name="多实例参数Object个数读写属性" sheetId="36" r:id="rId25"/>
  </sheets>
  <definedNames>
    <definedName name="_xlnm._FilterDatabase" localSheetId="0" hidden="1">设备参数数据表!$A$2:$M$72</definedName>
    <definedName name="_xlnm._FilterDatabase" localSheetId="4" hidden="1">SA!$A$1:$I$106</definedName>
    <definedName name="_xlnm._FilterDatabase" localSheetId="7" hidden="1">SD!$A$1:$I$20</definedName>
    <definedName name="_xlnm._FilterDatabase" localSheetId="8" hidden="1">SE!$A$1:$I$60</definedName>
    <definedName name="_xlnm._FilterDatabase" localSheetId="13" hidden="1">SJ!$A$1:$I$74</definedName>
    <definedName name="_xlnm._FilterDatabase" localSheetId="14" hidden="1">SK!$A$1:$I$266</definedName>
    <definedName name="_xlnm._FilterDatabase" localSheetId="15" hidden="1">SL!$A$1:$I$33</definedName>
    <definedName name="_xlnm._FilterDatabase" localSheetId="16" hidden="1">SM!$A$1:$I$251</definedName>
    <definedName name="_xlnm._FilterDatabase" localSheetId="6" hidden="1">SC!$A$1:$I$1</definedName>
    <definedName name="_Toc375818453" localSheetId="4">SA!#REF!</definedName>
    <definedName name="_Toc375818454" localSheetId="4">SA!#REF!</definedName>
    <definedName name="_Toc375818456" localSheetId="4">SA!#REF!</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R更新3"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R更新3"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R更新3"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R更新3"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R更新3" localSheetId="2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R更新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 localSheetId="2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123"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123"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123"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123"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123" localSheetId="2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est123"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44525"/>
</workbook>
</file>

<file path=xl/sharedStrings.xml><?xml version="1.0" encoding="utf-8"?>
<sst xmlns="http://schemas.openxmlformats.org/spreadsheetml/2006/main" count="8104" uniqueCount="3666">
  <si>
    <t>分类</t>
  </si>
  <si>
    <t>节点</t>
  </si>
  <si>
    <t>英文名称</t>
  </si>
  <si>
    <t>中文名称</t>
  </si>
  <si>
    <t>取值范围</t>
  </si>
  <si>
    <t>默认值</t>
  </si>
  <si>
    <t>类型</t>
  </si>
  <si>
    <t>OAM读写权限</t>
  </si>
  <si>
    <t>网管读写权限</t>
  </si>
  <si>
    <t>前置条件</t>
  </si>
  <si>
    <t>后置影响</t>
  </si>
  <si>
    <t>注意事项</t>
  </si>
  <si>
    <t>规范/厂家定义</t>
  </si>
  <si>
    <t>OAM/专业/系统</t>
  </si>
  <si>
    <t>专业</t>
  </si>
  <si>
    <t>（包括单位）</t>
  </si>
  <si>
    <t>专业写</t>
  </si>
  <si>
    <t>OAM/系统写</t>
  </si>
  <si>
    <t>专业/算法/系统</t>
  </si>
  <si>
    <t>填写参数的功能描述和特殊注意事项</t>
  </si>
  <si>
    <t>网管信息参数表</t>
  </si>
  <si>
    <t>IuhIpAddr</t>
  </si>
  <si>
    <t>AU板iuh口IP</t>
  </si>
  <si>
    <t>String(20)</t>
  </si>
  <si>
    <t>RW</t>
  </si>
  <si>
    <r>
      <rPr>
        <sz val="16"/>
        <color indexed="8"/>
        <rFont val="Times New Roman"/>
        <charset val="134"/>
      </rPr>
      <t>AU</t>
    </r>
    <r>
      <rPr>
        <sz val="16"/>
        <color indexed="8"/>
        <rFont val="楷体_GB2312"/>
        <charset val="134"/>
      </rPr>
      <t>板</t>
    </r>
    <r>
      <rPr>
        <sz val="16"/>
        <color indexed="8"/>
        <rFont val="Times New Roman"/>
        <charset val="134"/>
      </rPr>
      <t>iuh</t>
    </r>
    <r>
      <rPr>
        <sz val="16"/>
        <color indexed="8"/>
        <rFont val="楷体_GB2312"/>
        <charset val="134"/>
      </rPr>
      <t>口</t>
    </r>
    <r>
      <rPr>
        <sz val="16"/>
        <color indexed="8"/>
        <rFont val="Times New Roman"/>
        <charset val="134"/>
      </rPr>
      <t>IP</t>
    </r>
    <r>
      <rPr>
        <sz val="16"/>
        <color indexed="8"/>
        <rFont val="楷体_GB2312"/>
        <charset val="134"/>
      </rPr>
      <t>，</t>
    </r>
    <r>
      <rPr>
        <sz val="16"/>
        <color indexed="8"/>
        <rFont val="Times New Roman"/>
        <charset val="134"/>
      </rPr>
      <t>IP</t>
    </r>
    <r>
      <rPr>
        <sz val="16"/>
        <color indexed="8"/>
        <rFont val="楷体_GB2312"/>
        <charset val="134"/>
      </rPr>
      <t>协议层所使用的</t>
    </r>
    <r>
      <rPr>
        <sz val="16"/>
        <color indexed="8"/>
        <rFont val="Times New Roman"/>
        <charset val="134"/>
      </rPr>
      <t>IP</t>
    </r>
    <r>
      <rPr>
        <sz val="16"/>
        <color indexed="8"/>
        <rFont val="楷体_GB2312"/>
        <charset val="134"/>
      </rPr>
      <t>。</t>
    </r>
  </si>
  <si>
    <t>IuhPort</t>
  </si>
  <si>
    <t>AU板iuh口port</t>
  </si>
  <si>
    <t>unsignedInt</t>
  </si>
  <si>
    <r>
      <rPr>
        <sz val="16"/>
        <color indexed="8"/>
        <rFont val="Times New Roman"/>
        <charset val="134"/>
      </rPr>
      <t>AU</t>
    </r>
    <r>
      <rPr>
        <sz val="16"/>
        <color indexed="8"/>
        <rFont val="楷体_GB2312"/>
        <charset val="134"/>
      </rPr>
      <t>板</t>
    </r>
    <r>
      <rPr>
        <sz val="16"/>
        <color indexed="8"/>
        <rFont val="Times New Roman"/>
        <charset val="134"/>
      </rPr>
      <t>iuh</t>
    </r>
    <r>
      <rPr>
        <sz val="16"/>
        <color indexed="8"/>
        <rFont val="楷体_GB2312"/>
        <charset val="134"/>
      </rPr>
      <t>口</t>
    </r>
    <r>
      <rPr>
        <sz val="16"/>
        <color indexed="8"/>
        <rFont val="Times New Roman"/>
        <charset val="134"/>
      </rPr>
      <t>port</t>
    </r>
    <r>
      <rPr>
        <sz val="16"/>
        <color indexed="8"/>
        <rFont val="楷体_GB2312"/>
        <charset val="134"/>
      </rPr>
      <t>。</t>
    </r>
  </si>
  <si>
    <t>不在网管上显示</t>
  </si>
  <si>
    <t>SrcIpAddr</t>
  </si>
  <si>
    <t>AU板上层源ip</t>
  </si>
  <si>
    <t>String</t>
  </si>
  <si>
    <r>
      <rPr>
        <sz val="16"/>
        <color indexed="8"/>
        <rFont val="Times New Roman"/>
        <charset val="134"/>
      </rPr>
      <t>AU</t>
    </r>
    <r>
      <rPr>
        <sz val="16"/>
        <color indexed="8"/>
        <rFont val="楷体_GB2312"/>
        <charset val="134"/>
      </rPr>
      <t>板上层源</t>
    </r>
    <r>
      <rPr>
        <sz val="16"/>
        <color indexed="8"/>
        <rFont val="Times New Roman"/>
        <charset val="134"/>
      </rPr>
      <t>ip</t>
    </r>
    <r>
      <rPr>
        <sz val="16"/>
        <color indexed="8"/>
        <rFont val="楷体_GB2312"/>
        <charset val="134"/>
      </rPr>
      <t>。未有用到。</t>
    </r>
  </si>
  <si>
    <t>SrcPort</t>
  </si>
  <si>
    <t>AU板上层源port</t>
  </si>
  <si>
    <r>
      <rPr>
        <sz val="16"/>
        <color indexed="8"/>
        <rFont val="Times New Roman"/>
        <charset val="134"/>
      </rPr>
      <t>AU</t>
    </r>
    <r>
      <rPr>
        <sz val="16"/>
        <color indexed="8"/>
        <rFont val="楷体_GB2312"/>
        <charset val="134"/>
      </rPr>
      <t>板上层源</t>
    </r>
    <r>
      <rPr>
        <sz val="16"/>
        <color indexed="8"/>
        <rFont val="Times New Roman"/>
        <charset val="134"/>
      </rPr>
      <t>port</t>
    </r>
    <r>
      <rPr>
        <sz val="16"/>
        <color indexed="8"/>
        <rFont val="楷体_GB2312"/>
        <charset val="134"/>
      </rPr>
      <t>，未有用到。</t>
    </r>
  </si>
  <si>
    <t>FapAddr1</t>
  </si>
  <si>
    <t>GU网关ip</t>
  </si>
  <si>
    <r>
      <rPr>
        <sz val="16"/>
        <color indexed="8"/>
        <rFont val="Times New Roman"/>
        <charset val="134"/>
      </rPr>
      <t>GU</t>
    </r>
    <r>
      <rPr>
        <sz val="16"/>
        <color indexed="8"/>
        <rFont val="楷体_GB2312"/>
        <charset val="134"/>
      </rPr>
      <t>网关</t>
    </r>
    <r>
      <rPr>
        <sz val="16"/>
        <color indexed="8"/>
        <rFont val="Times New Roman"/>
        <charset val="134"/>
      </rPr>
      <t xml:space="preserve">ip </t>
    </r>
    <r>
      <rPr>
        <sz val="16"/>
        <color indexed="8"/>
        <rFont val="楷体_GB2312"/>
        <charset val="134"/>
      </rPr>
      <t>一</t>
    </r>
  </si>
  <si>
    <t>FapAddr2</t>
  </si>
  <si>
    <r>
      <rPr>
        <sz val="16"/>
        <color indexed="8"/>
        <rFont val="Times New Roman"/>
        <charset val="134"/>
      </rPr>
      <t>GU</t>
    </r>
    <r>
      <rPr>
        <sz val="16"/>
        <color indexed="8"/>
        <rFont val="楷体_GB2312"/>
        <charset val="134"/>
      </rPr>
      <t>网关</t>
    </r>
    <r>
      <rPr>
        <sz val="16"/>
        <color indexed="8"/>
        <rFont val="Times New Roman"/>
        <charset val="134"/>
      </rPr>
      <t xml:space="preserve">ip </t>
    </r>
    <r>
      <rPr>
        <sz val="16"/>
        <color indexed="8"/>
        <rFont val="楷体_GB2312"/>
        <charset val="134"/>
      </rPr>
      <t>二（未有用到）</t>
    </r>
  </si>
  <si>
    <t>FapAddr3</t>
  </si>
  <si>
    <r>
      <rPr>
        <sz val="16"/>
        <color indexed="8"/>
        <rFont val="Times New Roman"/>
        <charset val="134"/>
      </rPr>
      <t>GU</t>
    </r>
    <r>
      <rPr>
        <sz val="16"/>
        <color indexed="8"/>
        <rFont val="楷体_GB2312"/>
        <charset val="134"/>
      </rPr>
      <t>网关</t>
    </r>
    <r>
      <rPr>
        <sz val="16"/>
        <color indexed="8"/>
        <rFont val="Times New Roman"/>
        <charset val="134"/>
      </rPr>
      <t xml:space="preserve">ip </t>
    </r>
    <r>
      <rPr>
        <sz val="16"/>
        <color indexed="8"/>
        <rFont val="楷体_GB2312"/>
        <charset val="134"/>
      </rPr>
      <t>三（未有用到）</t>
    </r>
  </si>
  <si>
    <t>SecIpAddr1</t>
  </si>
  <si>
    <t>安全网关ip1</t>
  </si>
  <si>
    <r>
      <rPr>
        <sz val="16"/>
        <color indexed="8"/>
        <rFont val="楷体_GB2312"/>
        <charset val="134"/>
      </rPr>
      <t>安全网关</t>
    </r>
    <r>
      <rPr>
        <sz val="16"/>
        <color indexed="8"/>
        <rFont val="Times New Roman"/>
        <charset val="134"/>
      </rPr>
      <t>ip</t>
    </r>
    <r>
      <rPr>
        <sz val="16"/>
        <color indexed="8"/>
        <rFont val="楷体_GB2312"/>
        <charset val="134"/>
      </rPr>
      <t>一。</t>
    </r>
  </si>
  <si>
    <t>SecIpAddr2</t>
  </si>
  <si>
    <t>安全网关ip2</t>
  </si>
  <si>
    <r>
      <rPr>
        <sz val="16"/>
        <color indexed="8"/>
        <rFont val="楷体_GB2312"/>
        <charset val="134"/>
      </rPr>
      <t>安全网关</t>
    </r>
    <r>
      <rPr>
        <sz val="16"/>
        <color indexed="8"/>
        <rFont val="Times New Roman"/>
        <charset val="134"/>
      </rPr>
      <t>ip</t>
    </r>
    <r>
      <rPr>
        <sz val="16"/>
        <color indexed="8"/>
        <rFont val="楷体_GB2312"/>
        <charset val="134"/>
      </rPr>
      <t>二（未有用到）</t>
    </r>
  </si>
  <si>
    <t>SecIpAddr3</t>
  </si>
  <si>
    <t>安全网关ip3</t>
  </si>
  <si>
    <r>
      <rPr>
        <sz val="16"/>
        <color indexed="8"/>
        <rFont val="楷体_GB2312"/>
        <charset val="134"/>
      </rPr>
      <t>安全网关</t>
    </r>
    <r>
      <rPr>
        <sz val="16"/>
        <color indexed="8"/>
        <rFont val="Times New Roman"/>
        <charset val="134"/>
      </rPr>
      <t>ip</t>
    </r>
    <r>
      <rPr>
        <sz val="16"/>
        <color indexed="8"/>
        <rFont val="楷体_GB2312"/>
        <charset val="134"/>
      </rPr>
      <t>三（未有用到）</t>
    </r>
  </si>
  <si>
    <t>Seckey</t>
  </si>
  <si>
    <t>安全网关建立密钥</t>
  </si>
  <si>
    <t>String(64)</t>
  </si>
  <si>
    <t>R</t>
  </si>
  <si>
    <t>SecUseImsi</t>
  </si>
  <si>
    <t>建立安全网关imsi</t>
  </si>
  <si>
    <t>String(16)</t>
  </si>
  <si>
    <r>
      <rPr>
        <sz val="16"/>
        <color indexed="8"/>
        <rFont val="楷体_GB2312"/>
        <charset val="134"/>
      </rPr>
      <t>建立安全网关</t>
    </r>
    <r>
      <rPr>
        <sz val="16"/>
        <color indexed="8"/>
        <rFont val="Times New Roman"/>
        <charset val="134"/>
      </rPr>
      <t>imsi</t>
    </r>
  </si>
  <si>
    <t>FapPort</t>
  </si>
  <si>
    <t>GU网关port</t>
  </si>
  <si>
    <t>0~4294967295</t>
  </si>
  <si>
    <t>29169</t>
  </si>
  <si>
    <r>
      <rPr>
        <sz val="16"/>
        <color indexed="8"/>
        <rFont val="Times New Roman"/>
        <charset val="134"/>
      </rPr>
      <t>GU</t>
    </r>
    <r>
      <rPr>
        <sz val="16"/>
        <color indexed="8"/>
        <rFont val="楷体_GB2312"/>
        <charset val="134"/>
      </rPr>
      <t>网关</t>
    </r>
    <r>
      <rPr>
        <sz val="16"/>
        <color indexed="8"/>
        <rFont val="Times New Roman"/>
        <charset val="134"/>
      </rPr>
      <t>port</t>
    </r>
    <r>
      <rPr>
        <sz val="16"/>
        <color indexed="8"/>
        <rFont val="楷体_GB2312"/>
        <charset val="134"/>
      </rPr>
      <t>。</t>
    </r>
  </si>
  <si>
    <t>IpSecStartAllowedInd</t>
  </si>
  <si>
    <t>IPSec是否启动开关</t>
  </si>
  <si>
    <t>true、false</t>
  </si>
  <si>
    <t>true</t>
  </si>
  <si>
    <t>boolean</t>
  </si>
  <si>
    <t xml:space="preserve">IpSec开关。
取值false：关闭Ipsec功能
取值true：打开Ipsec功能
</t>
  </si>
  <si>
    <t>IpSecRekeyTime</t>
  </si>
  <si>
    <t>ipSec rekey时间</t>
  </si>
  <si>
    <t>0~4294967295(分钟）</t>
  </si>
  <si>
    <t>80000</t>
  </si>
  <si>
    <r>
      <rPr>
        <sz val="16"/>
        <color indexed="8"/>
        <rFont val="Times New Roman"/>
        <charset val="134"/>
      </rPr>
      <t>IpSec</t>
    </r>
    <r>
      <rPr>
        <sz val="16"/>
        <color indexed="8"/>
        <rFont val="楷体_GB2312"/>
        <charset val="134"/>
      </rPr>
      <t>重协商时间。单位：分钟</t>
    </r>
  </si>
  <si>
    <t>IpSecSaLifetime</t>
  </si>
  <si>
    <t>IPSec SA的生命周期</t>
  </si>
  <si>
    <t>0~4294967295（秒）</t>
  </si>
  <si>
    <t>30</t>
  </si>
  <si>
    <t>IPSec SA的生命周期。单位：秒</t>
  </si>
  <si>
    <t>IpSecLivenessTimeInterval</t>
  </si>
  <si>
    <t>liveness时间间隔</t>
  </si>
  <si>
    <r>
      <rPr>
        <sz val="16"/>
        <color indexed="8"/>
        <rFont val="Times New Roman"/>
        <charset val="134"/>
      </rPr>
      <t>liveness</t>
    </r>
    <r>
      <rPr>
        <sz val="16"/>
        <color indexed="8"/>
        <rFont val="楷体_GB2312"/>
        <charset val="134"/>
      </rPr>
      <t>时间间隔。</t>
    </r>
  </si>
  <si>
    <t>FapPcSocketIpAddr</t>
  </si>
  <si>
    <t>调试日志放置设备IP</t>
  </si>
  <si>
    <r>
      <rPr>
        <sz val="16"/>
        <color indexed="8"/>
        <rFont val="楷体_GB2312"/>
        <charset val="134"/>
      </rPr>
      <t>调试日志放置设备</t>
    </r>
    <r>
      <rPr>
        <sz val="16"/>
        <color indexed="8"/>
        <rFont val="Times New Roman"/>
        <charset val="134"/>
      </rPr>
      <t>IP</t>
    </r>
    <r>
      <rPr>
        <sz val="16"/>
        <color indexed="8"/>
        <rFont val="楷体_GB2312"/>
        <charset val="134"/>
      </rPr>
      <t>（调试电脑）</t>
    </r>
  </si>
  <si>
    <t>FapPcSocketPort</t>
  </si>
  <si>
    <t>调试日志放置设备端口</t>
  </si>
  <si>
    <t>调试日志放置设备端口（调试电脑）</t>
  </si>
  <si>
    <t>RealIpAddrToPing</t>
  </si>
  <si>
    <t>用于ping功能的真实站点IpAddr</t>
  </si>
  <si>
    <r>
      <rPr>
        <sz val="16"/>
        <color indexed="8"/>
        <rFont val="楷体_GB2312"/>
        <charset val="134"/>
      </rPr>
      <t>用于</t>
    </r>
    <r>
      <rPr>
        <sz val="16"/>
        <color indexed="8"/>
        <rFont val="Times New Roman"/>
        <charset val="134"/>
      </rPr>
      <t>ping</t>
    </r>
    <r>
      <rPr>
        <sz val="16"/>
        <color indexed="8"/>
        <rFont val="楷体_GB2312"/>
        <charset val="134"/>
      </rPr>
      <t>功能的真实站点</t>
    </r>
    <r>
      <rPr>
        <sz val="16"/>
        <color indexed="8"/>
        <rFont val="Times New Roman"/>
        <charset val="134"/>
      </rPr>
      <t>IpAddr</t>
    </r>
  </si>
  <si>
    <t>GateWaySupported</t>
  </si>
  <si>
    <t>指示当前所要连接的网关能力</t>
  </si>
  <si>
    <t xml:space="preserve">用于指示当前所要连接的网关能力
取值0：网关支持E1+Surf
取值1：网关支持STM-1+ATCA9100
取值2：网关支持AoIP
</t>
  </si>
  <si>
    <t>Mode</t>
  </si>
  <si>
    <r>
      <rPr>
        <sz val="16"/>
        <color indexed="8"/>
        <rFont val="宋体"/>
        <charset val="134"/>
      </rPr>
      <t>认证模式</t>
    </r>
  </si>
  <si>
    <t>0~2</t>
  </si>
  <si>
    <t>int</t>
  </si>
  <si>
    <r>
      <rPr>
        <sz val="16"/>
        <color indexed="8"/>
        <rFont val="Times New Roman"/>
        <charset val="134"/>
      </rPr>
      <t>mode</t>
    </r>
    <r>
      <rPr>
        <sz val="16"/>
        <color indexed="8"/>
        <rFont val="宋体"/>
        <charset val="134"/>
      </rPr>
      <t>为</t>
    </r>
    <r>
      <rPr>
        <sz val="16"/>
        <color indexed="8"/>
        <rFont val="Times New Roman"/>
        <charset val="134"/>
      </rPr>
      <t>0,</t>
    </r>
    <r>
      <rPr>
        <sz val="16"/>
        <color indexed="8"/>
        <rFont val="宋体"/>
        <charset val="134"/>
      </rPr>
      <t>为</t>
    </r>
    <r>
      <rPr>
        <sz val="16"/>
        <color indexed="8"/>
        <rFont val="Times New Roman"/>
        <charset val="134"/>
      </rPr>
      <t>PSK</t>
    </r>
    <r>
      <rPr>
        <sz val="16"/>
        <color indexed="8"/>
        <rFont val="宋体"/>
        <charset val="134"/>
      </rPr>
      <t>认证，</t>
    </r>
    <r>
      <rPr>
        <sz val="16"/>
        <color indexed="8"/>
        <rFont val="Times New Roman"/>
        <charset val="134"/>
      </rPr>
      <t>mode</t>
    </r>
    <r>
      <rPr>
        <sz val="16"/>
        <color indexed="8"/>
        <rFont val="宋体"/>
        <charset val="134"/>
      </rPr>
      <t>为</t>
    </r>
    <r>
      <rPr>
        <sz val="16"/>
        <color indexed="8"/>
        <rFont val="Times New Roman"/>
        <charset val="134"/>
      </rPr>
      <t>1</t>
    </r>
    <r>
      <rPr>
        <sz val="16"/>
        <color indexed="8"/>
        <rFont val="宋体"/>
        <charset val="134"/>
      </rPr>
      <t>为</t>
    </r>
    <r>
      <rPr>
        <sz val="16"/>
        <color indexed="8"/>
        <rFont val="Times New Roman"/>
        <charset val="134"/>
      </rPr>
      <t>usim</t>
    </r>
    <r>
      <rPr>
        <sz val="16"/>
        <color indexed="8"/>
        <rFont val="宋体"/>
        <charset val="134"/>
      </rPr>
      <t>卡认证，</t>
    </r>
    <r>
      <rPr>
        <sz val="16"/>
        <color indexed="8"/>
        <rFont val="Times New Roman"/>
        <charset val="134"/>
      </rPr>
      <t>mode</t>
    </r>
    <r>
      <rPr>
        <sz val="16"/>
        <color indexed="8"/>
        <rFont val="宋体"/>
        <charset val="134"/>
      </rPr>
      <t>为</t>
    </r>
    <r>
      <rPr>
        <sz val="16"/>
        <color indexed="8"/>
        <rFont val="Times New Roman"/>
        <charset val="134"/>
      </rPr>
      <t>2</t>
    </r>
    <r>
      <rPr>
        <sz val="16"/>
        <color indexed="8"/>
        <rFont val="宋体"/>
        <charset val="134"/>
      </rPr>
      <t>为</t>
    </r>
    <r>
      <rPr>
        <sz val="16"/>
        <color indexed="8"/>
        <rFont val="Times New Roman"/>
        <charset val="134"/>
      </rPr>
      <t>sim</t>
    </r>
    <r>
      <rPr>
        <sz val="16"/>
        <color indexed="8"/>
        <rFont val="宋体"/>
        <charset val="134"/>
      </rPr>
      <t>卡证（预留），</t>
    </r>
    <r>
      <rPr>
        <sz val="16"/>
        <color indexed="8"/>
        <rFont val="Times New Roman"/>
        <charset val="134"/>
      </rPr>
      <t>-1</t>
    </r>
    <r>
      <rPr>
        <sz val="16"/>
        <color indexed="8"/>
        <rFont val="宋体"/>
        <charset val="134"/>
      </rPr>
      <t>为非法值，</t>
    </r>
    <r>
      <rPr>
        <sz val="16"/>
        <color indexed="8"/>
        <rFont val="Times New Roman"/>
        <charset val="134"/>
      </rPr>
      <t>mode</t>
    </r>
    <r>
      <rPr>
        <sz val="16"/>
        <color indexed="8"/>
        <rFont val="宋体"/>
        <charset val="134"/>
      </rPr>
      <t>为其它值暂时保留</t>
    </r>
  </si>
  <si>
    <t>公共参数表</t>
  </si>
  <si>
    <t>AuId</t>
  </si>
  <si>
    <t>AU注册是使用的基站Id</t>
  </si>
  <si>
    <t>0~65535</t>
  </si>
  <si>
    <t xml:space="preserve">AU注册是使用的基站Id。
取值范围：0~65535
</t>
  </si>
  <si>
    <t>A50</t>
  </si>
  <si>
    <t>是否支持A5_0类型加密</t>
  </si>
  <si>
    <t xml:space="preserve">物理层是否支持A5_0类型加密。
取值false：不支持
取值true：支持
</t>
  </si>
  <si>
    <t>A51</t>
  </si>
  <si>
    <t>是否支持A5_1类型加密</t>
  </si>
  <si>
    <t xml:space="preserve">物理层是否支持A5_1类型加密。
取值false：不支持
取值true：支持
</t>
  </si>
  <si>
    <t>A52</t>
  </si>
  <si>
    <t>是否支持A5_2类型加密</t>
  </si>
  <si>
    <t xml:space="preserve">物理层是否支持A5_2类型加密。
取值false：不支持
取值true：支持
</t>
  </si>
  <si>
    <t>A53</t>
  </si>
  <si>
    <t>是否支持A5_3类型加密</t>
  </si>
  <si>
    <t xml:space="preserve">物理层是否支持A5_3类型加密。
取值false：不支持
取值true：支持
</t>
  </si>
  <si>
    <t>A54</t>
  </si>
  <si>
    <t>是否支持A5_4类型加密</t>
  </si>
  <si>
    <t>false</t>
  </si>
  <si>
    <t xml:space="preserve">物理层是否支持A5_4类型加密。
取值false：不支持
取值true：支持
</t>
  </si>
  <si>
    <t>A55</t>
  </si>
  <si>
    <t>是否支持A5_5类型加密</t>
  </si>
  <si>
    <t xml:space="preserve">物理层是否支持A5_5类型加密。
取值false：不支持
取值true：支持
</t>
  </si>
  <si>
    <t>A56</t>
  </si>
  <si>
    <t>是否支持A5_6类型加密</t>
  </si>
  <si>
    <t xml:space="preserve">物理层是否支持A5_6类型加密。
取值false：不支持
取值true：支持
</t>
  </si>
  <si>
    <t>A57</t>
  </si>
  <si>
    <t>是否支持A5_7类型加密</t>
  </si>
  <si>
    <t xml:space="preserve">物理层是否支持A5_7类型加密。
取值false：不支持
取值true：支持
</t>
  </si>
  <si>
    <t>AuUserAccessMax</t>
  </si>
  <si>
    <t>户型允许接入的用户数上限</t>
  </si>
  <si>
    <t xml:space="preserve">根据户型允许接入的用户数上限。
该参数上层暂时未有使用，保留。
</t>
  </si>
  <si>
    <t>AuAlowPwrMax</t>
  </si>
  <si>
    <t>户型允许最大发射功率</t>
  </si>
  <si>
    <t xml:space="preserve">根据户型允许最大发射功率
该参数上层暂时未有使用，保留。
</t>
  </si>
  <si>
    <t>LogTotalSize</t>
  </si>
  <si>
    <t>单个日志文件大小</t>
  </si>
  <si>
    <t>0~4294967295(KByte)</t>
  </si>
  <si>
    <t>3*1024</t>
  </si>
  <si>
    <t>日志文件的总大小，以1k Byte为单位</t>
  </si>
  <si>
    <t>LogTxtNumberMax</t>
  </si>
  <si>
    <t>同类型日志文件存储最大文件个数</t>
  </si>
  <si>
    <t xml:space="preserve">同类型日志文件存储最大文件个数。
该参数上层暂时未有使用，保留。
</t>
  </si>
  <si>
    <t>LogOutputLevel</t>
  </si>
  <si>
    <t>日志输出类型</t>
  </si>
  <si>
    <t>0~4</t>
  </si>
  <si>
    <t>1</t>
  </si>
  <si>
    <t xml:space="preserve">日志输出级别。
取值范围：0~4
取值0：DEBUG
取值1：INFO
取值2：TRACE
取值3：WARN
取值4：ERROR
</t>
  </si>
  <si>
    <t>AuProductType</t>
  </si>
  <si>
    <t>Au产品类型</t>
  </si>
  <si>
    <t xml:space="preserve">Au产品类型,取值范围：0~3
取值0：普通型原型机产品
取值1：企业级大容量产品
取值2：企业级eNB 3+1产品
取值3：普通型降成本产品
</t>
  </si>
  <si>
    <t>AuRfWorkBandCapability</t>
  </si>
  <si>
    <r>
      <rPr>
        <sz val="16"/>
        <color indexed="8"/>
        <rFont val="宋体"/>
        <charset val="134"/>
      </rPr>
      <t>基站射频支持的工作频段能力</t>
    </r>
  </si>
  <si>
    <t>0~3</t>
  </si>
  <si>
    <t>0</t>
  </si>
  <si>
    <t xml:space="preserve">基站射频支持的工作频段能力，取值范围：0~3
取值0：基站支持1800工作频段
取值1：基站支持900工作频段
取值2：基站支持900E工作频段
取值3：基站支持1900工作频段
</t>
  </si>
  <si>
    <t>auRtpMultiplexInd</t>
  </si>
  <si>
    <r>
      <rPr>
        <sz val="16"/>
        <color indexed="8"/>
        <rFont val="宋体"/>
        <charset val="134"/>
      </rPr>
      <t>基站是否支持</t>
    </r>
    <r>
      <rPr>
        <sz val="16"/>
        <color indexed="8"/>
        <rFont val="Times New Roman"/>
        <charset val="134"/>
      </rPr>
      <t>rtp</t>
    </r>
    <r>
      <rPr>
        <sz val="16"/>
        <color indexed="8"/>
        <rFont val="宋体"/>
        <charset val="134"/>
      </rPr>
      <t>复用</t>
    </r>
  </si>
  <si>
    <t xml:space="preserve">基站是否支持rtp复用
取值范围：0和1
0代表不支持
1代表支持
</t>
  </si>
  <si>
    <t>接入管理</t>
  </si>
  <si>
    <t>AccMode</t>
  </si>
  <si>
    <t>标识AU接入模式</t>
  </si>
  <si>
    <t>2</t>
  </si>
  <si>
    <t xml:space="preserve">标识AU接入模式。
取值范围：0、1、2
取值0：白名单有效；
取值1：是黑名单有效；
取值2：黑白名单都无效
</t>
  </si>
  <si>
    <t>NonCSGAccDecision</t>
  </si>
  <si>
    <t>判断非CSG模式的UE接入</t>
  </si>
  <si>
    <t>CsgMembershipDeterminedLocally</t>
  </si>
  <si>
    <t>判断CSG模式的UE接入</t>
  </si>
  <si>
    <t>HnbIdentifier</t>
  </si>
  <si>
    <r>
      <rPr>
        <sz val="16"/>
        <color indexed="8"/>
        <rFont val="宋体"/>
        <charset val="134"/>
      </rPr>
      <t>广播</t>
    </r>
    <r>
      <rPr>
        <sz val="16"/>
        <rFont val="Times New Roman"/>
        <charset val="134"/>
      </rPr>
      <t>HomeNodeBIdentifier</t>
    </r>
  </si>
  <si>
    <t>HomeZoneName</t>
  </si>
  <si>
    <t>运营商定义的ASCII字符串</t>
  </si>
  <si>
    <t>MaxConcurrentCSGUsers</t>
  </si>
  <si>
    <t>同时接入FAP的CSG可能用户的最大数</t>
  </si>
  <si>
    <t>CsgId</t>
  </si>
  <si>
    <t>封闭用户组的接入控制列表</t>
  </si>
  <si>
    <t>AccessControlList</t>
  </si>
  <si>
    <t>白名单IMSI列表</t>
  </si>
  <si>
    <t>String(1024)</t>
  </si>
  <si>
    <r>
      <rPr>
        <sz val="16"/>
        <color indexed="8"/>
        <rFont val="楷体_GB2312"/>
        <charset val="134"/>
      </rPr>
      <t>接入控制表</t>
    </r>
    <r>
      <rPr>
        <sz val="16"/>
        <color indexed="8"/>
        <rFont val="Times New Roman"/>
        <charset val="134"/>
      </rPr>
      <t>ACL.</t>
    </r>
    <r>
      <rPr>
        <sz val="16"/>
        <color indexed="8"/>
        <rFont val="楷体_GB2312"/>
        <charset val="134"/>
      </rPr>
      <t>用逗号分隔的</t>
    </r>
    <r>
      <rPr>
        <sz val="16"/>
        <color indexed="8"/>
        <rFont val="Times New Roman"/>
        <charset val="134"/>
      </rPr>
      <t>IMSI</t>
    </r>
    <r>
      <rPr>
        <sz val="16"/>
        <color indexed="8"/>
        <rFont val="楷体_GB2312"/>
        <charset val="134"/>
      </rPr>
      <t>列表</t>
    </r>
    <r>
      <rPr>
        <sz val="16"/>
        <color indexed="8"/>
        <rFont val="Times New Roman"/>
        <charset val="134"/>
      </rPr>
      <t>,</t>
    </r>
    <r>
      <rPr>
        <sz val="16"/>
        <color indexed="8"/>
        <rFont val="楷体_GB2312"/>
        <charset val="134"/>
      </rPr>
      <t>每个</t>
    </r>
    <r>
      <rPr>
        <sz val="16"/>
        <color indexed="8"/>
        <rFont val="Times New Roman"/>
        <charset val="134"/>
      </rPr>
      <t>IMSI</t>
    </r>
    <r>
      <rPr>
        <sz val="16"/>
        <color indexed="8"/>
        <rFont val="楷体_GB2312"/>
        <charset val="134"/>
      </rPr>
      <t>最多可以有</t>
    </r>
    <r>
      <rPr>
        <sz val="16"/>
        <color indexed="8"/>
        <rFont val="Times New Roman"/>
        <charset val="134"/>
      </rPr>
      <t>15</t>
    </r>
    <r>
      <rPr>
        <sz val="16"/>
        <color indexed="8"/>
        <rFont val="楷体_GB2312"/>
        <charset val="134"/>
      </rPr>
      <t>个数字</t>
    </r>
  </si>
  <si>
    <t>BlackControlList</t>
  </si>
  <si>
    <t>黑名单IMSI列表</t>
  </si>
  <si>
    <t>MaxMemberDetailEntries</t>
  </si>
  <si>
    <t>maxMemberDetailEntries</t>
  </si>
  <si>
    <t>MemberDetailNumberOfEntries</t>
  </si>
  <si>
    <t>memberDetailNumberOfEntries</t>
  </si>
  <si>
    <t>UE状态管理参数（欢迎短信）</t>
  </si>
  <si>
    <t>PeriodicUploadEnable</t>
  </si>
  <si>
    <t>周期性上传UE注册信息</t>
  </si>
  <si>
    <t>UploadURL</t>
  </si>
  <si>
    <t>周期上传的URL路径</t>
  </si>
  <si>
    <t>UserName</t>
  </si>
  <si>
    <t>周期上传连接的用户名</t>
  </si>
  <si>
    <t>PassWord</t>
  </si>
  <si>
    <t>周期上传连接的密码</t>
  </si>
  <si>
    <t>PeriodicUploadIntervall</t>
  </si>
  <si>
    <t>周期上传的间隔</t>
  </si>
  <si>
    <t>PeriodicUploadTime</t>
  </si>
  <si>
    <t>周期性上传的时间</t>
  </si>
  <si>
    <t>SmsPeriod</t>
  </si>
  <si>
    <t>欢迎短信发送间隔周期</t>
  </si>
  <si>
    <t>0~72(小时）</t>
  </si>
  <si>
    <t>24</t>
  </si>
  <si>
    <t xml:space="preserve">欢迎短信发送间隔周期，以小时为单位。
取值范围：0~72小时
</t>
  </si>
  <si>
    <t>SendSMSType</t>
  </si>
  <si>
    <t>控制FAP广播短信(是否发送欢迎短信标志)</t>
  </si>
  <si>
    <t xml:space="preserve">是否发送欢迎短信标志，False不发送欢迎短信，欢迎短信开关。
取值true：发送欢迎短信
取值false：不发送欢迎短信
</t>
  </si>
  <si>
    <t>SmsInform</t>
  </si>
  <si>
    <t>FAP广播短信内容</t>
  </si>
  <si>
    <t>String(640)</t>
  </si>
  <si>
    <t>欢迎短信内容，最多140字，2条短信内容，如是符号需用转义字符（如短号用\0表示），遇’\0’结束。</t>
  </si>
  <si>
    <t>SmsSenderNumber</t>
  </si>
  <si>
    <t>短信发送主叫号码</t>
  </si>
  <si>
    <t>String(32)</t>
  </si>
  <si>
    <t>欢迎短信所显示的发送方号码，如10086，遇’\0’结束。</t>
  </si>
  <si>
    <t>将广播HomeNodeBIdentifier，供UE显示</t>
  </si>
  <si>
    <t>家庭区域名称.运营商定义的ASCII字符串</t>
  </si>
  <si>
    <t>整个结构体都不显示在网管上</t>
  </si>
  <si>
    <t>网关连接状态参数表</t>
  </si>
  <si>
    <t>设备参数表</t>
  </si>
  <si>
    <t>接入控制参数表</t>
  </si>
  <si>
    <t>NTP时间同步参数</t>
  </si>
  <si>
    <t>解广播参数</t>
  </si>
  <si>
    <t>中国电信5G小基站南向接口数据模型修改记录</t>
  </si>
  <si>
    <t>版本</t>
  </si>
  <si>
    <t>日期</t>
  </si>
  <si>
    <t>修订内容</t>
  </si>
  <si>
    <t>修订人</t>
  </si>
  <si>
    <t>v1.0.0</t>
  </si>
  <si>
    <t>创建初稿</t>
  </si>
  <si>
    <t>李慧云</t>
  </si>
  <si>
    <t>v2.0.0</t>
  </si>
  <si>
    <t>增加了ST：Qos参数管理</t>
  </si>
  <si>
    <t>V2.0.1</t>
  </si>
  <si>
    <t>SA：
Device.DeviceInfo.MU.{i}.ClockSyncmode修改为Device.DeviceInfo.MU.{i}.ClockSyncMode
SG:
删掉了以下参数：
Device.Services.FAPService.{i}.FAPControl.NR.AMFPoolConfigParam.{i}.LocalUpIPAddress
Device.Services.FAPService.{i}.FAPControl.NR.AMFPoolConfigParam.{i}.LocalUpIPV6Address
Device.Services.FAPService.{i}.FAPControl.NR.AMFPoolConfigParam.{i}.LocalCpIPAddress
Device.Services.FAPService.{i}.FAPControl.NR.AMFPoolConfigParam.{i}.LocalCpIPV6Address
SK：
新增以下参数：
Device.Services.FAPService.{i}.CellConfig.{i}.NR.RAN.PHY.RfConfig.FrequencyInfoDl.AbsoluteFrequencySSB
SO:
Device.Ethernet.Interface.{i}.IPv4Address.{i}.PortType的读写属性从R变为RW 
Device.Ethernet.Interface.{i}.IPv6Address.{i}.PortType的读写属性从R变为RW
Device.Ethernet.Interface.{i}.VlanInterface.{i}.IPv4Address.{i}.PortType的读写属性从R变为RW
Device.Ethernet.Interface.{i}.VlanInterface.{i}.IPv6Address.{i}.PortType的读写属性从R变为RW</t>
  </si>
  <si>
    <t>V2.0.2</t>
  </si>
  <si>
    <t>SA： 
修改了对Device.DeviceInfo.MU.{i}.Slot.{i}.EU.{i}.RouteIndex的描述
修改了对Device.DeviceInfo.MU.{i}.Slot.{i}.EU.{i}.RU.{i}.RouteIndex的描述
Device.DeviceInfo.MU.{i}.Slot.{i}.EU.{i}.RU.{i}.*的限定修改为MC
新增扩展型基站-扩展远端单元（ERU）参数管理
新增扩展型基站-拉远覆盖增强单元（DRU）参数管理
SL：
Device.Services.FAPService.{i}.CellConfig.{i}.NR.RAN.NeighborList.NRCell.{i}.NoHO
Device.Services.FAPService.{i}.CellConfig.{i}.NR.RAN.NeighborList.NRCell.{i}.NoRemove
Device.Services.FAPService.{i}.CellConfig.{i}.NR.RAN.NeighborList.NRCell.{i}.NoXn
修改为：
Device.Services.FAPService.{i}.CellConfig.{i}.NR.RAN.NeighborList.NRCell.{i}.NoHOEnable
Device.Services.FAPService.{i}.CellConfig.{i}.NR.RAN.NeighborList.NRCell.{i}.NoRemoveEnable
Device.Services.FAPService.{i}.CellConfig.{i}.NR.RAN.NeighborList.NRCell.{i}.NoXnEnable
Device.Services.FAPService.{i}.CellConfig.{i}.NR.RAN.NeighborList.LTECell.{i}.NoHO
Device.Services.FAPService.{i}.CellConfig.{i}.NR.RAN.NeighborList.LTECell.{i}.NoRemove
Device.Services.FAPService.{i}.CellConfig.{i}.NR.RAN.NeighborList.LTECell.{i}.NoX2
修改为：
Device.Services.FAPService.{i}.CellConfig.{i}.NR.RAN.NeighborList.LTECell.{i}.NoHOEnable
Device.Services.FAPService.{i}.CellConfig.{i}.NR.RAN.NeighborList.LTECell.{i}.NoRemoveEnable
Device.Services.FAPService.{i}.CellConfig.{i}.NR.RAN.NeighborList.LTECell.{i}.NoX2Enable</t>
  </si>
  <si>
    <t>V2.0.3</t>
  </si>
  <si>
    <t>SB：
增加以下节点：
Device.DeviceInfo.AdditionalHardwareVersion
Device.DeviceInfo.AdditionalSoftwareVersion
Device.DeviceInfo.DataModelSpecVersion
SG：
删除以下节点：
Device.Services.FAPService.{i}.FAPControl.NR.AMFPoolConfigParam.{i}.SCTPInstId
Device.Services.FAPService.{i}.FAPControl.NR.XnIpAddrMapInfo.{i}.SCTPInstId
Device.Services.FAPService.{i}.FAPControl.NR.X2IpAddrMapInfo.{i}.SCTPInstId
SK：增加以下节点：
Device.Services.FAPService.{i}.CellConfig.{i}.NR.RAN.PHY.BWP.BWPUL.{i}.PUSCH.UlAdditionalDmrsPos
Device.Services.FAPService.{i}.CellConfig.{i}.NR.RAN.PHY.BWP.BWPDL.{i}.PDSCH.DlAdditionalDmrsPos
SM：增加以下节点：
Device.Services.FAPService.{i}.CellConfig.{i}.NR.RAN.Mobility.ConnMode.NR.ReportCGI.{i}.PhysCellId
SN：
SCTP修改为单实例
去掉节点：Device.Services.FAPService.{i}.Transport.SCTP.{i}.SctpID
SR:
增加以下节点：
Device.FAP.MRMgmt.Config.{i}.MRNCGIList
Device.FAP.MRMgmt.Config.{i}.PrbNum
Device.FAP.MRMgmt.Config.{i}.SubFrameNum
Device.FAP.MRMgmt.Config.{i}.MeasureItems
ST：
以下节点的限定性从O修改为M：
Device.Services.FAPService.{i}.CellConfig.{i}.NR.NGC.QoS.{i}.PDCP.SNSizeUL
Device.Services.FAPService.{i}.CellConfig.{i}.NR.NGC.QoS.{i}.PDCP.SNSizeDL
Device.Services.FAPService.{i}.CellConfig.{i}.NR.NGC.QoS.{i}.PDCP.DiscardTimer
Device.Services.FAPService.{i}.CellConfig.{i}.NR.NGC.QoS.{i}.RLC.AM.SNSize
Device.Services.FAPService.{i}.CellConfig.{i}.NR.NGC.QoS.{i}.RLC.UM.SNSize</t>
  </si>
  <si>
    <t>V2.0.4</t>
  </si>
  <si>
    <t>SO：
增加本地路由配置管理参数：
Device.Ethernet.IpRoute.{i}.IpVer
Device.Ethernet.IpRoute.{i}.DstIpNetwork
Device.Ethernet.IpRoute.{i}.PrefixLength
Device.Ethernet.IpRoute.{i}.GatewayIpAddress
Device.Ethernet.IpRoute.{i}.InterfaceName
以下节点的限定从M修改为MC：
Device.Ethernet.Interface.{i}.VlanInterface.{i}.IPv6Address.{i}.IPAddress
Device.Ethernet.Interface.{i}.VlanInterface.{i}.IPv6Address.{i}.PrefixLength
Device.Ethernet.Interface.{i}.VlanInterface.{i}.IPv6Address.{i}.Origin
Device.Ethernet.Interface.{i}.VlanInterface.{i}.IPv6Address.{i}.DefaultGateway
Device.Ethernet.Interface.{i}.VlanInterface.{i}.IPv6Address.{i}.PortType</t>
  </si>
  <si>
    <t>V2.0.5</t>
  </si>
  <si>
    <t>SI增加以下节点参数：
Device.Services.FAPService.{i}.FAPControl.SelfConfig.Startup.Stage
Device.Services.FAPService.{i}.FAPControl.SelfConfig.Startup.Status
Device.Services.FAPService.{i}.FAPControl.SelfConfig.Startup.FailureCause</t>
  </si>
  <si>
    <t>V2.0.6</t>
  </si>
  <si>
    <t>SA增加以下节点参数：
Device.DeviceInfo.MU.{i}.Slot.{i}.EU.{i}.ERU.{i}.DRU.{i}.DeviceId
修正了部分参数的数据类型</t>
  </si>
  <si>
    <t>V2.0.7</t>
  </si>
  <si>
    <t>SK：修正了部分参数的数据类型，和行标保持一致
SR：Device.FAP.MRMgmt.Config.{i}.UploadPeriod的数据类型修改为15及15的倍数</t>
  </si>
  <si>
    <t>V2.0.8</t>
  </si>
  <si>
    <t>SJ:
Device.Services.FAPService.{i}.CellConfig.{i}.NR.VoNR.VoNRList.{i}.PLMNID
Device.Services.FAPService.{i}.CellConfig.{i}.NR.VoNR.VoNRList.{i}.VoSupport
Device.Services.FAPService.{i}.CellConfig.{i}.NR.VoNR.VoNRList.{i}.Vo5qi
限定性从O修改为M</t>
  </si>
  <si>
    <t>V2.0.9</t>
  </si>
  <si>
    <t>1、SB:删除以下参数
Device.DeviceInfo.AccessCtrl.UeNumber
Device.DeviceInfo.AccessCtrl.AccessTimelen
Device.DeviceInfo.AccessCtrl.CtrlState
Device.DeviceInfo.Status去掉“离线”状态的上报
2、SK：删除以下参数
Device.Services.FAPService.{i}.CellConfig.{i}.NR.RAN.PHY.FrequencyInfoULSIB.AbsoluteFrequencyPointA
3、删除高速场景相关的参数
SM：
Device.Services.FAPService.{i}.CellConfig.{i}.NR.RAN.Mobility.IdleMode.Common.SpeedStateReselectionPars.Enable
Device.Services.FAPService.{i}.CellConfig.{i}.NR.RAN.Mobility.IdleMode.Common.SpeedStateReselectionPars.MobState.TEvaluation
Device.Services.FAPService.{i}.CellConfig.{i}.NR.RAN.Mobility.IdleMode.Common.SpeedStateReselectionPars.MobState.THystNormal
Device.Services.FAPService.{i}.CellConfig.{i}.NR.RAN.Mobility.IdleMode.Common.SpeedStateReselectionPars.MobState.NCellChangeHigh 
Device.Services.FAPService.{i}.CellConfig.{i}.NR.RAN.Mobility.IdleMode.Common.SpeedStateReselectionPars.MobState.NCellChangeMedium
Device.Services.FAPService.{i}.CellConfig.{i}.NR.RAN.Mobility.IdleMode.Common.SpeedStateReselectionPars.QHystSF.SFMedium
Device.Services.FAPService.{i}.CellConfig.{i}.NR.RAN.Mobility.IdleMode.Common.SpeedStateReselectionPars.QHystSF.SFHigh
Device.Services.FAPService.{i}.CellConfig.{i}.NR.RAN.Mobility.IdleMode.IntraFreq.TReselectionNRSF.Enable
Device.Services.FAPService.{i}.CellConfig.{i}.NR.RAN.Mobility.IdleMode.IntraFreq.TReselectionNRSF.SFHigh
Device.Services.FAPService.{i}.CellConfig.{i}.NR.RAN.Mobility.IdleMode.IntraFreq.TReselectionNRSF.SFMedium
Device.Services.FAPService.{i}.CellConfig.{i}.NR.RAN.Mobility.IdleMode.InterFreq.Carrier.{i}.TReselectionNRSF.Enable
Device.Services.FAPService.{i}.CellConfig.{i}.NR.RAN.Mobility.IdleMode.InterFreq.Carrier.{i}.TReselectionNRSF.SFHigh
Device.Services.FAPService.{i}.CellConfig.{i}.NR.RAN.Mobility.IdleMode.InterFreq.Carrier.{i}.TReselectionNRSF.SFMedium
Device.Services.FAPService.{i}.CellConfig.{i}.NR.RAN.Mobility.IdleMode.EUTRA.TReselectionSF.Enable
Device.Services.FAPService.{i}.CellConfig.{i}.NR.RAN.Mobility.IdleMode.EUTRA.TReselectionSF.SFHigh
Device.Services.FAPService.{i}.CellConfig.{i}.NR.RAN.Mobility.IdleMode.EUTRA.TReselectionSF.SFMedium
4、SS：
Device.FAP.PerfMgmt.Config.{i}.PeriodicUploadInterval 文件上传周期间隔去掉600的周期
5、数据模型中的dateTime统一为UTC时间
6、修改了部分数据参数的限定性说明
7、SK删除以下配置参数
Device.Services.FAPService.{i}.CellConfig.{i}.NR.RAN.PHY.BWP.BWPDL.{i}.PDSCH.ResourceAllocationAdaptiveValue
Device.Services.FAPService.{i}.CellConfig.{i}.NR.RAN.PHY.BWP.BWPDL.{i}.PDCCH..ControlResourceSetToAddModList.{i}.DciType
Device.Services.FAPService.{i}.CellConfig.{i}.NR.RAN.PHY.BWP.BWPUL.{i}.PUCCHPowerControl.PucchPcSwitch
Device.Services.FAPService.{i}.CellConfig.{i}.NR.RAN.PHY.BWP.BWPUL.{i}.PUSCHPowerControl.PuschPcSwitch
Device.Services.FAPService.{i}.CellConfig.{i}.NR.RAN.PHY.PowerControl.PhrModeOtherCg
Device.Services.FAPService.{i}.CellConfig.{i}.NR.RAN.UserLabel
SK参数名称修改：
Device.Services.FAPService.{i}.CellConfig.{i}.NR.RAN.PHY.MAC.LinkAdaptation.Reserved.McsForDbch修改为Device.Services.FAPService.{i}.CellConfig.{i}.NR.RAN.PHY.MAC.LinkAdaptation.Reserved.McsForSIB1
Device.Services.FAPService.{i}.CellConfig.{i}.NR.RAN.PHY.MAC.Dl.DlLayers修改为Device.Services.FAPService.{i}.CellConfig.{i}.NR.RAN.PHY.MAC.Dl.DlMaxLayers 
Device.Services.FAPService.{i}.CellConfig.{i}.NR.RAN.PHY.MAC.Ul.UlLayers修改为Device.Services.FAPService.{i}.CellConfig.{i}.NR.RAN.PHY.MAC.Ul.UlMaxLayers
SK参数的数据类型修改：
Device.Services.FAPService.{i}.CellConfig.{i}.NR.RAN.PHY.MAC.Dl.DlMaxLayers 约束修改为(1~8)
Device.Services.FAPService.{i}.CellConfig.{i}.NR.RAN.PHY.MAC.Ul.UlMaxLayers 约束修改为(1~4)
Device.Services.FAPService.{i}.CellConfig.{i}.NR.RAN.PHY.MAC.Ul.MaxHarqReTx 约束修改为(0~9)</t>
  </si>
  <si>
    <t>TD-LTE NanoCell南向数据配置模型规范(推荐版)</t>
  </si>
  <si>
    <t>概述（详细问题请查阅正文内容）：</t>
  </si>
  <si>
    <t>文档适应的产品</t>
  </si>
  <si>
    <t>移动 NanoCell</t>
  </si>
  <si>
    <t>文档详细信息</t>
  </si>
  <si>
    <t>作者</t>
  </si>
  <si>
    <t>时间</t>
  </si>
  <si>
    <t>来源</t>
  </si>
  <si>
    <t>注释</t>
  </si>
  <si>
    <t>TD-LTE NanoCell网管数据模型规范(初稿)</t>
  </si>
  <si>
    <t>首发</t>
  </si>
  <si>
    <t>京信团队</t>
  </si>
  <si>
    <t>京信通信系统（广州）有限公司</t>
  </si>
  <si>
    <t>索引</t>
  </si>
  <si>
    <t>参数管理类别</t>
  </si>
  <si>
    <t>参数管理说明</t>
  </si>
  <si>
    <t>必选（M）类属性数</t>
  </si>
  <si>
    <t>条件必选（MC）类属性数</t>
  </si>
  <si>
    <t>可选（O)类属性数</t>
  </si>
  <si>
    <t>小计</t>
  </si>
  <si>
    <t>SA</t>
  </si>
  <si>
    <t>DeviceInfo</t>
  </si>
  <si>
    <t>扩展型基站设备信息参数管理</t>
  </si>
  <si>
    <t>SB</t>
  </si>
  <si>
    <t>一体化基站设备信息参数管理</t>
  </si>
  <si>
    <t>SC</t>
  </si>
  <si>
    <t>SoftwareCtrl</t>
  </si>
  <si>
    <t>软件版本参数管理</t>
  </si>
  <si>
    <t>SD</t>
  </si>
  <si>
    <t>ManagementServer</t>
  </si>
  <si>
    <t>基站网管参数管理</t>
  </si>
  <si>
    <t>SE</t>
  </si>
  <si>
    <t>FaultMgmt</t>
  </si>
  <si>
    <t>告警参数管理</t>
  </si>
  <si>
    <t>SF</t>
  </si>
  <si>
    <t>DeviceLogMgmt</t>
  </si>
  <si>
    <t>日志参数管理</t>
  </si>
  <si>
    <t>SG</t>
  </si>
  <si>
    <t>Services.FAPService.{i}.FAPControl.NR</t>
  </si>
  <si>
    <t>基站配置参数管理</t>
  </si>
  <si>
    <t>SH</t>
  </si>
  <si>
    <t>Services.FAPService.{i}.Capabilities.NR</t>
  </si>
  <si>
    <t>基站能力参数管理</t>
  </si>
  <si>
    <t>SI</t>
  </si>
  <si>
    <t>Services.FAPService.{i}.FAPControl.NR.SelfConfig.SONConfigParam</t>
  </si>
  <si>
    <t>SON参数管理</t>
  </si>
  <si>
    <t>SJ</t>
  </si>
  <si>
    <t>Services.FAPService.{i}.CellConfig.{i}.NR</t>
  </si>
  <si>
    <t>小区服务参数管理（总体）</t>
  </si>
  <si>
    <t>SK</t>
  </si>
  <si>
    <t>Services.FAPService.{i}.CellConfig.{i}.NR.RAN</t>
  </si>
  <si>
    <t>RAN协议栈参数</t>
  </si>
  <si>
    <t>SL</t>
  </si>
  <si>
    <t>Services.FAPService.{i}.CellConfig.{i}.NR.RAN.NeighborList</t>
  </si>
  <si>
    <t>邻区参数管理</t>
  </si>
  <si>
    <t>SM</t>
  </si>
  <si>
    <t>Services.FAPService.{i}.CellConfig.{i}.NR.RAN.Mobility</t>
  </si>
  <si>
    <t>移动性参数管理</t>
  </si>
  <si>
    <t>SN</t>
  </si>
  <si>
    <t>Services.FAPService.{i}.Transport.SCTP</t>
  </si>
  <si>
    <t>SCTP参数管理</t>
  </si>
  <si>
    <r>
      <rPr>
        <sz val="10"/>
        <rFont val="宋体"/>
        <charset val="134"/>
        <scheme val="minor"/>
      </rPr>
      <t>S</t>
    </r>
    <r>
      <rPr>
        <sz val="10"/>
        <rFont val="宋体"/>
        <charset val="134"/>
        <scheme val="minor"/>
      </rPr>
      <t>O</t>
    </r>
  </si>
  <si>
    <t>Ethernet.Interface</t>
  </si>
  <si>
    <t>WAN口配置参数管理</t>
  </si>
  <si>
    <r>
      <rPr>
        <sz val="10"/>
        <rFont val="宋体"/>
        <charset val="134"/>
        <scheme val="minor"/>
      </rPr>
      <t>S</t>
    </r>
    <r>
      <rPr>
        <sz val="10"/>
        <rFont val="宋体"/>
        <charset val="134"/>
        <scheme val="minor"/>
      </rPr>
      <t>P</t>
    </r>
  </si>
  <si>
    <t>Time</t>
  </si>
  <si>
    <t>时间服务器参数管理</t>
  </si>
  <si>
    <r>
      <rPr>
        <sz val="10"/>
        <rFont val="宋体"/>
        <charset val="134"/>
        <scheme val="minor"/>
      </rPr>
      <t>S</t>
    </r>
    <r>
      <rPr>
        <sz val="10"/>
        <rFont val="宋体"/>
        <charset val="134"/>
        <scheme val="minor"/>
      </rPr>
      <t>Q</t>
    </r>
  </si>
  <si>
    <t>FAP.GPS</t>
  </si>
  <si>
    <t>GPS信息参数管理</t>
  </si>
  <si>
    <r>
      <rPr>
        <sz val="10"/>
        <rFont val="宋体"/>
        <charset val="134"/>
        <scheme val="minor"/>
      </rPr>
      <t>S</t>
    </r>
    <r>
      <rPr>
        <sz val="10"/>
        <rFont val="宋体"/>
        <charset val="134"/>
        <scheme val="minor"/>
      </rPr>
      <t>R</t>
    </r>
  </si>
  <si>
    <t>FAP.MRMgmt</t>
  </si>
  <si>
    <t>MR参数管理</t>
  </si>
  <si>
    <r>
      <rPr>
        <sz val="10"/>
        <rFont val="宋体"/>
        <charset val="134"/>
        <scheme val="minor"/>
      </rPr>
      <t>S</t>
    </r>
    <r>
      <rPr>
        <sz val="10"/>
        <rFont val="宋体"/>
        <charset val="134"/>
        <scheme val="minor"/>
      </rPr>
      <t>S</t>
    </r>
  </si>
  <si>
    <t>FAP.PerfMgmt</t>
  </si>
  <si>
    <t>性能参数管理</t>
  </si>
  <si>
    <t>ST</t>
  </si>
  <si>
    <t>Services.FAPService.{i}.CellConfig.{i}.NR.NGC.QoS.</t>
  </si>
  <si>
    <t>Qos参数管理</t>
  </si>
  <si>
    <t>合计</t>
  </si>
  <si>
    <t>归类</t>
  </si>
  <si>
    <t>参数路径</t>
  </si>
  <si>
    <t>限定</t>
  </si>
  <si>
    <t>描述</t>
  </si>
  <si>
    <t>备注</t>
  </si>
  <si>
    <t>主机单元（MU）设备信息参数管理</t>
  </si>
  <si>
    <t>Device.DeviceInfo.MU.{i}.ManufacturerOUI</t>
  </si>
  <si>
    <t>ManufacturerOUI</t>
  </si>
  <si>
    <t>制造商OUI</t>
  </si>
  <si>
    <t>M</t>
  </si>
  <si>
    <t>string(6)</t>
  </si>
  <si>
    <t>/</t>
  </si>
  <si>
    <t>Device.DeviceInfo.MU.{i}.Manufacturer</t>
  </si>
  <si>
    <t>Manufacturer</t>
  </si>
  <si>
    <t>制造商</t>
  </si>
  <si>
    <t xml:space="preserve">string(64) </t>
  </si>
  <si>
    <t>Device.DeviceInfo.MU.{i}.ModelName</t>
  </si>
  <si>
    <t>ModelName</t>
  </si>
  <si>
    <t>设备型号</t>
  </si>
  <si>
    <t>string(64)</t>
  </si>
  <si>
    <t>Device.DeviceInfo.MU.{i}.SerialNumber</t>
  </si>
  <si>
    <t>SerialNumber</t>
  </si>
  <si>
    <t>序列号</t>
  </si>
  <si>
    <t>Device.DeviceInfo.MU.{i}.HardwareVersion</t>
  </si>
  <si>
    <t>HardwareVersion</t>
  </si>
  <si>
    <t>硬件版本</t>
  </si>
  <si>
    <t>Device.DeviceInfo.MU.{i}.SoftwareVersion</t>
  </si>
  <si>
    <t>SoftwareVersion</t>
  </si>
  <si>
    <t>软件版本</t>
  </si>
  <si>
    <t>Device.DeviceInfo.MU.{i}.HardwarePlatform</t>
  </si>
  <si>
    <t>HardwarePlatform</t>
  </si>
  <si>
    <t>硬件平台</t>
  </si>
  <si>
    <t>Device.DeviceInfo.MU.{i}.AdditionalHardwareVersion</t>
  </si>
  <si>
    <t>AdditionalHardwareVersion</t>
  </si>
  <si>
    <t>附加硬件版本</t>
  </si>
  <si>
    <t>Device.DeviceInfo.MU.{i}.AdditionalSoftwareVersion</t>
  </si>
  <si>
    <t>AdditionalSoftwareVersion</t>
  </si>
  <si>
    <t>附加软件版本</t>
  </si>
  <si>
    <t>Device.DeviceInfo.MU.{i}.ProvisioningCode</t>
  </si>
  <si>
    <t>ProvisioningCode</t>
  </si>
  <si>
    <t>供应商代号</t>
  </si>
  <si>
    <t>Device.DeviceInfo.MU.{i}.ProductClass</t>
  </si>
  <si>
    <t>ProductClass</t>
  </si>
  <si>
    <t>产品分类</t>
  </si>
  <si>
    <t>Device.DeviceInfo.MU.{i}.Status</t>
  </si>
  <si>
    <t>Status</t>
  </si>
  <si>
    <t>机框/服务器状态</t>
  </si>
  <si>
    <t>unsignedInt[1:3]</t>
  </si>
  <si>
    <t>1:正常
2:离线
3:告警</t>
  </si>
  <si>
    <t>Device.DeviceInfo.MU.{i}.Reboot</t>
  </si>
  <si>
    <t>Reboot</t>
  </si>
  <si>
    <t>重启开关</t>
  </si>
  <si>
    <t>0:不重启
1:重启</t>
  </si>
  <si>
    <t>Device.DeviceInfo.MU.{i}.UpTime</t>
  </si>
  <si>
    <t>UpTime</t>
  </si>
  <si>
    <t>运行时间</t>
  </si>
  <si>
    <t xml:space="preserve">unsignedInt </t>
  </si>
  <si>
    <t>设备从上次重启后的运行时间，单位：秒</t>
  </si>
  <si>
    <t>0-‭4294967295‬</t>
  </si>
  <si>
    <t>Device.DeviceInfo.MU.{i}.FirstUseDate</t>
  </si>
  <si>
    <t>FirstUseDate</t>
  </si>
  <si>
    <t>首次使用日期</t>
  </si>
  <si>
    <t>dateTime</t>
  </si>
  <si>
    <t>UTC时间格式，YYYY-MM-DDTHH:MM:SSZ，例如2012-12-11T09:15:00Z</t>
  </si>
  <si>
    <t>Device.DeviceInfo.MU.{i}.ClockSource</t>
  </si>
  <si>
    <t>ClockSource</t>
  </si>
  <si>
    <t>时钟源</t>
  </si>
  <si>
    <t>unsignedInt[1:11]</t>
  </si>
  <si>
    <t>Enumerate{
GPS, GLONASS, BDS, 1588v2,
GPS/GLONASS, // GPS 为主，GLONASS 为从
BDS/GPS，
GPS/BDS，
GALILEO，
GPS/GALILEO，
GPS/GALILEO/GLONASS, GPS/GALILEO/BDS
}</t>
  </si>
  <si>
    <t>Device.DeviceInfo.MU.{i}.ClockSyncMode</t>
  </si>
  <si>
    <t>ClockSyncMode</t>
  </si>
  <si>
    <t>时钟同步方式</t>
  </si>
  <si>
    <t>1:空口同步
2:人工同步
3:自动同步</t>
  </si>
  <si>
    <t>Device.DeviceInfo.MU.{i}.SwUpgrade.Stage</t>
  </si>
  <si>
    <t>Stage</t>
  </si>
  <si>
    <t>升级阶段</t>
  </si>
  <si>
    <t>unsignedInt[1:5]</t>
  </si>
  <si>
    <t>1:初始化
2:下载
3:安装
4:等待激活
5.激活</t>
  </si>
  <si>
    <t>Device.DeviceInfo.MU.{i}.SwUpgrade.Status</t>
  </si>
  <si>
    <t>状态</t>
  </si>
  <si>
    <t>1:成功
2:进行中
3:失败</t>
  </si>
  <si>
    <t>Device.DeviceInfo.MU.{i}.SwUpgrade.FailureCause</t>
  </si>
  <si>
    <t>FailureCause</t>
  </si>
  <si>
    <t>升级失败原因</t>
  </si>
  <si>
    <t>string</t>
  </si>
  <si>
    <t>升级失败原因描述</t>
  </si>
  <si>
    <t>Device.DeviceInfo.MU.{i}.DateOfManufacture</t>
  </si>
  <si>
    <t>DateOfManufacture</t>
  </si>
  <si>
    <t>生产日期</t>
  </si>
  <si>
    <t>Device.DeviceInfo.MU.{i}.Slot.{i}.PackPosition</t>
  </si>
  <si>
    <t>PackPosition</t>
  </si>
  <si>
    <t>板卡位置</t>
  </si>
  <si>
    <t>板卡在机框内的相对位置，通常用编号表示。数据格式定义为“机柜-机框-槽号”</t>
  </si>
  <si>
    <t>Device.DeviceInfo.MU.{i}.Slot.{i}.SlotsOccupied</t>
  </si>
  <si>
    <t>SlotsOccupied</t>
  </si>
  <si>
    <t>占用槽位</t>
  </si>
  <si>
    <t>应表示板卡占用的槽位号列表。（注：一些板卡较宽，可能会占用两个或以上槽位）</t>
  </si>
  <si>
    <t>Device.DeviceInfo.MU.{i}.Slot.{i}.ManufacturerOUI</t>
  </si>
  <si>
    <t>Device.DeviceInfo.MU.{i}.Slot.{i}.Manufacturer</t>
  </si>
  <si>
    <t>Device.DeviceInfo.MU.{i}.Slot.{i}.ModelName</t>
  </si>
  <si>
    <t>Device.DeviceInfo.MU.{i}.Slot.{i}.SerialNumber</t>
  </si>
  <si>
    <t>Device.DeviceInfo.MU.{i}.Slot.{i}.HardwareVersion</t>
  </si>
  <si>
    <t>Device.DeviceInfo.MU.{i}.Slot.{i}.SoftwareVersion</t>
  </si>
  <si>
    <t>Device.DeviceInfo.MU.{i}.Slot.{i}.ProvisioningCode</t>
  </si>
  <si>
    <t>Device.DeviceInfo.MU.{i}.Slot.{i}.VendorUnitFamilyType</t>
  </si>
  <si>
    <t>VendorUnitFamilyType</t>
  </si>
  <si>
    <t>板卡类型</t>
  </si>
  <si>
    <t>描述板卡功能类型。List of Enum{ 板卡类型（枚举）}。其中板卡类型的为Enumerate{MainControl，Carrier，Trans，Other}，分别表示主控板、载频板、传输板、其他板卡类型。对跨类型的板卡，列表中应包括该板卡的全部功能类型。（必须上报）</t>
  </si>
  <si>
    <t>Device.DeviceInfo.MU.{i}.Slot.{i}.UpTime</t>
  </si>
  <si>
    <t>Device.DeviceInfo.MU.{i}.Slot.{i}.DateOfManufacture</t>
  </si>
  <si>
    <t>Device.DeviceInfo.MU.{i}.Slot.{i}.DataModelSpecVersion</t>
  </si>
  <si>
    <t>DataModelSpecVersion</t>
  </si>
  <si>
    <t>数据模型版本</t>
  </si>
  <si>
    <t>Device.DeviceInfo.MU.{i}.Slot.{i}.3GPPSpecVersion</t>
  </si>
  <si>
    <t>3GPPSpecVersion</t>
  </si>
  <si>
    <t>3GPP协议版本</t>
  </si>
  <si>
    <t>Device.DeviceInfo.MU.{i}.Slot.{i}.FirstUseDate</t>
  </si>
  <si>
    <t>Device.DeviceInfo.MU.{i}.Slot.{i}.Status</t>
  </si>
  <si>
    <t>板卡状态</t>
  </si>
  <si>
    <t>Device.DeviceInfo.MU.{i}.Slot.{i}.Reboot</t>
  </si>
  <si>
    <t>Device.DeviceInfo.MU.{i}.Slot.{i}.SwUpgrade.Stage</t>
  </si>
  <si>
    <t>Device.DeviceInfo.MU.{i}.Slot.{i}.SwUpgrade.Status</t>
  </si>
  <si>
    <t>Device.DeviceInfo.MU.{i}.Slot.{i}.SwUpgrade.FailureCause</t>
  </si>
  <si>
    <t>扩展型基站-扩展单元（EU）参数管理</t>
  </si>
  <si>
    <t>Device.DeviceInfo.MU.{i}.Slot.{i}.EU.{i}.RouteIndex</t>
  </si>
  <si>
    <t>RouteIndex</t>
  </si>
  <si>
    <t>扩展单元路由指示</t>
  </si>
  <si>
    <t>1.扩展型皮基站主机单元与各扩展单元和远端单元可采用树状组网方式（包含菊花链、星形等）：主机单元为根节点，扩展单元为树枝节点，远端单元为叶节点；
2.本参数指示从扩展型主机单元某一板卡的某一端口或非板卡形态的主机单元的某一端口到扩展单元 EU.{i}的路由路径，并与每个扩展单元的唯一标识对应，通过本参数和 EU.{i}.RU.{i}可呈现整个组网拓扑结构及各单元所处位置；
3.RouteIndex 取值规则从左至右根据主机单元，当某一板卡的某一端口(板卡与端口间以“.”分割。非板卡结构 MU直接使用端口号)到扩展单元 EU.{i}的路由使用的各级设备端口号逐级取值，每级之间以下划线“_”分割，直至到达本节点 EU.{i}。例如：“EU.{i}.RouteIndex = 3.2_1_5_4”代表该路由起始于主机单元（第零级）占用第3槽位的板卡的端口 2，经过第一级扩展单元南向级联端口1，第二级扩展单元南向级联端口5，第三级扩展单元南向级联端口4路由到本扩展单元 EU.{i}；非板卡类型主机单元，路由表示为 2_1_5_4，2表示该路由起始于主机单元（第零级）的端口2；
4.通过 RouteIndex取值中数值个数还能体现本扩展单元EU.{i}所处级数，例如“EU.{i}.RouteIndex = 3.2_1_5_4”说明该扩展单元EU.{i}位于第四级（主机单元为第零级）。</t>
  </si>
  <si>
    <t>MU、EU和RU的端口从1开始</t>
  </si>
  <si>
    <t>Device.DeviceInfo.MU.{i}.Slot.{i}.EU.{i}.ManufacturerOUI</t>
  </si>
  <si>
    <t>Device.DeviceInfo.MU.{i}.Slot.{i}.EU.{i}.Manufacturer</t>
  </si>
  <si>
    <t>Device.DeviceInfo.MU.{i}.Slot.{i}.EU.{i}.ModelName</t>
  </si>
  <si>
    <t>Device.DeviceInfo.MU.{i}.Slot.{i}.EU.{i}.SerialNumber</t>
  </si>
  <si>
    <t>Device.DeviceInfo.MU.{i}.Slot.{i}.EU.{i}.HardwareVersion</t>
  </si>
  <si>
    <t>Device.DeviceInfo.MU.{i}.Slot.{i}.EU.{i}.SoftwareVersion</t>
  </si>
  <si>
    <t>Device.DeviceInfo.MU.{i}.Slot.{i}.EU.{i}.ProvisioningCode</t>
  </si>
  <si>
    <t>Device.DeviceInfo.MU.{i}.Slot.{i}.EU.{i}.Status</t>
  </si>
  <si>
    <t>Device.DeviceInfo.MU.{i}.Slot.{i}.EU.{i}.DLCRCSum</t>
  </si>
  <si>
    <t>DLCRCSum</t>
  </si>
  <si>
    <t>扩展单元下行误码率</t>
  </si>
  <si>
    <t>MC</t>
  </si>
  <si>
    <t>若上一级是主机单元，则是扩展单元与主机单元下行误码率；
若上一级是扩展单元，则是扩展单元与扩展单元下行误码率；
下行误码率都由本级扩展单元统计。</t>
  </si>
  <si>
    <t>Device.DeviceInfo.MU.{i}.Slot.{i}.EU.{i}.ULCRCSum</t>
  </si>
  <si>
    <t>ULCRCSum</t>
  </si>
  <si>
    <t>扩展单元上行误码率</t>
  </si>
  <si>
    <t>若上一级是主机单元，则是扩展单元与主机单元上行误码率，由主机单元统计；
若上一级是扩展单元，则是扩展单元与扩展单元上行误码率，由上一级扩展单元统计。</t>
  </si>
  <si>
    <t>Device.DeviceInfo.MU.{i}.Slot.{i}.EU.{i}.Reboot</t>
  </si>
  <si>
    <t>Device.DeviceInfo.MU.{i}.Slot.{i}.EU.{i}.SwUpgrade.Stage</t>
  </si>
  <si>
    <t>Device.DeviceInfo.MU.{i}.Slot.{i}.EU.{i}.SwUpgrade.Status</t>
  </si>
  <si>
    <t>Device.DeviceInfo.MU.{i}.Slot.{i}.EU.{i}.SwUpgrade.FailureCause</t>
  </si>
  <si>
    <t>扩展型基站-射频单元（RU）参数管理</t>
  </si>
  <si>
    <t>Device.DeviceInfo.MU.{i}.Slot.{i}.EU.{i}.RU.{i}.RouteIndex</t>
  </si>
  <si>
    <t>射频单元路由指示</t>
  </si>
  <si>
    <t xml:space="preserve">1.扩展型一体化皮基站主机单元与各扩展单元和远端单元可采用树状组网方式（包含菊花链、星形等）：主机单元为根节点，扩展单元为树枝节点，远端单元为叶节点；
2.本参数指示从扩展型主机单元某一板卡的某一端口或非板卡形态的主机单元的某一端口到射频单元RU.{i}的路由路径，并与每个射频单元的唯一标识对应，通过本参数和EU.{i}.RU.{i}可呈现整个组网拓扑结构及各单元所处位置；
3.RouteIndex取值规则从左至右根据主机单元，当某一板卡的某一端口(板卡与端口间以“.”分割。非板卡结构MU直接使用端口号)到扩展单元EU.{i}的路由使用的各级设备端口号逐级取值，每级之间以下划线“_”分割，EU.{i}与RU.{i}链接的下联端口用“+”表示，直至到达本节点RU.{i}。例如：“RU.{i}.RouteIndex = 3.2_1_5+4”代表该路由起始于主机单元（第零级）占用第3槽位的板卡的端口2，经过第一级扩展单元南向级联端口1，第二级扩展单元南向级联端口5，第三级扩展单元下联端口4路由到本RU.{i}；非板卡类型主机单元，路由表示为2_1_5+4，2表示该路由起始于主机单元（第零级）的端口2；
4.通过RouteIndex取值中数值个数还能体现本射频单元RU.{i}所处级数，例如“RU.{i}.RouteIndex = 3.2_1_5+4”说明该设备单元RU.{i}位于第四级。 </t>
  </si>
  <si>
    <t>Device.DeviceInfo.MU.{i}.Slot.{i}.EU.{i}.RU.{i}.Status</t>
  </si>
  <si>
    <t>Device.DeviceInfo.MU.{i}.Slot.{i}.EU.{i}.RU.{i}.ManufacturerOUI</t>
  </si>
  <si>
    <t>Device.DeviceInfo.MU.{i}.Slot.{i}.EU.{i}.RU.{i}.Manufacturer</t>
  </si>
  <si>
    <t>Device.DeviceInfo.MU.{i}.Slot.{i}.EU.{i}.RU.{i}.ModelName</t>
  </si>
  <si>
    <t>Device.DeviceInfo.MU.{i}.Slot.{i}.EU.{i}.RU.{i}.SerialNumber</t>
  </si>
  <si>
    <t>Device.DeviceInfo.MU.{i}.Slot.{i}.EU.{i}.RU.{i}.HardwareVersion</t>
  </si>
  <si>
    <t>Device.DeviceInfo.MU.{i}.Slot.{i}.EU.{i}.RU.{i}.SoftwareVersion</t>
  </si>
  <si>
    <t>Device.DeviceInfo.MU.{i}.Slot.{i}.EU.{i}.RU.{i}.ProvisioningCode</t>
  </si>
  <si>
    <t>Device.DeviceInfo.MU.{i}.Slot.{i}.EU.{i}.RU.{i}.Reboot</t>
  </si>
  <si>
    <t>Device.DeviceInfo.MU.{i}.Slot.{i}.EU.{i}.RU.{i}.MaxTxPower</t>
  </si>
  <si>
    <t>MaxTxPower</t>
  </si>
  <si>
    <t>最大发射功率</t>
  </si>
  <si>
    <t>单位dBm</t>
  </si>
  <si>
    <t>Device.DeviceInfo.MU.{i}.Slot.{i}.EU.{i}.RU.{i}.RFTxStatus</t>
  </si>
  <si>
    <t>RFTxStatus</t>
  </si>
  <si>
    <t>射频状态</t>
  </si>
  <si>
    <t>0:关闭
1:开启</t>
  </si>
  <si>
    <t>Device.DeviceInfo.MU.{i}.Slot.{i}.EU.{i}.RU.{i}.FrequencyBand</t>
  </si>
  <si>
    <t>FrequencyBand</t>
  </si>
  <si>
    <t>支持频段</t>
  </si>
  <si>
    <t>指RRU支持的工作频段，如n1、n2等频段。例如若支持n1、n2频段，则取值为{"n1","n2"}，具体取值参见38.104 5.4.2.3</t>
  </si>
  <si>
    <t>Device.DeviceInfo.MU.{i}.Slot.{i}.EU.{i}.RU.{i}.RFChannel.{i}.TxGain</t>
  </si>
  <si>
    <t>TxGain</t>
  </si>
  <si>
    <t>下行发射功率增益</t>
  </si>
  <si>
    <t>单位dB
指小基站某个发射通道发射增益</t>
  </si>
  <si>
    <t>Device.DeviceInfo.MU.{i}.Slot.{i}.EU.{i}.RU.{i}.RFChannel.{i}.NoisePwdBm</t>
  </si>
  <si>
    <t>NoisePwdBm</t>
  </si>
  <si>
    <t>底噪</t>
  </si>
  <si>
    <t>Device.DeviceInfo.MU.{i}.Slot.{i}.EU.{i}.RU.{i}.DateOfManufacture</t>
  </si>
  <si>
    <t>Device.DeviceInfo.MU.{i}.Slot.{i}.EU.{i}.RU.{i}.SwUpgrade.Stage</t>
  </si>
  <si>
    <t>Device.DeviceInfo.MU.{i}.Slot.{i}.EU.{i}.RU.{i}.SwUpgrade.Status</t>
  </si>
  <si>
    <t>Device.DeviceInfo.MU.{i}.Slot.{i}.EU.{i}.RU.{i}.SwUpgrade.FailureCause</t>
  </si>
  <si>
    <t>扩展型基站-拉远扩展单元（ERU）参数管理</t>
  </si>
  <si>
    <t>Device.DeviceInfo.MU.{i}.Slot.{i}.EU.{i}.ERU.{i}.RouteIndex</t>
  </si>
  <si>
    <t>拉远扩展单元路由指示</t>
  </si>
  <si>
    <t xml:space="preserve">1.扩展型一体化皮基站主机单元与各扩展单元和远端单元可采用树状组网方式（包含菊花链、星形等）：主机单元为根节点，扩展单元为树枝节点，远端单元为叶节点；
2.本参数指示从扩展型主机单元某一板卡的某一端口或非板卡形态的主机单元的某一端口到拉远扩展单元ERU.{i}的路由路径，并与每个拉远扩展单元的唯一标识对应，通过本参数和EU.{i}.ERU.{i}可呈现整个组网拓扑结构及各单元所处位置；
3.RouteIndex取值规则从左至右根据主机单元，当某一板卡的某一端口(板卡与端口间以“.”分割。非板卡结构MU直接使用端口号)到扩展单元EU.{i}的路由使用的各级设备端口号逐级取值，每级之间以下划线“_”分割，EU.{i}与ERU.{i}链接的下联端口用“+”表示，直至到达本节点ERU.{i}。例如：“ERU.{i}.RouteIndex = 3.2_1_5+4”代表该路由起始于主机单元（第零级）占用第3槽位的板卡的端口2，经过第一级扩展单元南向级联端口1，第二级扩展单元南向级联端口5，第三级扩展单元下联端口4路由到本ERU.{i}；非板卡类型主机单元，路由表示为2_1_5+4，2表示该路由起始于主机单元（第零级）的端口2；
4.通过RouteIndex取值中数值个数还能体现本拉远扩展单元ERU.{i}所处级数，例如“ERU.{i}.RouteIndex = 3.2_1_5+4”说明该设备单元ERU.{i}位于第四级。 </t>
  </si>
  <si>
    <t>Device.DeviceInfo.MU.{i}.Slot.{i}.EU.{i}.ERU.{i}.ManufacturerOUI</t>
  </si>
  <si>
    <t>Device.DeviceInfo.MU.{i}.Slot.{i}.EU.{i}.ERU.{i}.Manufacturer</t>
  </si>
  <si>
    <t>Device.DeviceInfo.MU.{i}.Slot.{i}.EU.{i}.ERU.{i}.ProvisioningCode</t>
  </si>
  <si>
    <t>Device.DeviceInfo.MU.{i}.Slot.{i}.EU.{i}.ERU.{i}.DateOfManufacture</t>
  </si>
  <si>
    <t>Device.DeviceInfo.MU.{i}.Slot.{i}.EU.{i}.ERU.{i}.ModelName</t>
  </si>
  <si>
    <t>Device.DeviceInfo.MU.{i}.Slot.{i}.EU.{i}.ERU.{i}.SerialNumber</t>
  </si>
  <si>
    <t>Device.DeviceInfo.MU.{i}.Slot.{i}.EU.{i}.ERU.{i}.HardwareVersion</t>
  </si>
  <si>
    <t>Device.DeviceInfo.MU.{i}.Slot.{i}.EU.{i}.ERU.{i}.SoftwareVersion</t>
  </si>
  <si>
    <t>Device.DeviceInfo.MU.{i}.Slot.{i}.EU.{i}.ERU.{i}.Status</t>
  </si>
  <si>
    <t>设备状态</t>
  </si>
  <si>
    <t>Device.DeviceInfo.MU.{i}.Slot.{i}.EU.{i}.ERU.{i}.Reboot</t>
  </si>
  <si>
    <t>Device.DeviceInfo.MU.{i}.Slot.{i}.EU.{i}.ERU.{i}.RFTxStatus</t>
  </si>
  <si>
    <t>Device.DeviceInfo.MU.{i}.Slot.{i}.EU.{i}.ERU.{i}.ConsumpPower</t>
  </si>
  <si>
    <t>ConsumpPower</t>
  </si>
  <si>
    <t>功耗</t>
  </si>
  <si>
    <t>unsignedInt[1:4]</t>
  </si>
  <si>
    <t>单位mW</t>
  </si>
  <si>
    <t>Device.DeviceInfo.MU.{i}.Slot.{i}.EU.{i}.ERU.{i}.SwUpgrade.Stage</t>
  </si>
  <si>
    <t>Device.DeviceInfo.MU.{i}.Slot.{i}.EU.{i}.ERU.{i}.SwUpgrade.Status</t>
  </si>
  <si>
    <t>Device.DeviceInfo.MU.{i}.Slot.{i}.EU.{i}.ERU.{i}.SwUpgrade.FailureCause</t>
  </si>
  <si>
    <t>string(512)</t>
  </si>
  <si>
    <t>扩展型基站-拉远射频单元（DRU）参数管理</t>
  </si>
  <si>
    <t>Device.DeviceInfo.MU.{i}.Slot.{i}.EU.{i}.ERU.{i}.DRU.{i}.DeviceId</t>
  </si>
  <si>
    <t>DeviceId</t>
  </si>
  <si>
    <t>设备ID</t>
  </si>
  <si>
    <t>用来标识DRU的拓扑位置</t>
  </si>
  <si>
    <t>Device.DeviceInfo.MU.{i}.Slot.{i}.EU.{i}.ERU.{i}.DRU.{i}.ModelName</t>
  </si>
  <si>
    <t>Device.DeviceInfo.MU.{i}.Slot.{i}.EU.{i}.ERU.{i}.DRU.{i}.ManufacturerOUI</t>
  </si>
  <si>
    <t>Device.DeviceInfo.MU.{i}.Slot.{i}.EU.{i}.ERU.{i}.DRU.{i}.Manufacturer</t>
  </si>
  <si>
    <t>Device.DeviceInfo.MU.{i}.Slot.{i}.EU.{i}.ERU.{i}.DRU.{i}.ProvisioningCode</t>
  </si>
  <si>
    <t>Device.DeviceInfo.MU.{i}.Slot.{i}.EU.{i}.ERU.{i}.DRU.{i}.DateOfManufacture</t>
  </si>
  <si>
    <t>Device.DeviceInfo.MU.{i}.Slot.{i}.EU.{i}.ERU.{i}.DRU.{i}.SerialNumber</t>
  </si>
  <si>
    <t>Device.DeviceInfo.MU.{i}.Slot.{i}.EU.{i}.ERU.{i}.DRU.{i}.HardwareVersion</t>
  </si>
  <si>
    <t>Device.DeviceInfo.MU.{i}.Slot.{i}.EU.{i}.ERU.{i}.DRU.{i}.SoftwareVersion</t>
  </si>
  <si>
    <t>Device.DeviceInfo.MU.{i}.Slot.{i}.EU.{i}.ERU.{i}.DRU.{i}.Status</t>
  </si>
  <si>
    <t>Device.DeviceInfo.MU.{i}.Slot.{i}.EU.{i}.ERU.{i}.DRU.{i}.Reboot</t>
  </si>
  <si>
    <t>Device.DeviceInfo.MU.{i}.Slot.{i}.EU.{i}.ERU.{i}.DRU.{i}.RFChannel.{i}.DLPA</t>
  </si>
  <si>
    <t>通道下行功放开关</t>
  </si>
  <si>
    <t>多实例状态变化通知参数</t>
  </si>
  <si>
    <t>Device.DeviceInfo.AddEndPoint</t>
  </si>
  <si>
    <t>AddEndPoint</t>
  </si>
  <si>
    <t>多实例新增</t>
  </si>
  <si>
    <t>string(256)</t>
  </si>
  <si>
    <t>多实例新增：
基站本地侧增加一个多实例时，需调用此模型通知网管具体增加的多实例节点， 保证两边的数据统一性。
例：远端(汇聚)单元接入时，扩展型皮基站需要用此型路径然后才用《南向接口技术规范》中ADD OBJECT事件上报网管。
AddEndPoint=Device.DeviceInfo.DU.1.RU.3</t>
  </si>
  <si>
    <t>Device.DeviceInfo.DelEndPoint</t>
  </si>
  <si>
    <t>DelEndPoint</t>
  </si>
  <si>
    <t>多实例删除</t>
  </si>
  <si>
    <t>多实例删除：
基站本地侧删除一个多实例时，需调用此模型通知网管具体删除的多实例节点， 保证两边的数据统一性。
例：当远端(汇聚)设备部署位置拆除时，扩展型皮基站需要用此模型路径然后才用《南向接口技术规范》中DELETE OBJECT事件上报网管。
DelEndPoint=Device.DeviceInfo.DU.1.RU.3</t>
  </si>
  <si>
    <t>设备信息参数管理</t>
  </si>
  <si>
    <t>Device.DeviceInfo.ManufacturerOUI</t>
  </si>
  <si>
    <t>Device.DeviceInfo.Manufacturer</t>
  </si>
  <si>
    <t>Device.DeviceInfo.ModelName</t>
  </si>
  <si>
    <t>Device.DeviceInfo.SerialNumber</t>
  </si>
  <si>
    <t>Device.DeviceInfo.HardwareVersion</t>
  </si>
  <si>
    <t>Device.DeviceInfo.SoftwareVersion</t>
  </si>
  <si>
    <t>Device.DeviceInfo.HardwarePlatform</t>
  </si>
  <si>
    <t>Device.DeviceInfo.AdditionalHardwareVersion</t>
  </si>
  <si>
    <t>Device.DeviceInfo.AdditionalSoftwareVersion</t>
  </si>
  <si>
    <t>Device.DeviceInfo.DataModelSpecVersion</t>
  </si>
  <si>
    <t>Device.DeviceInfo.ProvisioningCode</t>
  </si>
  <si>
    <t>Device.DeviceInfo.ProductClass</t>
  </si>
  <si>
    <t>Device.DeviceInfo.UpTime</t>
  </si>
  <si>
    <t>Device.DeviceInfo.3GPPSpecVersion</t>
  </si>
  <si>
    <t>Device.DeviceInfo.FirstUseDate</t>
  </si>
  <si>
    <t>Device.DeviceInfo.Reboot</t>
  </si>
  <si>
    <t>Device.DeviceInfo.Status</t>
  </si>
  <si>
    <t>硬件状态</t>
  </si>
  <si>
    <t>1:正常
3:告警</t>
  </si>
  <si>
    <t>Device.DeviceInfo.SwUpgrade.Stage</t>
  </si>
  <si>
    <t>Device.DeviceInfo.SwUpgrade.Status</t>
  </si>
  <si>
    <t>Device.DeviceInfo.SwUpgrade.FailureCause</t>
  </si>
  <si>
    <t>版本参数管理</t>
  </si>
  <si>
    <t>Device.SoftwareCtrl.AutoActivateEnable</t>
  </si>
  <si>
    <t>AutoActivateEnable</t>
  </si>
  <si>
    <t>立即激活目标升级版本使能开关</t>
  </si>
  <si>
    <t>(0=false,1=true)，立即激活目标升级版本使能开关，当为true时，设备下载成功目标升级版本后立即激活版本，当为flase时，需要和ActivateTime这两个参数一起使用。</t>
  </si>
  <si>
    <t>Device.SoftwareCtrl.ActivateTime</t>
  </si>
  <si>
    <t>ActivateTime</t>
  </si>
  <si>
    <t>软件激活时间</t>
  </si>
  <si>
    <t>UTC时间格式，YYYY-MM-DDTHH:MM:SSZ，例如2012-12-11T09:15:00Z，下发命令后设备只要在大于等于激活时间里开启，就会激活系统备份版本。</t>
  </si>
  <si>
    <t>Device.SoftwareCtrl.ActivateEnable</t>
  </si>
  <si>
    <t>ActivateEnable</t>
  </si>
  <si>
    <t>激活备份版本使能开关</t>
  </si>
  <si>
    <t>O</t>
  </si>
  <si>
    <t>(0=false,1=true)激活备份版本使能开关，当为true时立即激活备份版本。</t>
  </si>
  <si>
    <t>Device.SoftwareCtrl.SystemCurrentVersion</t>
  </si>
  <si>
    <t>SystemCurrentVersion</t>
  </si>
  <si>
    <t>系统当前版本</t>
  </si>
  <si>
    <t>系统正在使用的版本。表示gNB整体版本。</t>
  </si>
  <si>
    <t>Device.SoftwareCtrl.SystemBackupVersion</t>
  </si>
  <si>
    <t>SystemBackupVersion</t>
  </si>
  <si>
    <t>系统备份版本</t>
  </si>
  <si>
    <t>系统备份版本，新下载的或以前使用的版本。</t>
  </si>
  <si>
    <t xml:space="preserve"> </t>
  </si>
  <si>
    <t>网管参数管理</t>
  </si>
  <si>
    <t>Device.ManagementServer.URL</t>
  </si>
  <si>
    <t>URL</t>
  </si>
  <si>
    <t>网管服务器URL</t>
  </si>
  <si>
    <t>ACS使用CWMP连接ACS的URL。格式必须为合法的HTTP/HTTPS的形式。</t>
  </si>
  <si>
    <t>Device.ManagementServer.Username</t>
  </si>
  <si>
    <t>Username</t>
  </si>
  <si>
    <t>连接用户名</t>
  </si>
  <si>
    <t>ACS使用CWMP连接基站时使用的认证用户名。仅用于基站的基于HTTP的认证。</t>
  </si>
  <si>
    <t>Device.ManagementServer.Password</t>
  </si>
  <si>
    <t>Password</t>
  </si>
  <si>
    <t>连接密码</t>
  </si>
  <si>
    <t>基站使用CWMP连接ACS时使用的认证密码。仅用于基站的基于HTTP的认证。读取时返回一个空字符串.</t>
  </si>
  <si>
    <t>Device.ManagementServer.PeriodicInformEnable</t>
  </si>
  <si>
    <t>PeriodicInformEnable</t>
  </si>
  <si>
    <t>连接使能开关</t>
  </si>
  <si>
    <t>基站是否必须利用Inform方法调用定时向服务器端发送基站信息。当PeriodicInformEnable=true时，PeriodicInformInterval才起作用</t>
  </si>
  <si>
    <t>Device.ManagementServer.PeriodicInformTime</t>
  </si>
  <si>
    <t>PeriodicInformTime</t>
  </si>
  <si>
    <t>上报周期</t>
  </si>
  <si>
    <t xml:space="preserve">dateTime </t>
  </si>
  <si>
    <t>Device.ManagementServer.PeriodicInformInterval</t>
  </si>
  <si>
    <t>PeriodicInformInterval</t>
  </si>
  <si>
    <t>周期上报时间间隔</t>
  </si>
  <si>
    <t>unsignedInt[1:]</t>
  </si>
  <si>
    <t>在PeriodicInformEnable为真时，基站必须尝试连接ACS并调用Inform方法的时间间隔。当PeriodicInformEnable=true才生效</t>
  </si>
  <si>
    <t>Device.ManagementServer.ParameterKey</t>
  </si>
  <si>
    <t>ParameterKey</t>
  </si>
  <si>
    <t>键值</t>
  </si>
  <si>
    <t>string(32)</t>
  </si>
  <si>
    <t>来自于服务器的最新的 SetParameterValues，AddObject 或 DeleteObject 方法调用的 ParameterKey 自变量数值。如果没有此类调用，此数值为空。</t>
  </si>
  <si>
    <t>Device.ManagementServer.ConnectionRequestURL</t>
  </si>
  <si>
    <t>ConnectionRequestURL</t>
  </si>
  <si>
    <t>连接请求URL</t>
  </si>
  <si>
    <t>ACS向基站发起连接请求通知时所使用的HTTPURL。其形式如下：http://host:port/SOAP/HNBServlet?a=1的"主机"部分可以是基站管理接口的IP地址，用以替代域名。</t>
  </si>
  <si>
    <t>Device.ManagementServer.ConnectionRequestUsername</t>
  </si>
  <si>
    <t>ConnectionRequestUsername</t>
  </si>
  <si>
    <t>连接请求用户名</t>
  </si>
  <si>
    <t>ACS向基站发起连接请求时，鉴权过程使用的用户名。</t>
  </si>
  <si>
    <t>Device.ManagementServer.ConnectionRequestPassword</t>
  </si>
  <si>
    <t>ConnectionRequestPassword</t>
  </si>
  <si>
    <t>连接请求密码</t>
  </si>
  <si>
    <t>ACS向基站发起连接请求时，鉴权过程使用的密码。在被读取时，该参数会忽略实际值而返回一个空字符串。</t>
  </si>
  <si>
    <t>Device.ManagementServer.UDPConnectionRequestAddress</t>
  </si>
  <si>
    <t>UDPConnectionRequestAddress</t>
  </si>
  <si>
    <t>UDP连接请求地址</t>
  </si>
  <si>
    <t>Device.ManagementServer.STUNEnable</t>
  </si>
  <si>
    <t>STUNEnable</t>
  </si>
  <si>
    <t>STUN使能开关</t>
  </si>
  <si>
    <t>(0=false,1=true)</t>
  </si>
  <si>
    <t>Device.ManagementServer.STUNServerAddress</t>
  </si>
  <si>
    <t>STUNServerAddress</t>
  </si>
  <si>
    <t>STUN服务器地址</t>
  </si>
  <si>
    <t>Device.ManagementServer.STUNServerPort</t>
  </si>
  <si>
    <t>STUNServerPort</t>
  </si>
  <si>
    <t>STUN服务器端口</t>
  </si>
  <si>
    <t xml:space="preserve">unsignedInt[0:65535]
</t>
  </si>
  <si>
    <t>Device.ManagementServer.STUNUsername</t>
  </si>
  <si>
    <t>STUNUsername</t>
  </si>
  <si>
    <t>STUN用户名</t>
  </si>
  <si>
    <t>Device.ManagementServer.STUNPassword</t>
  </si>
  <si>
    <t>STUNPassword</t>
  </si>
  <si>
    <t>STUN密码</t>
  </si>
  <si>
    <t>Device.ManagementServer.STUNMaximumKeepAlivePeriod</t>
  </si>
  <si>
    <t>STUNMaximumKeepAlivePeriod</t>
  </si>
  <si>
    <t>STUN最大生存周期</t>
  </si>
  <si>
    <t>int[-1:65535]</t>
  </si>
  <si>
    <t>Device.ManagementServer.STUNMinimumKeepAlivePeriod</t>
  </si>
  <si>
    <t>STUNMinimumKeepAlivePeriod</t>
  </si>
  <si>
    <t>STUN最小生存周期</t>
  </si>
  <si>
    <t>unsignedInt[0:65535]</t>
  </si>
  <si>
    <t>Device.ManagementServer.NATDetected</t>
  </si>
  <si>
    <t>NATDetected</t>
  </si>
  <si>
    <t>NAT转换地址</t>
  </si>
  <si>
    <t xml:space="preserve">告警管理
</t>
  </si>
  <si>
    <t>Device.FaultMgmt.SupportedAlarmNumberOfEntries</t>
  </si>
  <si>
    <t>SupportedAlarmNumberOfEntries</t>
  </si>
  <si>
    <t>最大告警实例数量</t>
  </si>
  <si>
    <t>Device.FaultMgmt.MaxCurrentAlarmEntries</t>
  </si>
  <si>
    <t>MaxCurrentAlarmEntries</t>
  </si>
  <si>
    <t>最大当前告警实例数量</t>
  </si>
  <si>
    <t>Device.FaultMgmt.CurrentAlarmNumberOfEntries</t>
  </si>
  <si>
    <t>CurrentAlarmNumberOfEntries</t>
  </si>
  <si>
    <t>当前告警实例数量</t>
  </si>
  <si>
    <t>Device.FaultMgmt.HistoryEventNumberOfEntries</t>
  </si>
  <si>
    <t>HistoryEventNumberOfEntries</t>
  </si>
  <si>
    <t>历史事件实例数量</t>
  </si>
  <si>
    <t>Device.FaultMgmt.ExpeditedEventNumberOfEntries</t>
  </si>
  <si>
    <t>ExpeditedEventNumberOfEntries</t>
  </si>
  <si>
    <t>紧急事件实例数量</t>
  </si>
  <si>
    <t>Device.FaultMgmt.QueuedEventNumberOfEntries</t>
  </si>
  <si>
    <t>QueuedEventNumberOfEntries</t>
  </si>
  <si>
    <t>队列事件实例数量</t>
  </si>
  <si>
    <t>Device.FaultMgmt.SupportedAlarm.{i}.EventType</t>
  </si>
  <si>
    <t>EventType</t>
  </si>
  <si>
    <t>告警类型</t>
  </si>
  <si>
    <t>设备上报告警消息中的告警类型，包括通讯告警、环境告警、设备告警、处理错误告警、服务质量告警等</t>
  </si>
  <si>
    <t>Device.FaultMgmt.SupportedAlarm.{i}.ProbableCause</t>
  </si>
  <si>
    <t>ProbableCause</t>
  </si>
  <si>
    <t>告警原因</t>
  </si>
  <si>
    <t>Device.FaultMgmt.SupportedAlarm.{i}.SpecificProblem</t>
  </si>
  <si>
    <t>SpecificProblem</t>
  </si>
  <si>
    <t>告警描述</t>
  </si>
  <si>
    <t>string(128)</t>
  </si>
  <si>
    <t>Device.FaultMgmt.SupportedAlarm.{i}.PerceivedSeverity</t>
  </si>
  <si>
    <t>PerceivedSeverity</t>
  </si>
  <si>
    <t>支持告警级别</t>
  </si>
  <si>
    <t>设备上报告警消息中的告警级别：Critical,严重；Major,重要；Minor,次要；Warning,警告；</t>
  </si>
  <si>
    <t>Device.FaultMgmt.SupportedAlarm.{i}.ReportingMechanism</t>
  </si>
  <si>
    <t>ReportingMechanism</t>
  </si>
  <si>
    <t>告警上报机制</t>
  </si>
  <si>
    <t>修改网管读写权限</t>
  </si>
  <si>
    <t>Device.FaultMgmt.CurrentAlarm.{i}.AlarmIdentifier</t>
  </si>
  <si>
    <t>AlarmIdentifier</t>
  </si>
  <si>
    <t>该告警的唯一序列号</t>
  </si>
  <si>
    <t>Device.FaultMgmt.CurrentAlarm.{i}.SerialNumber</t>
  </si>
  <si>
    <t>设备序列号</t>
  </si>
  <si>
    <t>Device.FaultMgmt.CurrentAlarm.{i}.OUI</t>
  </si>
  <si>
    <t>OUI</t>
  </si>
  <si>
    <t>设备OUI</t>
  </si>
  <si>
    <t>Device.FaultMgmt.CurrentAlarm.{i}.AlarmRaisedTime</t>
  </si>
  <si>
    <t>AlarmRaisedTime</t>
  </si>
  <si>
    <t>告警发生时间</t>
  </si>
  <si>
    <t>Device.FaultMgmt.CurrentAlarm.{i}.AlarmChangedTime</t>
  </si>
  <si>
    <t>AlarmChangedTime</t>
  </si>
  <si>
    <t>告警改变时间</t>
  </si>
  <si>
    <t>Device.FaultMgmt.CurrentAlarm.{i}.ManagedObjectInstance</t>
  </si>
  <si>
    <t>ManagedObjectInstance</t>
  </si>
  <si>
    <t>管理对象实例</t>
  </si>
  <si>
    <t>定义了承载该对象实例DN时发生的基站告警的信息对象等级的实例</t>
  </si>
  <si>
    <t>Device.FaultMgmt.CurrentAlarm.{i}.EventType</t>
  </si>
  <si>
    <t>Device.FaultMgmt.CurrentAlarm.{i}.ProbableCause</t>
  </si>
  <si>
    <t>Device.FaultMgmt.CurrentAlarm.{i}.SpecificProblem</t>
  </si>
  <si>
    <t>Device.FaultMgmt.CurrentAlarm.{i}.PerceivedSeverity</t>
  </si>
  <si>
    <t>当前告警级别</t>
  </si>
  <si>
    <t>Device.FaultMgmt.CurrentAlarm.{i}.AdditionalText</t>
  </si>
  <si>
    <t>AdditionalText</t>
  </si>
  <si>
    <t>告警附加文本</t>
  </si>
  <si>
    <t>本规范规定内容为厂家告警编码</t>
  </si>
  <si>
    <t>Device.FaultMgmt.CurrentAlarm.{i}.AdditionalInformation</t>
  </si>
  <si>
    <t>AdditionalInformation</t>
  </si>
  <si>
    <t>告警附加信息</t>
  </si>
  <si>
    <t>（格式：英文）统一采用此参数作为告警附加信息，映射到北向的AlarmText字段</t>
  </si>
  <si>
    <t>Device.FaultMgmt.HistoryEvent.{i}.SerialNumber</t>
  </si>
  <si>
    <t>Device.FaultMgmt.HistoryEvent.{i}.OUI</t>
  </si>
  <si>
    <t>Device.FaultMgmt.HistoryEvent.{i}.EventTime</t>
  </si>
  <si>
    <t>EventTime</t>
  </si>
  <si>
    <t>告警发生、改变、清除的时间</t>
  </si>
  <si>
    <t>Device.FaultMgmt.HistoryEvent.{i}.AlarmIdentifier</t>
  </si>
  <si>
    <t>Device.FaultMgmt.HistoryEvent.{i}.NotificationType</t>
  </si>
  <si>
    <t>NotificationType</t>
  </si>
  <si>
    <t>通知类型</t>
  </si>
  <si>
    <t>Device.FaultMgmt.HistoryEvent.{i}.ManagedObjectInstance</t>
  </si>
  <si>
    <t>Device.FaultMgmt.HistoryEvent.{i}.EventType</t>
  </si>
  <si>
    <t>Device.FaultMgmt.HistoryEvent.{i}.ProbableCause</t>
  </si>
  <si>
    <t>Device.FaultMgmt.HistoryEvent.{i}.SpecificProblem</t>
  </si>
  <si>
    <t>Device.FaultMgmt.HistoryEvent.{i}.PerceivedSeverity</t>
  </si>
  <si>
    <t>告警级别</t>
  </si>
  <si>
    <t>Device.FaultMgmt.HistoryEvent.{i}.AdditionalText</t>
  </si>
  <si>
    <t>Device.FaultMgmt.HistoryEvent.{i}.AdditionalInformation</t>
  </si>
  <si>
    <t>格式：英文。统一采用此参数作为告警附加信息，映射到北向的AlarmText字段</t>
  </si>
  <si>
    <t>Device.FaultMgmt.ExpeditedEvent.{i}.SerialNumber</t>
  </si>
  <si>
    <t>Device.FaultMgmt.ExpeditedEvent.{i}.OUI</t>
  </si>
  <si>
    <t>Device.FaultMgmt.ExpeditedEvent.{i}.EventTime</t>
  </si>
  <si>
    <t>Device.FaultMgmt.ExpeditedEvent.{i}.AlarmIdentifier</t>
  </si>
  <si>
    <t>Device.FaultMgmt.ExpeditedEvent.{i}.NotificationType</t>
  </si>
  <si>
    <t>Device.FaultMgmt.ExpeditedEvent.{i}.ManagedObjectInstance</t>
  </si>
  <si>
    <t>Device.FaultMgmt.ExpeditedEvent.{i}.EventType</t>
  </si>
  <si>
    <t>Device.FaultMgmt.ExpeditedEvent.{i}.ProbableCause</t>
  </si>
  <si>
    <t>Device.FaultMgmt.ExpeditedEvent.{i}.SpecificProblem</t>
  </si>
  <si>
    <t>Device.FaultMgmt.ExpeditedEvent.{i}.PerceivedSeverity</t>
  </si>
  <si>
    <t>Device.FaultMgmt.ExpeditedEvent.{i}.AdditionalText</t>
  </si>
  <si>
    <t>Device.FaultMgmt.ExpeditedEvent.{i}.AdditionalInformation</t>
  </si>
  <si>
    <t>Device.FaultMgmt.QueuedEvent.{i}.SerialNumber</t>
  </si>
  <si>
    <t>Device.FaultMgmt.QueuedEvent.{i}.OUI</t>
  </si>
  <si>
    <t>Device.FaultMgmt.QueuedEvent.{i}.EventTime</t>
  </si>
  <si>
    <t>Device.FaultMgmt.QueuedEvent.{i}.AlarmIdentifier</t>
  </si>
  <si>
    <t>Device.FaultMgmt.QueuedEvent.{i}.NotificationType</t>
  </si>
  <si>
    <t>Device.FaultMgmt.QueuedEvent.{i}.ManagedObjectInstance</t>
  </si>
  <si>
    <t>Device.FaultMgmt.QueuedEvent.{i}.EventType</t>
  </si>
  <si>
    <t>Device.FaultMgmt.QueuedEvent.{i}.ProbableCause</t>
  </si>
  <si>
    <t>Device.FaultMgmt.QueuedEvent.{i}.SpecificProblem</t>
  </si>
  <si>
    <t>Device.FaultMgmt.QueuedEvent.{i}.PerceivedSeverity</t>
  </si>
  <si>
    <t>Device.FaultMgmt.QueuedEvent.{i}.AdditionalText</t>
  </si>
  <si>
    <t>Device.FaultMgmt.QueuedEvent.{i}.AdditionalInformation</t>
  </si>
  <si>
    <t>Device.LogMgmt.PeriodicUploadEnable</t>
  </si>
  <si>
    <t>日志周期上传使能开关</t>
  </si>
  <si>
    <t>(0=false,1=true),禁止或启用将设备日志周期性地发送到指定的文件服务器。在使能开关开启的情况下，如果还未达到上报周期，设备日志文件已达到存储容量上限，则应立即将该时段的增量日志上报到网管，并开启一个新的上报周期的要求。</t>
  </si>
  <si>
    <t>Device.LogMgmt.URL</t>
  </si>
  <si>
    <t>日志上传URL</t>
  </si>
  <si>
    <t>指定了目的日志的位置，没有以任何方式指明需要上传的本地文件的名字和位置</t>
  </si>
  <si>
    <t>Device.LogMgmt.Username</t>
  </si>
  <si>
    <t>日志管理用户名</t>
  </si>
  <si>
    <t>用户名用于设备到日志服务器的鉴权，如果不需要鉴权，此字符串为空，当PeriodicUploadEnable=true时，才生效。</t>
  </si>
  <si>
    <t>Device.LogMgmt.Password</t>
  </si>
  <si>
    <t>日志管理密码</t>
  </si>
  <si>
    <t>密码用于设备到日志服务器的鉴权，如果不需要鉴权，此字符串为空
当为读时，该参数返回一个空字符串，而不是一个实际的值，当PeriodicUploadEnable=true时，才生效。</t>
  </si>
  <si>
    <t>Device.LogMgmt.PeriodicUploadInterval</t>
  </si>
  <si>
    <t>PeriodicUploadInterval</t>
  </si>
  <si>
    <t>日志周期上传时间间隔</t>
  </si>
  <si>
    <t>unsignedInt[1:65535]</t>
  </si>
  <si>
    <t>单位：秒，取值包括（300,600,900,1800,3600）</t>
  </si>
  <si>
    <t>Device.LogMgmt.LogLevel</t>
  </si>
  <si>
    <t>LogLevel</t>
  </si>
  <si>
    <t>日志重要等级</t>
  </si>
  <si>
    <t>日志重要等级：
Enumerate{ERROR;WARN;INFO;DEBUG}</t>
  </si>
  <si>
    <t>AMF配置</t>
  </si>
  <si>
    <t>Device.Services.FAPService.{i}.FAPControl.NR.AMFPoolConfigParam.{i}.LocalPort</t>
  </si>
  <si>
    <t>LocalPort</t>
  </si>
  <si>
    <t>本地端口</t>
  </si>
  <si>
    <t>unsignedInt[1000:65535]</t>
  </si>
  <si>
    <t>Device.Services.FAPService.{i}.FAPControl.NR.AMFPoolConfigParam.{i}.AmfPort</t>
  </si>
  <si>
    <t>AmfPort</t>
  </si>
  <si>
    <t>对端端口</t>
  </si>
  <si>
    <t>默认38412</t>
  </si>
  <si>
    <t>Device.Services.FAPService.{i}.FAPControl.NR.AMFPoolConfigParam.{i}.PLMNID</t>
  </si>
  <si>
    <t>PLMN ID</t>
  </si>
  <si>
    <t>主PLMN</t>
  </si>
  <si>
    <t>每个AMF需要指定一个primary plmn id</t>
  </si>
  <si>
    <t>Device.Services.FAPService.{i}.FAPControl.NR.AMFPoolConfigParam.{i}.AmfName</t>
  </si>
  <si>
    <t>AmfName</t>
  </si>
  <si>
    <t>AMF名称</t>
  </si>
  <si>
    <t>string[1:150]</t>
  </si>
  <si>
    <t>Device.Services.FAPService.{i}.FAPControl.NR.AMFPoolConfigParam.{i}.GnbId</t>
  </si>
  <si>
    <t>GnbId</t>
  </si>
  <si>
    <t>基站Id</t>
  </si>
  <si>
    <t>unsignedInt[0:4294967295]</t>
  </si>
  <si>
    <t>Device.Services.FAPService.{i}.FAPControl.NR.AMFPoolConfigParam.{i}.GnbIdLength</t>
  </si>
  <si>
    <t>GnbIdLength</t>
  </si>
  <si>
    <t>基站Id长度</t>
  </si>
  <si>
    <t>unsignedShort[22:32]</t>
  </si>
  <si>
    <t>Device.Services.FAPService.{i}.FAPControl.NR.AMFPoolConfigParam.{i}.AdminState</t>
  </si>
  <si>
    <t>AdminState</t>
  </si>
  <si>
    <t>AMF管理状态（开关SCTP链路）</t>
  </si>
  <si>
    <t>0：关闭
1：开启</t>
  </si>
  <si>
    <t>Device.Services.FAPService.{i}.FAPControl.NR.AMFPoolConfigParam.{i}.State</t>
  </si>
  <si>
    <t>State</t>
  </si>
  <si>
    <t>AMF运行状态</t>
  </si>
  <si>
    <t>Device.Services.FAPService.{i}.FAPControl.NR.AMFPoolConfigParam.{i}.AmfIP1</t>
  </si>
  <si>
    <t>AmfIP1</t>
  </si>
  <si>
    <t>Device.Services.FAPService.{i}.FAPControl.NR.AMFPoolConfigParam.{i}.AmfIP2</t>
  </si>
  <si>
    <t>AmfIP2</t>
  </si>
  <si>
    <t>Device.Services.FAPService.{i}.FAPControl.NR.AMFPoolConfigParam.{i}.GUAMI.{i}.PLMNID</t>
  </si>
  <si>
    <t>PLMNID</t>
  </si>
  <si>
    <t>Device.Services.FAPService.{i}.FAPControl.NR.AMFPoolConfigParam.{i}.GUAMI.{i}.AmfRegionID</t>
  </si>
  <si>
    <t>AmfRegionID</t>
  </si>
  <si>
    <t>AmfGroup标识</t>
  </si>
  <si>
    <t>string: [0:255]</t>
  </si>
  <si>
    <t>Device.Services.FAPService.{i}.FAPControl.NR.AMFPoolConfigParam.{i}.GUAMI.{i}.AmfSetID</t>
  </si>
  <si>
    <t>AmfSetID</t>
  </si>
  <si>
    <t>Amf代码</t>
  </si>
  <si>
    <t>string: [0:1023]</t>
  </si>
  <si>
    <t>Device.Services.FAPService.{i}.FAPControl.NR.AMFPoolConfigParam.{i}.GUAMI.{i}.AmfPointer</t>
  </si>
  <si>
    <t>AmfPointer</t>
  </si>
  <si>
    <t>string: [0:63]</t>
  </si>
  <si>
    <t>Device.Services.FAPService.{i}.FAPControl.NR.AMFPoolConfigParam.{i}.RelativeAmfCapacity</t>
  </si>
  <si>
    <t>RelativeAMFCapacity</t>
  </si>
  <si>
    <t>RelativeAmfCapacity</t>
  </si>
  <si>
    <t>unsignedInt[0:255]</t>
  </si>
  <si>
    <t>Device.Services.FAPService.{i}.FAPControl.NR.AMFPoolConfigParam.{i}.SupportPLMNList.{i}.PLMNID</t>
  </si>
  <si>
    <t>小区PLMNID</t>
  </si>
  <si>
    <t>PLMN信息</t>
  </si>
  <si>
    <t>Device.Services.FAPService.{i}.FAPControl.NR.AMFPoolConfigParam.{i}.SupportPLMNList.{i}.SliceList.{i}.SNSSAI</t>
  </si>
  <si>
    <t>SNSSAI</t>
  </si>
  <si>
    <r>
      <rPr>
        <sz val="9"/>
        <rFont val="宋体"/>
        <charset val="134"/>
      </rPr>
      <t>string(</t>
    </r>
    <r>
      <rPr>
        <sz val="9"/>
        <rFont val="宋体"/>
        <charset val="134"/>
      </rPr>
      <t>8</t>
    </r>
    <r>
      <rPr>
        <sz val="9"/>
        <rFont val="宋体"/>
        <charset val="134"/>
      </rPr>
      <t>)</t>
    </r>
  </si>
  <si>
    <r>
      <rPr>
        <sz val="9"/>
        <rFont val="宋体"/>
        <charset val="134"/>
      </rPr>
      <t>S</t>
    </r>
    <r>
      <rPr>
        <sz val="9"/>
        <rFont val="宋体"/>
        <charset val="134"/>
      </rPr>
      <t>NSSAI</t>
    </r>
    <r>
      <rPr>
        <sz val="9"/>
        <rFont val="宋体"/>
        <charset val="134"/>
      </rPr>
      <t>信息</t>
    </r>
  </si>
  <si>
    <t>邻站管理</t>
  </si>
  <si>
    <t>Device.Services.FAPService.{i}.FAPControl.NR.XnIpAddrMapInfo.{i}.RemoteAddress</t>
  </si>
  <si>
    <t>RemoteAddress</t>
  </si>
  <si>
    <t>IP地址</t>
  </si>
  <si>
    <t>string(0...64)</t>
  </si>
  <si>
    <t>Device.Services.FAPService.{i}.FAPControl.NR.XnIpAddrMapInfo.{i}.RemotePort</t>
  </si>
  <si>
    <t>RemotePort</t>
  </si>
  <si>
    <t>Device.Services.FAPService.{i}.FAPControl.NR.XnIpAddrMapInfo.{i}.GnbId</t>
  </si>
  <si>
    <t>基站ID</t>
  </si>
  <si>
    <t>Device.Services.FAPService.{i}.FAPControl.NR.XnIpAddrMapInfo.{i}.AdminState</t>
  </si>
  <si>
    <t>邻站管理状态</t>
  </si>
  <si>
    <t>Device.Services.FAPService.{i}.FAPControl.NR.XnIpAddrMapInfo.{i}.State</t>
  </si>
  <si>
    <t>邻站运行状态</t>
  </si>
  <si>
    <t>Device.Services.FAPService.{i}.FAPControl.NR.XnIpAddrMapInfo.{i}.TAISupportList.{i}.TAC</t>
  </si>
  <si>
    <t>TAC</t>
  </si>
  <si>
    <t>跟踪区代码</t>
  </si>
  <si>
    <t>unsignedInt[0:16777215]</t>
  </si>
  <si>
    <t>Device.Services.FAPService.{i}.FAPControl.NR.XnIpAddrMapInfo.{i}.TAISupportList.{i}.BroadcastPLMNs.{i}.PLMNID</t>
  </si>
  <si>
    <t>PLMN</t>
  </si>
  <si>
    <t>Device.Services.FAPService.{i}.FAPControl.NR.XnIpAddrMapInfo.{i}.LocGnbIdLength</t>
  </si>
  <si>
    <t>LocGnbIdLength</t>
  </si>
  <si>
    <t>本端GnbIdlength</t>
  </si>
  <si>
    <t>unsignedInt[22,32]</t>
  </si>
  <si>
    <t>Device.Services.FAPService.{i}.FAPControl.NR.XnIpAddrMapInfo.{i}.LocGnbId</t>
  </si>
  <si>
    <t>LocGnbId</t>
  </si>
  <si>
    <t>本地GnbId</t>
  </si>
  <si>
    <t>Device.Services.FAPService.{i}.FAPControl.NR.XnIpAddrMapInfo.{i}.SubnetMask</t>
  </si>
  <si>
    <t>SubnetMask</t>
  </si>
  <si>
    <t>子网掩码</t>
  </si>
  <si>
    <t>Device.Services.FAPService.{i}.FAPControl.NR.XnIpAddrMapInfo.{i}.LocalAddress</t>
  </si>
  <si>
    <t>LocalAddress</t>
  </si>
  <si>
    <t>本地Ip</t>
  </si>
  <si>
    <t>Device.Services.FAPService.{i}.FAPControl.NR.XnIpAddrMapInfo.{i}.GnbIdLength</t>
  </si>
  <si>
    <t>对端基站ID长度</t>
  </si>
  <si>
    <t>unsignedInt[22:32]</t>
  </si>
  <si>
    <t>Device.Services.FAPService.{i}.FAPControl.NR.Xn.LocalServerIp</t>
  </si>
  <si>
    <t>LocalServerIp</t>
  </si>
  <si>
    <t>Xn 服务端本地IP</t>
  </si>
  <si>
    <t>Device.Services.FAPService.{i}.FAPControl.NR.Xn.LocalPort</t>
  </si>
  <si>
    <t>Device.Services.FAPService.{i}.FAPControl.NR.X2IpAddrMapInfo.{i}.IPV4Address</t>
  </si>
  <si>
    <t>IPV4Address</t>
  </si>
  <si>
    <t>Device.Services.FAPService.{i}.FAPControl.NR.X2IpAddrMapInfo.{i}.RemotePort</t>
  </si>
  <si>
    <t>Device.Services.FAPService.{i}.FAPControl.NR.X2IpAddrMapInfo.{i}.EnbId</t>
  </si>
  <si>
    <t>EnbId</t>
  </si>
  <si>
    <t>Device.Services.FAPService.{i}.FAPControl.NR.X2IpAddrMapInfo.{i}.EnbType</t>
  </si>
  <si>
    <t>EnbType</t>
  </si>
  <si>
    <t>Enb站型</t>
  </si>
  <si>
    <t>enumeration</t>
  </si>
  <si>
    <t>{Macro,Home}</t>
  </si>
  <si>
    <t>Device.Services.FAPService.{i}.FAPControl.NR.X2IpAddrMapInfo.{i}.AdminState</t>
  </si>
  <si>
    <t>Device.Services.FAPService.{i}.FAPControl.NR.X2IpAddrMapInfo.{i}.State</t>
  </si>
  <si>
    <t>Device.Services.FAPService.{i}.FAPControl.NR.X2IpAddrMapInfo.{i}.TAC</t>
  </si>
  <si>
    <t>Device.Services.FAPService.{i}.FAPControl.NR.X2IpAddrMapInfo.{i}.PLMNID</t>
  </si>
  <si>
    <t>Device.Services.FAPService.{i}.FAPControl.NR.X2IpAddrMapInfo.{i}.LocGnbId</t>
  </si>
  <si>
    <t>Device.Services.FAPService.{i}.FAPControl.NR.X2IpAddrMapInfo.{i}.LocGnbIdLength</t>
  </si>
  <si>
    <t>基站标识参数</t>
  </si>
  <si>
    <t>Device.Services.FAPService.{i}.FAPControl.NR.RAN.Common.gNBId</t>
  </si>
  <si>
    <t>gNBId</t>
  </si>
  <si>
    <t>小区gNBiD</t>
  </si>
  <si>
    <t>Device.Services.FAPService.{i}.FAPControl.NR.RAN.Common.gNBName</t>
  </si>
  <si>
    <t>gNBName</t>
  </si>
  <si>
    <t>基站名称</t>
  </si>
  <si>
    <t>string(150)</t>
  </si>
  <si>
    <t>gNB名称</t>
  </si>
  <si>
    <t>Device.Services.FAPService.{i}.FAPControl.NR.RAN.Common.gNBIdLength</t>
  </si>
  <si>
    <t>gNBIdLength</t>
  </si>
  <si>
    <t>基站ID长度</t>
  </si>
  <si>
    <t>gnbId长度</t>
  </si>
  <si>
    <t>Device.Services.FAPService.{i}.FAPControl.NR.RAN.Common.AdminState</t>
  </si>
  <si>
    <t>基站的管理状态</t>
  </si>
  <si>
    <t>管理的状态，取值范围为{Locked，Unlocked，ShuttingDown}，依据x.731的状态转换来上报。</t>
  </si>
  <si>
    <t>NNSF参数管理</t>
  </si>
  <si>
    <t>Device.Services.FAPService.{i}.Capabilities.NR.NNSFSupported</t>
  </si>
  <si>
    <t>NNSFSupported</t>
  </si>
  <si>
    <t>负载均衡参数</t>
  </si>
  <si>
    <t>Device.Services.FAPService.{i}.FAPControl.NR.SelfConfig.SONConfigParam.SONSysMode</t>
  </si>
  <si>
    <t>SONSysMode</t>
  </si>
  <si>
    <t>SON系统模式</t>
  </si>
  <si>
    <t>SON系统模式（分布式，集中式）,{Distributed，Centralized}</t>
  </si>
  <si>
    <t>Device.Services.FAPService.{i}.FAPControl.NR.SelfConfig.SONConfigParam.SONWorkMode</t>
  </si>
  <si>
    <t>SONWorkMode</t>
  </si>
  <si>
    <t>SON模式设置</t>
  </si>
  <si>
    <t>自优化模式（自由模式，受控模式）,{Free，Control}，自由模式下系统给出的参数优化建议无需人工确认，可直接执行；受控模式下系统给出的参数优化建议需要人工确认同意才可执行，否则（不同意或超时）不执行优化，保持原参数配置不变。</t>
  </si>
  <si>
    <t>Device.Services.FAPService.{i}.FAPControl.NR.SelfConfig.SONConfigParam.PCI.Enable</t>
  </si>
  <si>
    <t>Enable</t>
  </si>
  <si>
    <t>PCI冲突和混淆检测功能开关</t>
  </si>
  <si>
    <t>PCI冲突和混淆检测功能开关,(0=false,1=true)</t>
  </si>
  <si>
    <t>Device.Services.FAPService.{i}.FAPControl.NR.SelfConfig.SONConfigParam.PCIOptEnable</t>
  </si>
  <si>
    <t>PCIOptEnable</t>
  </si>
  <si>
    <t>PCI自优化算法开关</t>
  </si>
  <si>
    <t>PCI自优化算法开关,(0=false,1=true)</t>
  </si>
  <si>
    <t>Device.Services.FAPService.{i}.FAPControl.NR.SelfConfig.SONConfigParam.PCIReconfigWaitTime</t>
  </si>
  <si>
    <t>PCIReconfigWaitTime</t>
  </si>
  <si>
    <t>PCI重配等待定时器</t>
  </si>
  <si>
    <t>表征PCI重配置等待时间，在PCI自优化阶段，该计时器超时后使用新的PCI</t>
  </si>
  <si>
    <t>Device.Services.FAPService.{i}.FAPControl.NR.SelfConfig.SONConfigParam.CandidateARFCNList</t>
  </si>
  <si>
    <t>CandidateARFCNList</t>
  </si>
  <si>
    <t>候选频点列表</t>
  </si>
  <si>
    <t>Device.Services.FAPService.{i}.FAPControl.NR.SelfConfig.SONConfigParam.CandidatePCIList</t>
  </si>
  <si>
    <t>CandidatePCIList</t>
  </si>
  <si>
    <t>候选PCI列表</t>
  </si>
  <si>
    <t>Device.Services.FAPService.{i}.FAPControl.NR.SelfConfig.SONConfigParam.ANR.Enable</t>
  </si>
  <si>
    <t>ANR算法总开关</t>
  </si>
  <si>
    <t>(0=false,1=true)，ANR算法总开关</t>
  </si>
  <si>
    <t>Device.Services.FAPService.{i}.FAPControl.NR.SelfConfig.SONConfigParam.ANR.InterFeqEnable</t>
  </si>
  <si>
    <t>InterFeqEnable</t>
  </si>
  <si>
    <t>NR异频ANR算法开关</t>
  </si>
  <si>
    <t>(0=false,1=true)，NR异频ANR算法开关</t>
  </si>
  <si>
    <t>Device.Services.FAPService.{i}.FAPControl.NR.SelfConfig.SONConfigParam.ANR.InterFeqCandidateARFCNList</t>
  </si>
  <si>
    <t>InterFeqCandidateARFCNList</t>
  </si>
  <si>
    <t>SSB频点号</t>
  </si>
  <si>
    <t>小区载频的SSB ARFCN列表，ARFCN间以“,”分割</t>
  </si>
  <si>
    <t>Device.Services.FAPService.{i}.FAPControl.NR.SelfConfig.SONConfigParam.ANR.EUTRANEnable</t>
  </si>
  <si>
    <t>EUTRANEnable</t>
  </si>
  <si>
    <t>E-UTRAN异系统ANR算法开关</t>
  </si>
  <si>
    <t>(0=false,1=true)，E-UTRAN异系统ANR算法开关</t>
  </si>
  <si>
    <t>Device.Services.FAPService.{i}.FAPControl.NR.SelfConfig.SONConfigParam.ANR.BiNRCellEnable</t>
  </si>
  <si>
    <t>BiNRCellEnable</t>
  </si>
  <si>
    <t>ANR双向邻区添加开关</t>
  </si>
  <si>
    <t>(0=false,2=true)，ANR双向邻区添加开关</t>
  </si>
  <si>
    <t>Device.Services.FAPService.{i}.FAPControl.NR.SelfConfig.SONConfigParam.ANR.RSRPReferenceEnable</t>
  </si>
  <si>
    <t>RSRPReferenceEnable</t>
  </si>
  <si>
    <t>事件性MR添加邻区依照绝对电平开关</t>
  </si>
  <si>
    <t>(0=false,1=true)，该开关打开后，添加邻区需同时考虑绝对电平和相对电平</t>
  </si>
  <si>
    <t>Device.Services.FAPService.{i}.FAPControl.NR.SelfConfig.SONConfigParam.ANR.A3RSRPOffset</t>
  </si>
  <si>
    <t>A3RSRPOffset</t>
  </si>
  <si>
    <t>邻区添加相对电平强度</t>
  </si>
  <si>
    <t>unsignedInt[0:127]</t>
  </si>
  <si>
    <t>用于NR测量中,邻区添加相对电平强度，与A3 RSRP的偏移量</t>
  </si>
  <si>
    <t>Device.Services.FAPService.{i}.FAPControl.NR.SelfConfig.SONConfigParam.ANR.RSRPThreshold</t>
  </si>
  <si>
    <t>RSRPThreshold</t>
  </si>
  <si>
    <t>邻区添加绝对电平强度</t>
  </si>
  <si>
    <t>用于NR测量中,邻区添加绝对电平强度，测量的RSRP</t>
  </si>
  <si>
    <t>Device.Services.FAPService.{i}.FAPControl.NR.SelfConfig.SONConfigParam.ANR.KPIPeriod</t>
  </si>
  <si>
    <t>KPIPeriod</t>
  </si>
  <si>
    <t>邻区优化KPI统计周期</t>
  </si>
  <si>
    <t>包括邻区邻区添加、删除、属性调整相关的KPI，例如发现次数，切换次数，切换成功率等KPI的统计周期
以分钟为单位，支持按天、小时、分钟为粒度进行设置</t>
  </si>
  <si>
    <t>Device.Services.FAPService.{i}.FAPControl.NR.SelfConfig.SONConfigParam.ANR.AutoAdjustEnable</t>
  </si>
  <si>
    <t>AutoAdjustEnable</t>
  </si>
  <si>
    <t>邻区属性自动调整的使能开关</t>
  </si>
  <si>
    <t>(0=false,1=true)，开启该开关后，邻区属性自动调整机制生效</t>
  </si>
  <si>
    <t>Device.Services.FAPService.{i}.FAPControl.NR.SelfConfig.SONConfigParam.ANR.BlackList.NoHOThreshold</t>
  </si>
  <si>
    <t>NoHOThreshold</t>
  </si>
  <si>
    <t>邻区被设为黑名单的切换次数门限</t>
  </si>
  <si>
    <t>若在统计周期内切换次数高于此门限且成功率低于此门限，则系统自动将邻区设置为“No HO”</t>
  </si>
  <si>
    <t>Device.Services.FAPService.{i}.FAPControl.NR.SelfConfig.SONConfigParam.ANR.BlackList.HOSuccessThreshold</t>
  </si>
  <si>
    <t>HOSuccessThreshold</t>
  </si>
  <si>
    <t>邻区被设为黑名单的切换成功率门限</t>
  </si>
  <si>
    <t>unsignedInt[0:100]</t>
  </si>
  <si>
    <t>若在统计周期内切换次数高于此门限且成功率低于此门限，则系统自动将邻区设置为“No HO”，指切换成功率百分比，例如：填写为“50”指50%的切换成功率</t>
  </si>
  <si>
    <t>Device.Services.FAPService.{i}.FAPControl.NR.SelfConfig.SONConfigParam.ANR.AutoRemoveEnable</t>
  </si>
  <si>
    <t>AutoRemoveEnable</t>
  </si>
  <si>
    <t>邻区自动删除的使能开关</t>
  </si>
  <si>
    <t>(0=false,1=true)，开启该开关后，邻区自动删除机制生效</t>
  </si>
  <si>
    <t>Device.Services.FAPService.{i}.FAPControl.NR.SelfConfig.SONConfigParam.ANR.AutoRemovePeriod</t>
  </si>
  <si>
    <t>AutoRemovePeriod</t>
  </si>
  <si>
    <t>邻区自动删除功能触发周期</t>
  </si>
  <si>
    <t>以分钟为单位，支持按天、小时、分钟为粒度进行设置</t>
  </si>
  <si>
    <t>Device.Services.FAPService.{i}.FAPControl.NR.SelfConfig.SONConfigParam.ANR.AutoRemoveMaxCell</t>
  </si>
  <si>
    <t>AutoRemoveMaxCell</t>
  </si>
  <si>
    <t>邻区自动删除功能单周期内可删除最大个数</t>
  </si>
  <si>
    <t>支持单周期内可删除最大个数可配置</t>
  </si>
  <si>
    <t>Device.Services.FAPService.{i}.FAPControl.NR.SelfConfig.SONConfigParam.ARFCNEnable</t>
  </si>
  <si>
    <t>ARFCNEnable</t>
  </si>
  <si>
    <t>频点自配置算法开关</t>
  </si>
  <si>
    <t>(0=false,1=true)，频点自配置算法开关</t>
  </si>
  <si>
    <t>Device.Services.FAPService.{i}.FAPControl.NR.SelfConfig.SONConfigParam.MaxNRNeighbourCellNum</t>
  </si>
  <si>
    <t>MaxNRNeighbourCellNum</t>
  </si>
  <si>
    <t>最大NR邻区数</t>
  </si>
  <si>
    <t>Device.Services.FAPService.{i}.FAPControl.NR.SelfConfig.SONConfigParam.MaxLTENeighbourCellNum</t>
  </si>
  <si>
    <t>MaxLTENeighbourCellNum</t>
  </si>
  <si>
    <t>最大LTE邻区数</t>
  </si>
  <si>
    <t>Device.Services.FAPService.{i}.FAPControl.NR.SelfConfig.SONConfigParam.ReSynCellEnable</t>
  </si>
  <si>
    <t>ReSynCellEnable</t>
  </si>
  <si>
    <t>重新同步小区使能开关</t>
  </si>
  <si>
    <t>(0=false,1=true),手动触发重新同步小区使能开关，取值为true时立即执行小区重新同步流程</t>
  </si>
  <si>
    <t>Device.Services.FAPService.{i}.FAPControl.NR.SelfConfig.SONConfigParam.PowerEnable</t>
  </si>
  <si>
    <t>PowerEnable</t>
  </si>
  <si>
    <t>功率自配置算法开关</t>
  </si>
  <si>
    <t>(0=false,1=true),基站发射功率自配值算法开关</t>
  </si>
  <si>
    <t>Device.Services.FAPService.{i}.FAPControl.NR.SelfConfig.SONConfigParam.NRSnifferFreqBandList</t>
  </si>
  <si>
    <t>NRSnifferFreqBandList</t>
  </si>
  <si>
    <t>NR侦听频段列表</t>
  </si>
  <si>
    <t>NR侦听频段列表（NRSnifferFreqBandList和NRSnifferChannelList二选一）</t>
  </si>
  <si>
    <t>Device.Services.FAPService.{i}.FAPControl.NR.SelfConfig.SONConfigParam.NRSnifferChannelList</t>
  </si>
  <si>
    <t>NRSnifferChannelList</t>
  </si>
  <si>
    <t>NR侦听频点列表</t>
  </si>
  <si>
    <t>NR侦听频点列表（ARFCN格式列表）（NRSnifferFreqBandList和NRSnifferChannelList二选一）</t>
  </si>
  <si>
    <t>Device.Services.FAPService.{i}.FAPControl.NR.SelfConfig.SONConfigParam.LTESnifferFreqBandList</t>
  </si>
  <si>
    <t>LTESnifferFreqBandList</t>
  </si>
  <si>
    <t>LTE侦听频段列表</t>
  </si>
  <si>
    <t>LTE侦听频段列表(188000..192000,257000..262000,230000..237000)频段随机组合（LTESnifferFreqBandList和LTESnifferChannelList二选一）</t>
  </si>
  <si>
    <t>Device.Services.FAPService.{i}.FAPControl.NR.SelfConfig.SONConfigParam.LTESnifferChannelList</t>
  </si>
  <si>
    <t>LTESnifferChannelList</t>
  </si>
  <si>
    <t>LTE侦听频点列表</t>
  </si>
  <si>
    <t>LTE侦听频点列表（ARFCN格式列表）（LTESnifferFreqBandList和LTESnifferChannelList二选一）</t>
  </si>
  <si>
    <t>Device.Services.FAPService.{i}.FAPControl.NR.SelfConfig.SONConfigParam.MROEnable</t>
  </si>
  <si>
    <t>MROEnable</t>
  </si>
  <si>
    <t>邻区鲁棒性优化功能开关</t>
  </si>
  <si>
    <t>Device.Services.FAPService.{i}.FAPControl.NR.SelfConfig.SONConfigParam.SHEnable</t>
  </si>
  <si>
    <t>SHEnable</t>
  </si>
  <si>
    <t>自治愈功能开关</t>
  </si>
  <si>
    <t>Device.Services.FAPService.{i}.FAPControl.NR.SelfConfig.SONConfigParam.SyncMode</t>
  </si>
  <si>
    <t>SyncMode</t>
  </si>
  <si>
    <t>时钟同步模式</t>
  </si>
  <si>
    <t>时钟同步模式，取值范围：
GNSS
IEEE1588V2
Sniffer
Freedom</t>
  </si>
  <si>
    <t>自动开站阶段</t>
  </si>
  <si>
    <t>Device.Services.FAPService.{i}.FAPControl.SelfConfig.Startup.Stage</t>
  </si>
  <si>
    <t>开站阶段</t>
  </si>
  <si>
    <t>开站阶段取值如下：
1:参数校验
2:参数配置
3:小区激活</t>
  </si>
  <si>
    <t>自动开站结果</t>
  </si>
  <si>
    <t>Device.Services.FAPService.{i}.FAPControl.SelfConfig.Startup.Status</t>
  </si>
  <si>
    <t>开站状态</t>
  </si>
  <si>
    <t>unsignedInt[1:2]</t>
  </si>
  <si>
    <t>1：开站成功（全部小区被激活，即标记为开站成功）
2：开站失败（存在一个小区未激活，即标记为开站失败）</t>
  </si>
  <si>
    <t>Device.Services.FAPService.{i}.FAPControl.SelfConfig.Startup.FailureCause</t>
  </si>
  <si>
    <t>开站失败原因</t>
  </si>
  <si>
    <t>开站失败原因描述</t>
  </si>
  <si>
    <t>接入UE数量管理</t>
  </si>
  <si>
    <t>Device.Services.FAPService.{i}.CellConfig.{i}.NR.Capabilities.UeInactiveTimer</t>
  </si>
  <si>
    <t>UeInactiveTimer</t>
  </si>
  <si>
    <t>连接态UE不活动定时器</t>
  </si>
  <si>
    <t>Device.Services.FAPService.{i}.CellConfig.{i}.NR.Capabilities.InactiveSwitch</t>
  </si>
  <si>
    <t>InactiveSwitch</t>
  </si>
  <si>
    <t>ue非激活态开关</t>
  </si>
  <si>
    <t>0:非激活超时后进入空闲态
1:非激活超时后进入非激活态</t>
  </si>
  <si>
    <t>Device.Services.FAPService.{i}.CellConfig.{i}.NR.Capabilities.MaxUEsServed</t>
  </si>
  <si>
    <t>SupportRRCNumbers</t>
  </si>
  <si>
    <t>同时支持RRC连接最大用户数</t>
  </si>
  <si>
    <t>Device.Services.FAPService.{i}.CellConfig.{i}.NR.Capabilities.UserNumberThreshold1</t>
  </si>
  <si>
    <t>UserNumberThreshold1</t>
  </si>
  <si>
    <t>CAC用户数门限1百分比</t>
  </si>
  <si>
    <t>Device.Services.FAPService.{i}.CellConfig.{i}.NR.Capabilities.UserNumberThreshold2</t>
  </si>
  <si>
    <t>UserNumberThreshold2</t>
  </si>
  <si>
    <t>CAC用户数门限2百分比</t>
  </si>
  <si>
    <t>Device.Services.FAPService.{i}.CellConfig.{i}.NR.Capabilities.UserNumberThreshold3</t>
  </si>
  <si>
    <t>UserNumberThreshold3</t>
  </si>
  <si>
    <t>CAC用户数门限3百分比</t>
  </si>
  <si>
    <t>Device.Services.FAPService.{i}.CellConfig.{i}.NR.Capabilities.UserNumberReservedForHo</t>
  </si>
  <si>
    <t>UserNumberReservedForHo</t>
  </si>
  <si>
    <t>CAC切换预留用户数百分比</t>
  </si>
  <si>
    <t>Device.Services.FAPService.{i}.CellConfig.{i}.NR.Capabilities.GbrThresholdSwitch</t>
  </si>
  <si>
    <t>GbrThresholdSwitch</t>
  </si>
  <si>
    <t>基于Gbr门限接纳控制开关</t>
  </si>
  <si>
    <t>基于GBR门限接纳控制开关</t>
  </si>
  <si>
    <t>Device.Services.FAPService.{i}.CellConfig.{i}.NR.Capabilities.GbrUlThreshold</t>
  </si>
  <si>
    <t>GbrUlThreshold</t>
  </si>
  <si>
    <t>Gbr上行门限</t>
  </si>
  <si>
    <t>unsignedLong[0..4,000,000,000,000]</t>
  </si>
  <si>
    <t>Device.Services.FAPService.{i}.CellConfig.{i}.NR.Capabilities.GbrDlThreshold</t>
  </si>
  <si>
    <t>GbrDlThreshold</t>
  </si>
  <si>
    <t>Gbr下行门限</t>
  </si>
  <si>
    <t>Device.Services.FAPService.{i}.CellConfig.{i}.NR.Capabilities.SupportActiveRRCNumbers</t>
  </si>
  <si>
    <t>SupportActiveRRCNumbers</t>
  </si>
  <si>
    <t>同时支持RRC激活最大用户数</t>
  </si>
  <si>
    <t xml:space="preserve">unsignedInt[0:65535]  </t>
  </si>
  <si>
    <t>小区参数管理</t>
  </si>
  <si>
    <t>Device.Services.FAPService.{i}.CellConfig.{i}.NR.RAN.RF.NRARFCNDL</t>
  </si>
  <si>
    <t>NRARFCNDL</t>
  </si>
  <si>
    <t>下行NRARFCN</t>
  </si>
  <si>
    <t>unsignedInt[0:3279165]</t>
  </si>
  <si>
    <t>下行EARFCN</t>
  </si>
  <si>
    <t>Device.Services.FAPService.{i}.CellConfig.{i}.NR.RAN.RF.PhyCellID</t>
  </si>
  <si>
    <t>PhyCellID</t>
  </si>
  <si>
    <t>PCI</t>
  </si>
  <si>
    <t>unsignedInt[0:1007]</t>
  </si>
  <si>
    <t>Device.Services.FAPService.{i}.CellConfig.{i}.NR.RAN.RF.DLBandwidth</t>
  </si>
  <si>
    <t>DLBandwidth</t>
  </si>
  <si>
    <t>下行带宽</t>
  </si>
  <si>
    <t>下行带宽,约束：{5，10，15，20，25，30，40，50，60，80，90，100，200，400}</t>
  </si>
  <si>
    <t>Device.Services.FAPService.{i}.CellConfig.{i}.NR.RAN.RF.ULBandwidth</t>
  </si>
  <si>
    <t>ULBandwidth</t>
  </si>
  <si>
    <t>上行带宽</t>
  </si>
  <si>
    <t>上行带宽，约束{5，10，15，20，25，30，40，50，60，80，90，100，200，400}</t>
  </si>
  <si>
    <t>Device.Services.FAPService.{i}.CellConfig.{i}.NR.RAN.RF.NRARFCNUL</t>
  </si>
  <si>
    <t>NRARFCNUL</t>
  </si>
  <si>
    <t>上行NRARFCN</t>
  </si>
  <si>
    <t>上行或双向E-UTRA载频</t>
  </si>
  <si>
    <t>Device.Services.FAPService.{i}.CellConfig.{i}.NR.RAN.RF.FreqBandIndicator</t>
  </si>
  <si>
    <t>FreqBandIndicator</t>
  </si>
  <si>
    <t>频带指示</t>
  </si>
  <si>
    <t>unsignedInt[1:1024]</t>
  </si>
  <si>
    <t>Device.Services.FAPService.{i}.CellConfig.{i}.NR.RAN.RF.SsbFrequency</t>
  </si>
  <si>
    <t>ssbFrequency</t>
  </si>
  <si>
    <t>小区载频的SSB ARFCN</t>
  </si>
  <si>
    <t>Device.Services.FAPService.{i}.CellConfig.{i}.NR.RAN.RF.SsPBCHBlockPower</t>
  </si>
  <si>
    <t>SsPBCHBlockPower</t>
  </si>
  <si>
    <t>SSB Block功率值</t>
  </si>
  <si>
    <t>int[-60:50]</t>
  </si>
  <si>
    <t>Device.Services.FAPService.{i}.CellConfig.{i}.NR.RAN.Common.CellType</t>
  </si>
  <si>
    <t>CellType</t>
  </si>
  <si>
    <t>小区类型</t>
  </si>
  <si>
    <t>string {SUB1G,SUB6G,ABOVE6G}</t>
  </si>
  <si>
    <t>Device.Services.FAPService.{i}.CellConfig.{i}.NR.RAN.Common.CellIdWithinGnb</t>
  </si>
  <si>
    <t>CellIdWithinGnb</t>
  </si>
  <si>
    <t>站内小区Id</t>
  </si>
  <si>
    <t>unsignedShort[0:16383]</t>
  </si>
  <si>
    <t>Gnb内唯一标识</t>
  </si>
  <si>
    <r>
      <rPr>
        <sz val="9"/>
        <rFont val="宋体"/>
        <charset val="134"/>
      </rPr>
      <t>Device.Services.FAPService.{i}.CellConfig.{i}.NR.</t>
    </r>
    <r>
      <rPr>
        <sz val="9"/>
        <color rgb="FFFF0000"/>
        <rFont val="宋体"/>
        <charset val="134"/>
      </rPr>
      <t>CN</t>
    </r>
    <r>
      <rPr>
        <sz val="9"/>
        <rFont val="宋体"/>
        <charset val="134"/>
      </rPr>
      <t>.EnableSliceAccessControl</t>
    </r>
  </si>
  <si>
    <t>EnableSliceAccessControl</t>
  </si>
  <si>
    <t>基于切片接纳控制开关</t>
  </si>
  <si>
    <t>小区闭塞</t>
  </si>
  <si>
    <t>Device.Services.FAPService.{i}.CellConfig.{i}.NR.RAN.CellRestriction.CellBarred</t>
  </si>
  <si>
    <t>CellBarred</t>
  </si>
  <si>
    <t>{barred, notBarred}</t>
  </si>
  <si>
    <t>小区激活/去激活</t>
  </si>
  <si>
    <t>Device.Services.FAPService.{i}.CellConfig.{i}.NR.RAN.CellEnable.AdminState</t>
  </si>
  <si>
    <t>小区管理状态</t>
  </si>
  <si>
    <t>小区状态参数</t>
  </si>
  <si>
    <t>Device.Services.FAPService.{i}.CellConfig.{i}.NR.RAN.OpState</t>
  </si>
  <si>
    <t>OpState</t>
  </si>
  <si>
    <t>小区运行状态</t>
  </si>
  <si>
    <t>0:禁止
1:启动</t>
  </si>
  <si>
    <t>广播参数管理</t>
  </si>
  <si>
    <t>Device.Services.FAPService.{i}.CellConfig.{i}.NR.RAN.SysInfoCtrlParam.MultiBandInfoListSIB1</t>
  </si>
  <si>
    <t>MultiBandInfoListSIB1</t>
  </si>
  <si>
    <t>SIB1中多频段指示参数</t>
  </si>
  <si>
    <t>Device.Services.FAPService.{i}.CellConfig.{i}.NR.RAN.SysInfoCtrlParam.IdleModeRATMobile.{i}.MultiBandInfoListSIB5</t>
  </si>
  <si>
    <t>MultiBandInfoListSIB5</t>
  </si>
  <si>
    <t>SIB5中多频段指示参数</t>
  </si>
  <si>
    <t>unsignedInt[1:64]</t>
  </si>
  <si>
    <t>安全算法</t>
  </si>
  <si>
    <t>Device.Services.FAPService.{i}.CellConfig.{i}.NR.RAN.Common.Security.Integrity.{i}.Priority</t>
  </si>
  <si>
    <t>IntPrority</t>
  </si>
  <si>
    <t>完保算法优先级</t>
  </si>
  <si>
    <t>unsignedInt[0:3]</t>
  </si>
  <si>
    <t>Device.Services.FAPService.{i}.CellConfig.{i}.NR.RAN.Common.Security.Integrity.{i}.Algorithm</t>
  </si>
  <si>
    <t>IntAlgorithm</t>
  </si>
  <si>
    <t>完保算法</t>
  </si>
  <si>
    <t>{NIA0;128-NIA1;128-NIA2;128-NIA3}</t>
  </si>
  <si>
    <t>Device.Services.FAPService.{i}.CellConfig.{i}.NR.RAN.Common.Security.Cipher.{i}.Priority</t>
  </si>
  <si>
    <t>CipherPrority</t>
  </si>
  <si>
    <t>加密算法优先级</t>
  </si>
  <si>
    <t>Device.Services.FAPService.{i}.CellConfig.{i}.NR.RAN.Common.Security.Cipher.{i}.Algorithm</t>
  </si>
  <si>
    <t>CipherAlgorithm</t>
  </si>
  <si>
    <t>加密算法</t>
  </si>
  <si>
    <t>{NEA0;128-NEA1;128-NEA2;128-NEA3}</t>
  </si>
  <si>
    <t>VoNR参数</t>
  </si>
  <si>
    <t>Device.Services.FAPService.{i}.CellConfig.{i}.NR.VoNR.VoNRList.{i}.PLMNID</t>
  </si>
  <si>
    <t>Device.Services.FAPService.{i}.CellConfig.{i}.NR.VoNR.VoNRList.{i}.VoSupport</t>
  </si>
  <si>
    <t>VoSupport</t>
  </si>
  <si>
    <t>支持vonr方式</t>
  </si>
  <si>
    <r>
      <rPr>
        <sz val="9"/>
        <rFont val="宋体"/>
        <charset val="134"/>
      </rPr>
      <t>R</t>
    </r>
    <r>
      <rPr>
        <sz val="9"/>
        <rFont val="宋体"/>
        <charset val="134"/>
      </rPr>
      <t>W</t>
    </r>
  </si>
  <si>
    <t>string {vonr; fallback; auto}</t>
  </si>
  <si>
    <t>{vonr; fallback; auto}</t>
  </si>
  <si>
    <t>Device.Services.FAPService.{i}.CellConfig.{i}.NR.VoNR.VoNRList.{i}.Vo5qi</t>
  </si>
  <si>
    <t>Vo5qi</t>
  </si>
  <si>
    <t>vonr的专用承载</t>
  </si>
  <si>
    <t>unsignedInt[1…63]</t>
  </si>
  <si>
    <t>[1:63]</t>
  </si>
  <si>
    <t>Device.Services.FAPService.{i}.CellConfig.{i}.NR.VoNR.PdcpInitParam.{i}.RohcEn</t>
  </si>
  <si>
    <t>RohcEn</t>
  </si>
  <si>
    <t>分QCI头压缩功能开关</t>
  </si>
  <si>
    <t>（ON，OFF, NA）,{i}取值范围[1,…,9]</t>
  </si>
  <si>
    <t>Device.Services.FAPService.{i}.CellConfig.{i}.NR.VoNR.VoNRSwitch</t>
  </si>
  <si>
    <t>VoNRSwitch</t>
  </si>
  <si>
    <t>VoNR开关</t>
  </si>
  <si>
    <t>VoNR开关，0：不开启，1：开启</t>
  </si>
  <si>
    <t>Device.Services.FAPService.{i}.CellConfig.{i}.NR.VoNR.SPSSwitchQCI1Ul</t>
  </si>
  <si>
    <t>SPSSwitchQCI1Ul</t>
  </si>
  <si>
    <t>QCI1上行SPS功能开关</t>
  </si>
  <si>
    <t>（ON，OFF, NA）</t>
  </si>
  <si>
    <t>Device.Services.FAPService.{i}.CellConfig.{i}.NR.Capabilities.LoadBalanceConfig.LoadBalanceSwitch</t>
  </si>
  <si>
    <t>LoadBalanceSwitch</t>
  </si>
  <si>
    <t>负载均衡开关</t>
  </si>
  <si>
    <t>Device.Services.FAPService.{i}.CellConfig.{i}.NR.Capabilities.LoadBalanceConfig.TimeToTrigger</t>
  </si>
  <si>
    <t>TimeToTrigger</t>
  </si>
  <si>
    <t>触发时间</t>
  </si>
  <si>
    <t>unsignedInt[1:60]</t>
  </si>
  <si>
    <t>触发负载均衡的时间</t>
  </si>
  <si>
    <t>Device.Services.FAPService.{i}.CellConfig.{i}.NR.Capabilities.LoadBalanceConfig.DlPrbUsage</t>
  </si>
  <si>
    <t>DlPrbUsage</t>
  </si>
  <si>
    <t>负载均衡下行PRB门限</t>
  </si>
  <si>
    <t>Device.Services.FAPService.{i}.CellConfig.{i}.NR.Capabilities.LoadBalanceConfig.UlPrbUsage</t>
  </si>
  <si>
    <t>UlPrbUsage</t>
  </si>
  <si>
    <t>负载均衡上行PRB门限</t>
  </si>
  <si>
    <t>Device.Services.FAPService.{i}.CellConfig.{i}.NR.Capabilities.LoadBalanceConfig.AcceptDlPrbUsage</t>
  </si>
  <si>
    <t>AcceptDlPrbUsage</t>
  </si>
  <si>
    <t>允许均衡的目标小区下行PRB门限</t>
  </si>
  <si>
    <t>Device.Services.FAPService.{i}.CellConfig.{i}.NR.Capabilities.LoadBalanceConfig.AcceptUlPrbUsage</t>
  </si>
  <si>
    <t>AcceptUlPrbUsage</t>
  </si>
  <si>
    <t>允许均衡的目标小区上行PRB门限</t>
  </si>
  <si>
    <t>小区最大发射功率</t>
  </si>
  <si>
    <t>Device.Services.FAPService.{i}.CellConfig.{i}.NR.RAN.MaxTxPower</t>
  </si>
  <si>
    <t>单位dBm
指小基站所有通道发射功率总和</t>
  </si>
  <si>
    <t>小区底噪测量</t>
  </si>
  <si>
    <t>Device.Services.FAPService.{i}.CellConfig.{i}.NR.Capabilities.PRBNum</t>
  </si>
  <si>
    <t>PrbNum</t>
  </si>
  <si>
    <t>子帧的PRB</t>
  </si>
  <si>
    <r>
      <rPr>
        <sz val="9"/>
        <color theme="1"/>
        <rFont val="宋体"/>
        <charset val="134"/>
      </rPr>
      <t>需要开启接收干扰功率测量的上行子帧的</t>
    </r>
    <r>
      <rPr>
        <sz val="9"/>
        <color theme="1"/>
        <rFont val="Times New Roman"/>
        <charset val="134"/>
      </rPr>
      <t>PRB</t>
    </r>
    <r>
      <rPr>
        <sz val="9"/>
        <color theme="1"/>
        <rFont val="宋体"/>
        <charset val="134"/>
      </rPr>
      <t>索引。可以选择</t>
    </r>
    <r>
      <rPr>
        <sz val="9"/>
        <color theme="1"/>
        <rFont val="Times New Roman"/>
        <charset val="134"/>
      </rPr>
      <t>273</t>
    </r>
    <r>
      <rPr>
        <sz val="9"/>
        <color theme="1"/>
        <rFont val="宋体"/>
        <charset val="134"/>
      </rPr>
      <t>个</t>
    </r>
    <r>
      <rPr>
        <sz val="9"/>
        <color theme="1"/>
        <rFont val="Times New Roman"/>
        <charset val="134"/>
      </rPr>
      <t>PRB</t>
    </r>
    <r>
      <rPr>
        <sz val="9"/>
        <color theme="1"/>
        <rFont val="宋体"/>
        <charset val="134"/>
      </rPr>
      <t>中的任意多个，例如</t>
    </r>
    <r>
      <rPr>
        <sz val="9"/>
        <color theme="1"/>
        <rFont val="Times New Roman"/>
        <charset val="134"/>
      </rPr>
      <t>{0..7,50,273}</t>
    </r>
    <r>
      <rPr>
        <sz val="9"/>
        <color theme="1"/>
        <rFont val="宋体"/>
        <charset val="134"/>
      </rPr>
      <t>表示选择</t>
    </r>
    <r>
      <rPr>
        <sz val="9"/>
        <color theme="1"/>
        <rFont val="Times New Roman"/>
        <charset val="134"/>
      </rPr>
      <t>0</t>
    </r>
    <r>
      <rPr>
        <sz val="9"/>
        <color theme="1"/>
        <rFont val="宋体"/>
        <charset val="134"/>
      </rPr>
      <t>号到</t>
    </r>
    <r>
      <rPr>
        <sz val="9"/>
        <color theme="1"/>
        <rFont val="Times New Roman"/>
        <charset val="134"/>
      </rPr>
      <t>7</t>
    </r>
    <r>
      <rPr>
        <sz val="9"/>
        <color theme="1"/>
        <rFont val="宋体"/>
        <charset val="134"/>
      </rPr>
      <t>号，</t>
    </r>
    <r>
      <rPr>
        <sz val="9"/>
        <color theme="1"/>
        <rFont val="Times New Roman"/>
        <charset val="134"/>
      </rPr>
      <t>50</t>
    </r>
    <r>
      <rPr>
        <sz val="9"/>
        <color theme="1"/>
        <rFont val="宋体"/>
        <charset val="134"/>
      </rPr>
      <t>号及</t>
    </r>
    <r>
      <rPr>
        <sz val="9"/>
        <color theme="1"/>
        <rFont val="Times New Roman"/>
        <charset val="134"/>
      </rPr>
      <t>273</t>
    </r>
    <r>
      <rPr>
        <sz val="9"/>
        <color theme="1"/>
        <rFont val="宋体"/>
        <charset val="134"/>
      </rPr>
      <t>号共</t>
    </r>
    <r>
      <rPr>
        <sz val="9"/>
        <color theme="1"/>
        <rFont val="Times New Roman"/>
        <charset val="134"/>
      </rPr>
      <t>10</t>
    </r>
    <r>
      <rPr>
        <sz val="9"/>
        <color theme="1"/>
        <rFont val="宋体"/>
        <charset val="134"/>
      </rPr>
      <t>个位置上的</t>
    </r>
    <r>
      <rPr>
        <sz val="9"/>
        <color theme="1"/>
        <rFont val="Times New Roman"/>
        <charset val="134"/>
      </rPr>
      <t>PRB</t>
    </r>
    <r>
      <rPr>
        <sz val="9"/>
        <color theme="1"/>
        <rFont val="宋体"/>
        <charset val="134"/>
      </rPr>
      <t>，其中</t>
    </r>
    <r>
      <rPr>
        <sz val="9"/>
        <color theme="1"/>
        <rFont val="Times New Roman"/>
        <charset val="134"/>
      </rPr>
      <t>”..”</t>
    </r>
    <r>
      <rPr>
        <sz val="9"/>
        <color theme="1"/>
        <rFont val="宋体"/>
        <charset val="134"/>
      </rPr>
      <t>表示连续区间，</t>
    </r>
    <r>
      <rPr>
        <sz val="9"/>
        <color theme="1"/>
        <rFont val="Times New Roman"/>
        <charset val="134"/>
      </rPr>
      <t>“,”</t>
    </r>
    <r>
      <rPr>
        <sz val="9"/>
        <color theme="1"/>
        <rFont val="宋体"/>
        <charset val="134"/>
      </rPr>
      <t>表示分隔</t>
    </r>
    <r>
      <rPr>
        <sz val="9"/>
        <color theme="1"/>
        <rFont val="Times New Roman"/>
        <charset val="134"/>
      </rPr>
      <t>;{0,1,2,…273}</t>
    </r>
  </si>
  <si>
    <t>Device.Services.FAPService.{i}.CellConfig.{i}.NR.Capabilities.NoisePwdBm</t>
  </si>
  <si>
    <t>节能管理参数</t>
  </si>
  <si>
    <t>Device.Services.FAPService.{i}.CellConfig.{i}.NR.RAN.EnergySaveParam.EnergySavingType</t>
  </si>
  <si>
    <t>EnergySavingType</t>
  </si>
  <si>
    <t>小区节能策略</t>
  </si>
  <si>
    <t>节能模式配置：
Enumerate{NOT_SAVING,DEEP_SAVING,SHALLOW_SAVING,SLOT_SWITCH}</t>
  </si>
  <si>
    <t>Device.Services.FAPService.{i}.CellConfig.{i}.NR.RAN.EnergySaveParam.EnergySavingTime</t>
  </si>
  <si>
    <t>EnergySavingTime</t>
  </si>
  <si>
    <t>节能策略开始与结束时间</t>
  </si>
  <si>
    <t>定义休眠的开始(时\分)与结束时间(时分)
实例：01:00:00-06:00:00</t>
  </si>
  <si>
    <t>Device.Services.FAPService.{i}.CellConfig.{i}.NR.RAN.EnergySaveParam.EnergySavingDelayTime</t>
  </si>
  <si>
    <t>EnergySavingDelayTime</t>
  </si>
  <si>
    <t>节能策略迟滞时间</t>
  </si>
  <si>
    <t>节能策略迟滞时间，取值  0..15分钟。当小区总负荷在该时间段内持续低于门限值时启动对应休眠策略</t>
  </si>
  <si>
    <t>Device.Services.FAPService.{i}.CellConfig.{i}.NR.RAN.EnergySaveParam.EnergySavingStage</t>
  </si>
  <si>
    <t>EnergySavingStage</t>
  </si>
  <si>
    <t>小区节能状态/阶段</t>
  </si>
  <si>
    <t>1: initialization,初始化状态，表示未进行休眠或默认状态
2: started,开始执行休眠状态
3: ongoing:正处于休眠状态</t>
  </si>
  <si>
    <t>Device.Services.FAPService.{i}.CellConfig.{i}.NR.RAN.EnergySaveParam.PrbLowThreshold</t>
  </si>
  <si>
    <t>PrbLowThreshold</t>
  </si>
  <si>
    <t>PRB利用率低门限</t>
  </si>
  <si>
    <t>unsignInt[0:100]</t>
  </si>
  <si>
    <t>PRB利用率低门限，表示百分比，取值1..99，例如1%~99%</t>
  </si>
  <si>
    <t>Device.Services.FAPService.{i}.CellConfig.{i}.NR.RAN.EnergySaveParam.RRCLowThreshold</t>
  </si>
  <si>
    <t>RRCLowThreshold</t>
  </si>
  <si>
    <t>RRC接入用户数低门限</t>
  </si>
  <si>
    <t>RRC连接用户数低门限</t>
  </si>
  <si>
    <t>Device.Services.FAPService.{i}.CellConfig.{i}.NR.RAN.EnergySaveParam.AutoXnCellActivationEnable</t>
  </si>
  <si>
    <t>AutoXnCellActivationEnable</t>
  </si>
  <si>
    <t>自动激活邻站开关</t>
  </si>
  <si>
    <t>小区与RU映射</t>
  </si>
  <si>
    <t>Device.Services.FAPService.{i}.CellConfig.{i}.NR.RAN.RouteIndexList</t>
  </si>
  <si>
    <t>RouteIndexList</t>
  </si>
  <si>
    <t>路由指示列表</t>
  </si>
  <si>
    <t>小区关联的RU列表，使用SA页RU的RouteIndex标识，RouteIndex为EU时，表示该EU下连接的RU都关联到该小区；RouteIndex为RU时，表示指定的RU关联到该小区，多个RouteIndex用逗号隔开</t>
  </si>
  <si>
    <t>Device.Services.FAPService.{i}.CellConfig.{i}.NR.RAN.RuList</t>
  </si>
  <si>
    <t>RuList</t>
  </si>
  <si>
    <t>RU列表</t>
  </si>
  <si>
    <t>小区关联的RU列表，使用SA页RU的SerialNumber标识，多个RU用逗号隔开</t>
  </si>
  <si>
    <t>小区标识参数</t>
  </si>
  <si>
    <r>
      <rPr>
        <sz val="9"/>
        <rFont val="宋体"/>
        <charset val="134"/>
      </rPr>
      <t>Device.Services.FAPService.{i}.CellConfig.{i}.NR.</t>
    </r>
    <r>
      <rPr>
        <sz val="9"/>
        <color rgb="FFFF0000"/>
        <rFont val="宋体"/>
        <charset val="134"/>
      </rPr>
      <t>CN</t>
    </r>
    <r>
      <rPr>
        <sz val="9"/>
        <rFont val="宋体"/>
        <charset val="134"/>
      </rPr>
      <t>.TA.{i}.Ranac</t>
    </r>
  </si>
  <si>
    <t>Ranac</t>
  </si>
  <si>
    <t>RAN区域编码</t>
  </si>
  <si>
    <t>unsignInt[0:255]</t>
  </si>
  <si>
    <t>The IE RAN-AreaCode is used to identify a RAN area within the scope of a tracking area</t>
  </si>
  <si>
    <r>
      <rPr>
        <sz val="9"/>
        <rFont val="宋体"/>
        <charset val="134"/>
      </rPr>
      <t>Device.Services.FAPService.{i}.CellConfig.{i}.NR.</t>
    </r>
    <r>
      <rPr>
        <sz val="9"/>
        <color rgb="FFFF0000"/>
        <rFont val="宋体"/>
        <charset val="134"/>
      </rPr>
      <t>CN</t>
    </r>
    <r>
      <rPr>
        <sz val="9"/>
        <rFont val="宋体"/>
        <charset val="134"/>
      </rPr>
      <t>.TA.{i}.PLMNList.{i}.PLMNID</t>
    </r>
  </si>
  <si>
    <t>由MCC和MNC组成</t>
  </si>
  <si>
    <r>
      <rPr>
        <sz val="9"/>
        <rFont val="宋体"/>
        <charset val="134"/>
      </rPr>
      <t>Device.Services.FAPService.{i}.CellConfig.{i}.NR.</t>
    </r>
    <r>
      <rPr>
        <sz val="9"/>
        <color rgb="FFFF0000"/>
        <rFont val="宋体"/>
        <charset val="134"/>
      </rPr>
      <t>CN</t>
    </r>
    <r>
      <rPr>
        <sz val="9"/>
        <rFont val="宋体"/>
        <charset val="134"/>
      </rPr>
      <t>.TA.{i}.PLMNList.{i}.SliceList.{i}.SNSSAI</t>
    </r>
  </si>
  <si>
    <t>unsignedInt[0:‭4294967295‬]</t>
  </si>
  <si>
    <t>由SST和SD组成</t>
  </si>
  <si>
    <r>
      <rPr>
        <sz val="9"/>
        <rFont val="宋体"/>
        <charset val="134"/>
      </rPr>
      <t>Device.Services.FAPService.{i}.CellConfig.{i}.NR.</t>
    </r>
    <r>
      <rPr>
        <sz val="9"/>
        <color rgb="FFFF0000"/>
        <rFont val="宋体"/>
        <charset val="134"/>
      </rPr>
      <t>CN</t>
    </r>
    <r>
      <rPr>
        <sz val="9"/>
        <rFont val="宋体"/>
        <charset val="134"/>
      </rPr>
      <t>.TA.{i}.TAC</t>
    </r>
  </si>
  <si>
    <t>跟踪区编码</t>
  </si>
  <si>
    <t>跟踪区代码，TAC(24bit)</t>
  </si>
  <si>
    <r>
      <rPr>
        <sz val="9"/>
        <rFont val="宋体"/>
        <charset val="134"/>
      </rPr>
      <t>Device.Services.FAPService.{i}.CellConfig.{i}.NR.</t>
    </r>
    <r>
      <rPr>
        <sz val="9"/>
        <color rgb="FFFF0000"/>
        <rFont val="宋体"/>
        <charset val="134"/>
      </rPr>
      <t>CN</t>
    </r>
    <r>
      <rPr>
        <sz val="9"/>
        <rFont val="宋体"/>
        <charset val="134"/>
      </rPr>
      <t>.TA.{i}.GnbId</t>
    </r>
  </si>
  <si>
    <t>unsignedInt[0:268435455]</t>
  </si>
  <si>
    <r>
      <rPr>
        <sz val="9"/>
        <rFont val="宋体"/>
        <charset val="134"/>
      </rPr>
      <t>Device.Services.FAPService.{i}.CellConfig.{i}.NR.</t>
    </r>
    <r>
      <rPr>
        <sz val="9"/>
        <color rgb="FFFF0000"/>
        <rFont val="宋体"/>
        <charset val="134"/>
      </rPr>
      <t>CN</t>
    </r>
    <r>
      <rPr>
        <sz val="9"/>
        <rFont val="宋体"/>
        <charset val="134"/>
      </rPr>
      <t>.TA.{i}.GnbIdLength</t>
    </r>
  </si>
  <si>
    <r>
      <rPr>
        <sz val="9"/>
        <rFont val="宋体"/>
        <charset val="134"/>
      </rPr>
      <t>Device.Services.FAPService.{i}.CellConfig.{i}.NR.</t>
    </r>
    <r>
      <rPr>
        <sz val="9"/>
        <color rgb="FFFF0000"/>
        <rFont val="宋体"/>
        <charset val="134"/>
      </rPr>
      <t>CN</t>
    </r>
    <r>
      <rPr>
        <sz val="9"/>
        <rFont val="宋体"/>
        <charset val="134"/>
      </rPr>
      <t>.TA.{i}.NrcellIdentity</t>
    </r>
  </si>
  <si>
    <t>NrCellIdentity</t>
  </si>
  <si>
    <t>小区CellIdentity</t>
  </si>
  <si>
    <t>unsignedLong[0:68719476735]</t>
  </si>
  <si>
    <t>TA信息</t>
  </si>
  <si>
    <r>
      <rPr>
        <sz val="9"/>
        <rFont val="宋体"/>
        <charset val="134"/>
      </rPr>
      <t>Device.Services.FAPService.{i}.CellConfig.{i}.NR.</t>
    </r>
    <r>
      <rPr>
        <sz val="9"/>
        <color rgb="FFFF0000"/>
        <rFont val="宋体"/>
        <charset val="134"/>
      </rPr>
      <t>CN</t>
    </r>
    <r>
      <rPr>
        <sz val="9"/>
        <rFont val="宋体"/>
        <charset val="134"/>
      </rPr>
      <t>.TA.{i}.CellReservedForOperatorUse</t>
    </r>
  </si>
  <si>
    <t>CellReservedForOperatorUse</t>
  </si>
  <si>
    <t>小区PLMN预留标识</t>
  </si>
  <si>
    <r>
      <rPr>
        <sz val="9"/>
        <rFont val="宋体"/>
        <charset val="134"/>
      </rPr>
      <t>Device.Services.FAPService.{i}.CellConfig.{i}.NR.</t>
    </r>
    <r>
      <rPr>
        <sz val="9"/>
        <color rgb="FFFF0000"/>
        <rFont val="宋体"/>
        <charset val="134"/>
      </rPr>
      <t>CN</t>
    </r>
    <r>
      <rPr>
        <sz val="9"/>
        <rFont val="宋体"/>
        <charset val="134"/>
      </rPr>
      <t>.EmergencyAreaID</t>
    </r>
  </si>
  <si>
    <t>EmergencyAreaID</t>
  </si>
  <si>
    <t>unsignedInt[0:7]</t>
  </si>
  <si>
    <t>突发事件区域ID(3bit)</t>
  </si>
  <si>
    <r>
      <rPr>
        <sz val="9"/>
        <rFont val="宋体"/>
        <charset val="134"/>
      </rPr>
      <t>Device.Services.FAPService.{i}.CellConfig.{i}.NR.</t>
    </r>
    <r>
      <rPr>
        <sz val="9"/>
        <color rgb="FFFF0000"/>
        <rFont val="宋体"/>
        <charset val="134"/>
      </rPr>
      <t>CN</t>
    </r>
    <r>
      <rPr>
        <sz val="9"/>
        <rFont val="宋体"/>
        <charset val="134"/>
      </rPr>
      <t>.CellReservedForOtherUse</t>
    </r>
  </si>
  <si>
    <t>CellReservedForOtherUse</t>
  </si>
  <si>
    <t>小区预留标识总开关</t>
  </si>
  <si>
    <t>供运营商使用的小区预留标志</t>
  </si>
  <si>
    <t>安全参数管理</t>
  </si>
  <si>
    <t>Device.Services.FAPService.{i}.CellConfig.{i}.NR.RAN.IntegrityProtAlgorithm.Nia0Enable</t>
  </si>
  <si>
    <t>Nia0Enable</t>
  </si>
  <si>
    <t>完整性保护算法nia0</t>
  </si>
  <si>
    <t>约束：(false,true)</t>
  </si>
  <si>
    <t>Device.Services.FAPService.{i}.CellConfig.{i}.NR.RAN.IntegrityProtAlgorithm.Nia1Enable</t>
  </si>
  <si>
    <t>Nia1Enable</t>
  </si>
  <si>
    <t>完整性保护算法nia1</t>
  </si>
  <si>
    <t>Device.Services.FAPService.{i}.CellConfig.{i}.NR.RAN.IntegrityProtAlgorithm.Nia2Enable</t>
  </si>
  <si>
    <t>Nia2Enable</t>
  </si>
  <si>
    <t>完整性保护算法nia2</t>
  </si>
  <si>
    <t>Device.Services.FAPService.{i}.CellConfig.{i}.NR.RAN.IntegrityProtAlgorithm.Nia3Enable</t>
  </si>
  <si>
    <t>Nia3Enable</t>
  </si>
  <si>
    <t>完整性保护算法nia3</t>
  </si>
  <si>
    <t>Device.Services.FAPService.{i}.CellConfig.{i}.NR.RAN.CipheringAlgorithm.Nea0Enable</t>
  </si>
  <si>
    <t>Nea0Enable</t>
  </si>
  <si>
    <t>加密算法Nea0Enable</t>
  </si>
  <si>
    <t>{0:关闭,1:开启}</t>
  </si>
  <si>
    <t>Device.Services.FAPService.{i}.CellConfig.{i}.NR.RAN.CipheringAlgorithm.Nea1Enable</t>
  </si>
  <si>
    <t>Nea1Enable</t>
  </si>
  <si>
    <t>加密算法Nea1Enable</t>
  </si>
  <si>
    <t>Device.Services.FAPService.{i}.CellConfig.{i}.NR.RAN.CipheringAlgorithm.Nea2Enable</t>
  </si>
  <si>
    <t>Nea2Enable</t>
  </si>
  <si>
    <t>加密算法Nea2Enable</t>
  </si>
  <si>
    <t>Device.Services.FAPService.{i}.CellConfig.{i}.NR.RAN.CipheringAlgorithm.Nea3Enable</t>
  </si>
  <si>
    <t>Nea3Enable</t>
  </si>
  <si>
    <t>加密算法Nea3Enable</t>
  </si>
  <si>
    <t>物理层参数管理</t>
  </si>
  <si>
    <t xml:space="preserve">Device.Services.FAPService.{i}.CellConfig.{i}.NR.RAN.PHY.FrequencyInfoDLSIB.OffsetToPointA </t>
  </si>
  <si>
    <t xml:space="preserve">OffsetToPointA </t>
  </si>
  <si>
    <t>SSB的PRB0中子载波0位置与PointA之间偏移值</t>
  </si>
  <si>
    <t>unsignedInt[0:2199]</t>
  </si>
  <si>
    <t>取值范围：0~2199
默认值为0</t>
  </si>
  <si>
    <t>Device.Services.FAPService.{i}.CellConfig.{i}.NR.RAN.PHY.FrequencyInfoDLSIB.MultiFrequencyBandListNRSIB.{i}.FreqBandIndicatorNR</t>
  </si>
  <si>
    <t>FreqBandIndicatorNR</t>
  </si>
  <si>
    <t>NR频段指示</t>
  </si>
  <si>
    <t>FreqBandIndList实际值
总个数最大为8，即i最大取8</t>
  </si>
  <si>
    <t>Device.Services.FAPService.{i}.CellConfig.{i}.NR.RAN.PHY.FrequencyInfoDLSIB.ScsSpecificCarrierList.{i}.SCSSpecificCarrier.OffsetToCarrier</t>
  </si>
  <si>
    <t>OffsetToCarrier</t>
  </si>
  <si>
    <t>载波偏置(下行)</t>
  </si>
  <si>
    <t>INTEGER (0..2199),i最大值取5</t>
  </si>
  <si>
    <t>Device.Services.FAPService.{i}.CellConfig.{i}.NR.RAN.PHY.FrequencyInfoDLSIB.ScsSpecificCarrierList.{i}.SCSSpecificCarrier.subcarrierSpacing</t>
  </si>
  <si>
    <t>SubcarrierSpacing</t>
  </si>
  <si>
    <t>子载波间隔(下行)</t>
  </si>
  <si>
    <t>unsignedInt[0:4]</t>
  </si>
  <si>
    <t xml:space="preserve">子载波间隔
取值范围：{0, 1, 2, 3, 4}
0代表kHz15，1代表kHz30，2代表kHz60，3代表kHz120，4代表kHz240.,i最大值取5
</t>
  </si>
  <si>
    <t>Device.Services.FAPService.{i}.CellConfig.{i}.NR.RAN.PHY.FrequencyInfoDLSIB.ScsSpecificCarrierList.{i}.SCSSpecificCarrier.CarrierBandwidth</t>
  </si>
  <si>
    <t>CarrierBandwidth</t>
  </si>
  <si>
    <t>带宽值(下行)</t>
  </si>
  <si>
    <t>unsignedInt[1:275]</t>
  </si>
  <si>
    <t>取值范围：[1~275],i最大值取5</t>
  </si>
  <si>
    <t>Device.Services.FAPService.{i}.CellConfig.{i}.NR.RAN.PHY.FrequencyInfoULSIB.AbsoluteFrequencyPointA</t>
  </si>
  <si>
    <t>AbsoluteFrequencyPointA</t>
  </si>
  <si>
    <t>PointA绝对频点号</t>
  </si>
  <si>
    <t>Device.Services.FAPService.{i}.CellConfig.{i}.NR.RAN.PHY.FrequencyInfoULSIB.ScsSpecificCarrierList.{i}.SCSSpecificCarrier.OffsetToCarrier</t>
  </si>
  <si>
    <t>载波偏置(上行)</t>
  </si>
  <si>
    <t>取值范围：[0~2199],i最大值取5</t>
  </si>
  <si>
    <t>Device.Services.FAPService.{i}.CellConfig.{i}.NR.RAN.PHY.FrequencyInfoULSIB.ScsSpecificCarrierList.{i}.SCSSpecificCarrier.SubcarrierSpacing</t>
  </si>
  <si>
    <t>子载波间隔(上行)</t>
  </si>
  <si>
    <t>子载波间隔
取值范围：{0, 1, 2, 3, 4}
0代表kHz15，1代表kHz30，2代表kHz60，3代表kHz120，4代表kHz240.,i最大值取5</t>
  </si>
  <si>
    <t>Device.Services.FAPService.{i}.CellConfig.{i}.NR.RAN.PHY.FrequencyInfoULSIB.ScsSpecificCarrierList.{i}.SCSSpecificCarrier.CarrierBandwidth</t>
  </si>
  <si>
    <t>带宽值(上行)</t>
  </si>
  <si>
    <t>Device.Services.FAPService.{i}.CellConfig.{i}.NR.RAN.PHY.SSB.SsbPositionsInBurst.InOneGroup</t>
  </si>
  <si>
    <t>InOneGroup</t>
  </si>
  <si>
    <t>SSB索引bit位</t>
  </si>
  <si>
    <t>string(8)</t>
  </si>
  <si>
    <t>指示SS-Burst-Set中的SSB的时域位置</t>
  </si>
  <si>
    <t>Device.Services.FAPService.{i}.CellConfig.{i}.NR.RAN.PHY.SSB.SsbPeriodicityServingCell</t>
  </si>
  <si>
    <t>SsbPeriodicityServingCell</t>
  </si>
  <si>
    <t>SSB周期</t>
  </si>
  <si>
    <t>unsignedInt[0:5]</t>
  </si>
  <si>
    <t>SS-Burst-Set的周期</t>
  </si>
  <si>
    <t>Device.Services.FAPService.{i}.CellConfig.{i}.NR.RAN.PHY.SSB.SsbSubcarrierOffset</t>
  </si>
  <si>
    <t>SsbSubcarrierOffset</t>
  </si>
  <si>
    <t>SSB子载波偏置</t>
  </si>
  <si>
    <t>unsignedInt[0:15]</t>
  </si>
  <si>
    <t>kSSB的低4位，表示PointA相对于SSB子载波0的子载波偏移</t>
  </si>
  <si>
    <t>Device.Services.FAPService.{i}.CellConfig.{i}.NR.RAN.PHY.SubCarrierSpacingCommon</t>
  </si>
  <si>
    <t>SubCarrierSpacingCommon</t>
  </si>
  <si>
    <t>公共子载波间隔</t>
  </si>
  <si>
    <t>公共子载波间隔，SIB1、初始接入Msg.2/4、和SI-message使用的子载波间隔。 取值范围{scs15or60, scs30or120},</t>
  </si>
  <si>
    <t>Device.Services.FAPService.{i}.CellConfig.{i}.NR.RAN.PHY.TddULDLConfigurationCommon.ReferenceSubcarrierSpacing</t>
  </si>
  <si>
    <t>ReferenceSubcarrierSpacing</t>
  </si>
  <si>
    <t>参考子载波间隔</t>
  </si>
  <si>
    <t>0代表kHz15，1代表kHz30，2代表kHz60，3代表kHz120，4代表kHz240.</t>
  </si>
  <si>
    <t>Device.Services.FAPService.{i}.CellConfig.{i}.NR.RAN.PHY.TddULDLConfigurationCommon.pattern1.DlULTransmissionPeriodicity</t>
  </si>
  <si>
    <t>DlULTransmissionPeriodicity1</t>
  </si>
  <si>
    <t>模式1的传输周期</t>
  </si>
  <si>
    <t xml:space="preserve">unsignedInt[0:7] </t>
  </si>
  <si>
    <t>取值范围：{0, 1, 2, 3, 4,5,6,7}，0代表ms0p5，1代表ms0p625，2代表ms1，3代表ms1p25，4代表ms2，5代表ms2p5，6代表ms5，7代表ms10.</t>
  </si>
  <si>
    <t>Device.Services.FAPService.{i}.CellConfig.{i}.NR.RAN.PHY.TddULDLConfigurationCommon.pattern1.NrofDownlinkSlots</t>
  </si>
  <si>
    <t>NrofDownlinkSlots1</t>
  </si>
  <si>
    <t>模式1的连续下行时隙数</t>
  </si>
  <si>
    <t>unsignedInt[0:320]</t>
  </si>
  <si>
    <t>取值范围：unsignedInt[0:320]</t>
  </si>
  <si>
    <t>Device.Services.FAPService.{i}.CellConfig.{i}.NR.RAN.PHY.TddULDLConfigurationCommon.pattern1.NrofDownlinkSymbols</t>
  </si>
  <si>
    <t>NrofDownlinkSymbols1</t>
  </si>
  <si>
    <t>模式1的连续下行符号数</t>
  </si>
  <si>
    <t>unsignedInt[0:13]</t>
  </si>
  <si>
    <t>取值范围：unsignedInt[0:13]</t>
  </si>
  <si>
    <t>Device.Services.FAPService.{i}.CellConfig.{i}.NR.RAN.PHY.TddULDLConfigurationCommon.pattern1.NrofUplinkSlots</t>
  </si>
  <si>
    <t>NrofUplinkSlots1</t>
  </si>
  <si>
    <t>模式1的连续上行时隙数</t>
  </si>
  <si>
    <t>Device.Services.FAPService.{i}.CellConfig.{i}.NR.RAN.PHY.TddULDLConfigurationCommon.pattern1.NrofUplinkSymbols</t>
  </si>
  <si>
    <t>NrofUplinkSymbols1</t>
  </si>
  <si>
    <t>模式1的连续上行符号数</t>
  </si>
  <si>
    <t>Device.Services.FAPService.{i}.CellConfig.{i}.NR.RAN.PHY.TddULDLConfigurationCommon.IsPattern2Present</t>
  </si>
  <si>
    <t>IsPattern2Present</t>
  </si>
  <si>
    <t>模式2状态</t>
  </si>
  <si>
    <t>约束：(Boolean)</t>
  </si>
  <si>
    <t>Device.Services.FAPService.{i}.CellConfig.{i}.NR.RAN.PHY.TddULDLConfigurationCommon.pattern2.DlULTransmissionPeriodicity</t>
  </si>
  <si>
    <t>DlULTransmissionPeriodicity2</t>
  </si>
  <si>
    <t>模式2的传输周期</t>
  </si>
  <si>
    <t>Device.Services.FAPService.{i}.CellConfig.{i}.NR.RAN.PHY.TddULDLConfigurationCommon.pattern2.NrofDownlinkSlots</t>
  </si>
  <si>
    <t>NrofDownlinkSlots2</t>
  </si>
  <si>
    <t>模式2的连续下行时隙数</t>
  </si>
  <si>
    <t>Device.Services.FAPService.{i}.CellConfig.{i}.NR.RAN.PHY.TddULDLConfigurationCommon.pattern2.NrofDownlinkSymbols</t>
  </si>
  <si>
    <t>NrofDownlinkSymbols2</t>
  </si>
  <si>
    <t>模式2的连续下行符号数</t>
  </si>
  <si>
    <t>Device.Services.FAPService.{i}.CellConfig.{i}.NR.RAN.PHY.TddULDLConfigurationCommon.pattern2.NrofUplinkSlots</t>
  </si>
  <si>
    <t>NrofUplinkSlots2</t>
  </si>
  <si>
    <t>模式2的连续上行时隙数</t>
  </si>
  <si>
    <t>Device.Services.FAPService.{i}.CellConfig.{i}.NR.RAN.PHY.TddULDLConfigurationCommon.pattern2.NrofUplinkSymbols</t>
  </si>
  <si>
    <t>NrofUplinkSymbols2</t>
  </si>
  <si>
    <t>模式2的连续上行符号数</t>
  </si>
  <si>
    <t>Device.Services.FAPService.{i}.CellConfig.{i}.NR.RAN.PHY.BwpConfig.BwpSwitchType</t>
  </si>
  <si>
    <t>BwpSwitchType</t>
  </si>
  <si>
    <t>bwp切换类型</t>
  </si>
  <si>
    <t>unsignedInt[0:2]</t>
  </si>
  <si>
    <t>约束：0~2</t>
  </si>
  <si>
    <t>Device.Services.FAPService.{i}.CellConfig.{i}.NR.RAN.PHY.DmrsTypeAPosition</t>
  </si>
  <si>
    <t>DmrsTypeAPosition</t>
  </si>
  <si>
    <t>DMRS TypeA位置</t>
  </si>
  <si>
    <t>unsignedInt[0:1]</t>
  </si>
  <si>
    <t>约束：(0,1)
分别对应pos2与pos3</t>
  </si>
  <si>
    <t xml:space="preserve">Device.Services.FAPService.{i}.CellConfig.{i}.NR.RAN.PHY.BWP.BWPDL.{i}.PDSCH.DlDmrsMaxLength </t>
  </si>
  <si>
    <t xml:space="preserve">DlDmrsMaxLength </t>
  </si>
  <si>
    <t>下行DMRS最大符号个数</t>
  </si>
  <si>
    <t>unsignedInt[1,2]</t>
  </si>
  <si>
    <t>取值范围:{1，2}</t>
  </si>
  <si>
    <t>Device.Services.FAPService.{i}.CellConfig.{i}.NR.RAN.PHY.BWP.BWPDL.{i}.PDSCH.DlAdditionalDmrsPos</t>
  </si>
  <si>
    <t>DlAdditionalDmrsPos</t>
  </si>
  <si>
    <t>下行Additional DMRS位置</t>
  </si>
  <si>
    <t>取值范围:{0,1,2,3}</t>
  </si>
  <si>
    <t>Device.Services.FAPService.{i}.CellConfig.{i}.NR.RAN.PHY.BWP.BWPDL.{i}.PDSCH.DownlinkForPDSCHMappingTypeA.DmrsType</t>
  </si>
  <si>
    <t>DmrsType</t>
  </si>
  <si>
    <t>PDSCH类型A的解调参考信号类型</t>
  </si>
  <si>
    <t>enumeration{type1,type2}</t>
  </si>
  <si>
    <t>Device.Services.FAPService.{i}.CellConfig.{i}.NR.RAN.PHY.BWP.BWPDL.{i}.PDSCH.DownlinkForPDSCHMappingTypeA.DmrsAdditionalPosition</t>
  </si>
  <si>
    <t>DmrsAdditionalPosition</t>
  </si>
  <si>
    <t>PDSCH类型A的解调参考信号额外位置</t>
  </si>
  <si>
    <t>enumeration[pos0,pos1,pos2,pos3]</t>
  </si>
  <si>
    <t>Device.Services.FAPService.{i}.CellConfig.{i}.NR.RAN.PHY.BWP.BWPDL.{i}.PDSCH.DownlinkForPDSCHMappingTypeB.DmrsType</t>
  </si>
  <si>
    <t>PDSCH类型B的解调参考信号类型</t>
  </si>
  <si>
    <t>Device.Services.FAPService.{i}.CellConfig.{i}.NR.RAN.PHY.BWP.BWPDL.{i}.PDSCH.DownlinkForPDSCHMappingTypeB.DmrsAdditionalPosition</t>
  </si>
  <si>
    <t>PDSCH类型B的解调参考信号额外位置</t>
  </si>
  <si>
    <t>Device.Services.FAPService.{i}.CellConfig.{i}.NR.RAN.PHY.BWP.BWPDL.{i}.PDSCH.ResourceAllocation</t>
  </si>
  <si>
    <t>ResourceAllocation</t>
  </si>
  <si>
    <t>pdsch资源分配类型</t>
  </si>
  <si>
    <t>unsignedByte</t>
  </si>
  <si>
    <t>enumeration(resourceAllocationType0,resourceAllocationType1,dynamicSwitch)</t>
  </si>
  <si>
    <t>Device.Services.FAPService.{i}.CellConfig.{i}.NR.RAN.PHY.BWP.BWPDL.{i}.PDSCH.PrbBundlingType.StaticBundling.BundleSize</t>
  </si>
  <si>
    <t>BundleSize</t>
  </si>
  <si>
    <t>资源块组大小</t>
  </si>
  <si>
    <t>取值范围：{n2，n4, wideband}  设置静态pdsch prbbundlesize的值为n4</t>
  </si>
  <si>
    <t>Device.Services.FAPService.{i}.CellConfig.{i}.NR.RAN.PHY.BWP.BWPDL.{i}.PDSCH.PrbBundlingType.BundlingType</t>
  </si>
  <si>
    <t>BundlingType</t>
  </si>
  <si>
    <r>
      <rPr>
        <sz val="9"/>
        <rFont val="宋体"/>
        <charset val="134"/>
        <scheme val="minor"/>
      </rPr>
      <t>P</t>
    </r>
    <r>
      <rPr>
        <sz val="9"/>
        <rFont val="宋体"/>
        <charset val="134"/>
      </rPr>
      <t>DSCH-prbBundling类型</t>
    </r>
  </si>
  <si>
    <r>
      <rPr>
        <sz val="9"/>
        <rFont val="宋体"/>
        <charset val="134"/>
        <scheme val="minor"/>
      </rPr>
      <t>约束：{staticBundling,dynamicBundling</t>
    </r>
    <r>
      <rPr>
        <sz val="9"/>
        <rFont val="宋体"/>
        <charset val="134"/>
      </rPr>
      <t>}</t>
    </r>
  </si>
  <si>
    <t>Device.Services.FAPService.{i}.CellConfig.{i}.NR.RAN.PHY.BWP.BWPDL.{i}.PDSCH.PrbBundlingType.DynamicBundling.BundleSizeSet1</t>
  </si>
  <si>
    <t>BundleSizeSet1</t>
  </si>
  <si>
    <t>资源块组大小1</t>
  </si>
  <si>
    <t>设置动态pdsch prbbundlesize1的值，取值范围{n2，n4, wideband, n2-wideband, n4-wideband}</t>
  </si>
  <si>
    <t>Device.Services.FAPService.{i}.CellConfig.{i}.NR.RAN.PHY.BWP.BWPDL.{i}.PDSCH.PrbBundlingType.DynamicBundling.BundleSizeSet2</t>
  </si>
  <si>
    <t>BundleSizeSet2</t>
  </si>
  <si>
    <t>资源块组大小2</t>
  </si>
  <si>
    <t>设置动态pdsch prbbundlesize2的值，取值范围：{n4, wideband}</t>
  </si>
  <si>
    <t>Device.Services.FAPService.{i}.CellConfig.{i}.NR.RAN.PHY.CSI.PUCCH_Resource.SimultaneousHARQAckCsi</t>
  </si>
  <si>
    <t>SimultaneousHARQAckCsi</t>
  </si>
  <si>
    <t>HARQ/CSI复用</t>
  </si>
  <si>
    <t>[0:1]配置HARQ跟CSI是否在PUCCH上进行复用</t>
  </si>
  <si>
    <t>Device.Services.FAPService.{i}.CellConfig.{i}.NR.RAN.PHY.CSI.CSI_RS.IsTrsEnable</t>
  </si>
  <si>
    <t>IsTrsEnable</t>
  </si>
  <si>
    <t>csi-trs功能开关</t>
  </si>
  <si>
    <t>false:关闭trs true:打开trs</t>
  </si>
  <si>
    <t>Device.Services.FAPService.{i}.CellConfig.{i}.NR.RAN.PHY.CSI.CSI_RS.NumberOfNzpCsiRsResources</t>
  </si>
  <si>
    <t>NumberOfNzpCsiRsResources</t>
  </si>
  <si>
    <t>NzpCsiRs资源个数</t>
  </si>
  <si>
    <t>[0:31]用于CSI上报测量的NZP CSI-RS资源个数配置</t>
  </si>
  <si>
    <t>Device.Services.FAPService.{i}.CellConfig.{i}.NR.RAN.PHY.CSI.CSI_RS.ResourcesForChannelMeasurement.FirstOFDMSymbolInTimeDomain</t>
  </si>
  <si>
    <t>FirstOFDMSymbolInTimeDomain</t>
  </si>
  <si>
    <t>CSI-RS的时域位置索引值</t>
  </si>
  <si>
    <t>约束：0~13</t>
  </si>
  <si>
    <t>Device.Services.FAPService.{i}.CellConfig.{i}.NR.RAN.PHY.CSI.CSI_RS.ResourcesForChannelMeasurement.FrequencyDomainAllocation</t>
  </si>
  <si>
    <t>FrequencyDomainAllocation</t>
  </si>
  <si>
    <t>CSI-RS的频域位置映射图</t>
  </si>
  <si>
    <t>unsignedShort</t>
  </si>
  <si>
    <t>约束：0~4095</t>
  </si>
  <si>
    <t>Device.Services.FAPService.{i}.CellConfig.{i}.NR.RAN.PHY.CSI.CSI_RS.ResourcesForChannelMeasurement.FreqBand.StartingRB</t>
  </si>
  <si>
    <t>StartingRB</t>
  </si>
  <si>
    <t>CSI-RS的起始CRB位置</t>
  </si>
  <si>
    <t>约束：0~255</t>
  </si>
  <si>
    <t>Device.Services.FAPService.{i}.CellConfig.{i}.NR.RAN.PHY.CSI.CSI_RS.ResourcesForChannelMeasurement.FreqBand.NrofRBs</t>
  </si>
  <si>
    <t>NrofRBs</t>
  </si>
  <si>
    <t>CSI-RS的带宽RB数</t>
  </si>
  <si>
    <t>约束：24~276</t>
  </si>
  <si>
    <t>Device.Services.FAPService.{i}.CellConfig.{i}.NR.RAN.PHY.CSI.CSI_Report.ReportQuantity</t>
  </si>
  <si>
    <t>ReportQuantity</t>
  </si>
  <si>
    <t>CSI上报内容</t>
  </si>
  <si>
    <t>none,cri-RI-PMI-CQI,cri-RI-i1,cri-RI-i1-CQI,cri-RI-CQI,cri-RSRP,ssb-Index-RSRP,cri-RI-LI-PMI-CQI配置CSI上报内容</t>
  </si>
  <si>
    <t>Device.Services.FAPService.{i}.CellConfig.{i}.NR.RAN.PHY.CSI.CSI_Report.ReportConfigType</t>
  </si>
  <si>
    <t>ReportConfigType</t>
  </si>
  <si>
    <t>CSI上报方式</t>
  </si>
  <si>
    <t>periodic,semiPersistentOnPUCCH,semiPersistentOnPUSCH,aperiodic配置CSI上报方式</t>
  </si>
  <si>
    <t>Device.Services.FAPService.{i}.CellConfig.{i}.NR.RAN.PHY.CSI.CSI_Report.ReportPeriodic</t>
  </si>
  <si>
    <t>ReportPeriodic</t>
  </si>
  <si>
    <t>CSI上报周期</t>
  </si>
  <si>
    <t>slots4,slots5,slots8,slots10,slots16,slots20,slots40,slots80,slots160,slots320配置CSI上报的周期间隔</t>
  </si>
  <si>
    <t>Device.Services.FAPService.{i}.CellConfig.{i}.NR.RAN.PHY.CSI.CSI_Report.ReportFrequencyGranularity</t>
  </si>
  <si>
    <t>ReportFrequencyGranularity</t>
  </si>
  <si>
    <t>CSI上报带宽粒度</t>
  </si>
  <si>
    <t>wideband,subband配置CSI上报的带宽粒度</t>
  </si>
  <si>
    <t>Device.Services.FAPService.{i}.CellConfig.{i}.NR.RAN.PHY.CSI.CSI_Report.SubbandSize</t>
  </si>
  <si>
    <t>SubbandSize</t>
  </si>
  <si>
    <t>CSI上报子带宽大小</t>
  </si>
  <si>
    <t>value1，value2配置CSI上报的subband大小</t>
  </si>
  <si>
    <t>Device.Services.FAPService.{i}.CellConfig.{i}.NR.RAN.PHY.Antenna.NumOfTxAntenna</t>
  </si>
  <si>
    <t>NumOfTxAntenna</t>
  </si>
  <si>
    <t>发射通道数</t>
  </si>
  <si>
    <t>小基站发射通道的数量</t>
  </si>
  <si>
    <t xml:space="preserve">Device.Services.FAPService.{i}.CellConfig.{i}.NR.RAN.PHY.Antenna.NumOfRxAntenna </t>
  </si>
  <si>
    <t>NumOfRxAntenna</t>
  </si>
  <si>
    <t>接收通道数</t>
  </si>
  <si>
    <t>小基站接收通道的数量</t>
  </si>
  <si>
    <t>MAC层参数管理</t>
  </si>
  <si>
    <t>Device.Services.FAPService.{i}.CellConfig.{i}.NR.RAN.PHY.BWP.BWPUL.{i}.PUSCH.PuschTpcAccumulation</t>
  </si>
  <si>
    <t>PuschTpcAccumulation</t>
  </si>
  <si>
    <t>PUSCH累积式功控开关</t>
  </si>
  <si>
    <t xml:space="preserve">{ 关闭:0, 打开:1 }  </t>
  </si>
  <si>
    <t>Device.Services.FAPService.{i}.CellConfig.{i}.NR.RAN.PHY.BWP.BWPUL.{i}.PUCCHConfig.IntraSlotFrequencyHoppingPeriodEnable</t>
  </si>
  <si>
    <t>IntraSlotFrequencyHoppingPeriodEnable</t>
  </si>
  <si>
    <t>时隙内跳频</t>
  </si>
  <si>
    <t>Device.Services.FAPService.{i}.CellConfig.{i}.NR.RAN.PHY.BWP.BWPUL.{i}.PUCCHConfig.PucchTpcEnabled</t>
  </si>
  <si>
    <t>PucchTpcEnabled</t>
  </si>
  <si>
    <t>PucchTpc开启</t>
  </si>
  <si>
    <t>约束：(true, false)</t>
  </si>
  <si>
    <t>Device.Services.FAPService.{i}.CellConfig.{i}.NR.RAN.PHY.BWP.BWPUL.{i}.PUSCHConfig.TxConfig</t>
  </si>
  <si>
    <t>TxConfig</t>
  </si>
  <si>
    <t>Tx配置</t>
  </si>
  <si>
    <t>约束：(codebook, noncodebook)</t>
  </si>
  <si>
    <t>Device.Services.FAPService.{i}.CellConfig.{i}.NR.RAN.PHY.BWP.BWPUL.{i}.PUSCHConfig.FrequencyHopping</t>
  </si>
  <si>
    <t>FrequencyHopping</t>
  </si>
  <si>
    <t>PUSCH跳频</t>
  </si>
  <si>
    <t>enumeration {freq-hopping-disable,intra-slot-freq-hopping,inter-slot-freq-hopping}</t>
  </si>
  <si>
    <t>PUSCH跳频使能</t>
  </si>
  <si>
    <t>Device.Services.FAPService.{i}.CellConfig.{i}.NR.RAN.PHY.BWP.BWPUL.{i}.PUSCHConfig.FrequencyHoppingOffsetLists.{i}.FrequencyHoppingOffset</t>
  </si>
  <si>
    <t>FrequencyHoppingOffsetLists</t>
  </si>
  <si>
    <t>PUSCH跳频偏移列表</t>
  </si>
  <si>
    <t>Int[0,274]</t>
  </si>
  <si>
    <t xml:space="preserve">Device.Services.FAPService.{i}.CellConfig.{i}.NR.RAN.PHY.BWP.BWPUL.{i}.PUSCHConfig.DmrsUplinkForPUSCHMappingTypeA.DmrsType  </t>
  </si>
  <si>
    <t>PUSCH类型A的解调参考信号类型</t>
  </si>
  <si>
    <t>enumeration {type1,type2}</t>
  </si>
  <si>
    <t xml:space="preserve">Device.Services.FAPService.{i}.CellConfig.{i}.NR.RAN.PHY.BWP.BWPUL.{i}.PUSCHConfig.DmrsUplinkForPUSCHMappingTypeA.DmrsAdditionalPosition </t>
  </si>
  <si>
    <t>PUSCH类型A的解调参考信号额外位置</t>
  </si>
  <si>
    <t>Device.Services.FAPService.{i}.CellConfig.{i}.NR.RAN.PHY.BWP.BWPUL.{i}.PUSCHConfig.DmrsUplinkForPUSCHMappingTypeB.DmrsType</t>
  </si>
  <si>
    <t>PUSCH类型B的解调参考信号类型</t>
  </si>
  <si>
    <t>Device.Services.FAPService.{i}.CellConfig.{i}.NR.RAN.PHY.BWP.BWPUL.{i}.PUSCHConfig.DmrsUplinkForPUSCHMappingTypeB.DmrsAdditionalPosition</t>
  </si>
  <si>
    <t>PUSCH类型B的解调参考信号额外位置</t>
  </si>
  <si>
    <t>Device.Services.FAPService.{i}.CellConfig.{i}.NR.RAN.PHY.BWP.BWPUL.{i}.PUSCHConfig.PuschTpcEnabled</t>
  </si>
  <si>
    <t>PuschTpcEnabled</t>
  </si>
  <si>
    <t>PuschTpc开启</t>
  </si>
  <si>
    <t>Device.Services.FAPService.{i}.CellConfig.{i}.NR.RAN.PHY.BWP.BWPUL.{i}.PUSCHConfig.ResourceAllocationType</t>
  </si>
  <si>
    <t>ResourceAllocationType</t>
  </si>
  <si>
    <t>资源分配类型</t>
  </si>
  <si>
    <t>enumeration {type0, type1, dynamic}</t>
  </si>
  <si>
    <t>约束：(type0, type1, dynamic)</t>
  </si>
  <si>
    <t>Device.Services.FAPService.{i}.CellConfig.{i}.NR.RAN.PHY.BWP.BWPUL.{i}.PUSCHConfig.ResourceAllocationAdaptiveValue</t>
  </si>
  <si>
    <t>ResourceAllocationAdaptiveValue</t>
  </si>
  <si>
    <t>上行分配自适应值</t>
  </si>
  <si>
    <t>unsignedShort[0:273]</t>
  </si>
  <si>
    <t>[0:273]</t>
  </si>
  <si>
    <t>Device.Services.FAPService.{i}.CellConfig.{i}.NR.RAN.PHY.BWP.BWPUL.{i}.PUSCHConfig.UciOnPUSCH.BetaOffsetACKIndex1</t>
  </si>
  <si>
    <t>BetaOffsetACKIndex1</t>
  </si>
  <si>
    <t>HARQ静态码率调整值1</t>
  </si>
  <si>
    <t>unsignedByte[0:31]</t>
  </si>
  <si>
    <t>在pusch发上行HARQ时的静态码率调节值1</t>
  </si>
  <si>
    <t>Device.Services.FAPService.{i}.CellConfig.{i}.NR.RAN.PHY.BWP.BWPUL.{i}.PUSCHConfig.UciOnPUSCH.BetaOffsetACKIndex2</t>
  </si>
  <si>
    <t>BetaOffsetACKIndex2</t>
  </si>
  <si>
    <t>HARQ静态码率调整值2</t>
  </si>
  <si>
    <t>在pusch发上行HARQ时的静态码率调节值2</t>
  </si>
  <si>
    <t>Device.Services.FAPService.{i}.CellConfig.{i}.NR.RAN.PHY.BWP.BWPUL.{i}.PUSCHConfig.UciOnPUSCH.BetaOffsetACKIndex3</t>
  </si>
  <si>
    <t>BetaOffsetACKIndex3</t>
  </si>
  <si>
    <t>HARQ静态码率调整值3</t>
  </si>
  <si>
    <t>在pusch发上行HARQ时的静态码率调节值3</t>
  </si>
  <si>
    <t>Device.Services.FAPService.{i}.CellConfig.{i}.NR.RAN.PHY.BWP.BWPUL.{i}.PUSCHConfig.UciOnPUSCH.BetaOffsetType</t>
  </si>
  <si>
    <t>BetaOffsetType</t>
  </si>
  <si>
    <t>动静态调整类型</t>
  </si>
  <si>
    <t>0：动态        1：静态</t>
  </si>
  <si>
    <t>Device.Services.FAPService.{i}.CellConfig.{i}.NR.RAN.PHY.BWP.BWPUL.{i}.PUSCHConfig.UciOnPUSCH.BetaOffsetCsiPart1Index1</t>
  </si>
  <si>
    <t>BetaOffsetCsiPart1Index1</t>
  </si>
  <si>
    <t>CSI静态码率调整值1_1</t>
  </si>
  <si>
    <t>在pusch发上行CSI时的静态码率调节值1_1</t>
  </si>
  <si>
    <t>Device.Services.FAPService.{i}.CellConfig.{i}.NR.RAN.PHY.BWP.BWPUL.{i}.PUSCHConfig.UciOnPUSCH.BetaOffsetCsiPart1Index2</t>
  </si>
  <si>
    <t>BetaOffsetCsiPart1Index2</t>
  </si>
  <si>
    <t>CSI静态码率调整值1_2</t>
  </si>
  <si>
    <t>在pusch发上行CSI时的静态码率调节值1_2</t>
  </si>
  <si>
    <t>Device.Services.FAPService.{i}.CellConfig.{i}.NR.RAN.PHY.BWP.BWPUL.{i}.PUSCHConfig.UciOnPUSCH.BetaOffsetCsiPart2Index1</t>
  </si>
  <si>
    <t>BetaOffsetCsiPart2Index1</t>
  </si>
  <si>
    <t>CSI静态码率调整值2_1</t>
  </si>
  <si>
    <t>在pusch发上行CSI时的静态码率调节值2_1</t>
  </si>
  <si>
    <t>Device.Services.FAPService.{i}.CellConfig.{i}.NR.RAN.PHY.BWP.BWPUL.{i}.PUSCHConfig.UciOnPUSCH.BetaOffsetCsiPart2Index2</t>
  </si>
  <si>
    <t>BetaOffsetCsiPart2Index2</t>
  </si>
  <si>
    <t>CSI静态码率调整值2_2</t>
  </si>
  <si>
    <t>在pusch发上行CSI时的静态码率调节值2_2</t>
  </si>
  <si>
    <t>Device.Services.FAPService.{i}.CellConfig.{i}.NR.RAN.PHY.BWP.BWPUL.{i}.PUSCHConfig.TransformPrecoder</t>
  </si>
  <si>
    <t>TransformPrecoder</t>
  </si>
  <si>
    <t>上行波形配置</t>
  </si>
  <si>
    <t>Device.Services.FAPService.{i}.CellConfig.{i}.NR.RAN.PHY.BWP.BWPUL.{i}.PUSCHConfig.TransformPrecoderEnable</t>
  </si>
  <si>
    <t>TransformPrecoderEnable</t>
  </si>
  <si>
    <t>上行波形配置使能开关</t>
  </si>
  <si>
    <t>上行动态调度波形配置功能开关</t>
  </si>
  <si>
    <t>Device.Services.FAPService.{i}.CellConfig.{i}.NR.RAN.PHY.BWP.BWPUL.{i}.PUSCHConfig.TransformPrecoderSwitch</t>
  </si>
  <si>
    <t>TransformPrecoderSwitch</t>
  </si>
  <si>
    <t>动态切换上行波形的开关</t>
  </si>
  <si>
    <t>enumeration {switch-disable，switch-by-dci，switch-by-rrc}</t>
  </si>
  <si>
    <t>根据MCS动态切换上行CP/DFT波形的功能开关  switch-disable：关闭   switch-by-dci：通过DCI指示切换波形   switch-by-rrc：通过RRC重配切换波形</t>
  </si>
  <si>
    <t>Device.Services.FAPService.{i}.CellConfig.{i}.NR.RAN.PHY.BWP.BWPUL.{i}.PUSCHConfig.TpPi2BpskEnable</t>
  </si>
  <si>
    <t>TpPi2BpskEnable</t>
  </si>
  <si>
    <t>PUSCH π/2 Bpsk开关</t>
  </si>
  <si>
    <t>Device.Services.FAPService.{i}.CellConfig.{i}.NR.RAN.PHY.BWP.BWPUL.{i}.PUSCHConfig.MinUlRbAllowed</t>
  </si>
  <si>
    <t>MinUlRbAllowed</t>
  </si>
  <si>
    <t>上行最小分配粒度</t>
  </si>
  <si>
    <t>unsignedByte[1:4]</t>
  </si>
  <si>
    <t>上行最少需要分配的RB数</t>
  </si>
  <si>
    <t>Device.Services.FAPService.{i}.CellConfig.{i}.NR.RAN.PHY.BWP.BWPUL.{i}.PUSCHConfig.PuschMaxValidRssi</t>
  </si>
  <si>
    <t>PuschMaxValidRssi</t>
  </si>
  <si>
    <t>PUSCH最大接收强度</t>
  </si>
  <si>
    <t>约束：(150~250)</t>
  </si>
  <si>
    <t>Device.Services.FAPService.{i}.CellConfig.{i}.NR.RAN.PHY.BWP.BWPUL.{i}.PUSCHConfig.UlFreqSelectScheduling</t>
  </si>
  <si>
    <t>UlFreqSelectScheduling</t>
  </si>
  <si>
    <t>上行频选开关</t>
  </si>
  <si>
    <t>约束：(false, true)</t>
  </si>
  <si>
    <t>Device.Services.FAPService.{i}.CellConfig.{i}.NR.RAN.PHY.SiConfig.Enable</t>
  </si>
  <si>
    <t>Si使能</t>
  </si>
  <si>
    <t>Device.Services.FAPService.{i}.CellConfig.{i}.NR.RAN.PHY.SiConfig.WindowLength</t>
  </si>
  <si>
    <t>WindowLength</t>
  </si>
  <si>
    <t>Si窗口大小</t>
  </si>
  <si>
    <t>默认值: 5
约束: (0...65535)</t>
  </si>
  <si>
    <t>Device.Services.FAPService.{i}.CellConfig.{i}.NR.RAN.PHY.SiConfig.SystemInformationAreaId</t>
  </si>
  <si>
    <t>SystemInformationAreaId</t>
  </si>
  <si>
    <t>Si区域ID</t>
  </si>
  <si>
    <t>(0...65535)</t>
  </si>
  <si>
    <t>Device.Services.FAPService.{i}.CellConfig.{i}.NR.RAN.PHY.SiConfig.SchedulingInfoAllocationList.{i}.BroadcastStatus</t>
  </si>
  <si>
    <t>BroadcastStatus</t>
  </si>
  <si>
    <t>SI广播状态</t>
  </si>
  <si>
    <t>0:BroadCast
1:On-Demand 显示STRING类型</t>
  </si>
  <si>
    <t>Device.Services.FAPService.{i}.CellConfig.{i}.NR.RAN.PHY.SiConfig.SchedulingInfoAllocationList.{i}.Periodicity</t>
  </si>
  <si>
    <t>Periodicity</t>
  </si>
  <si>
    <t>Si周期</t>
  </si>
  <si>
    <t xml:space="preserve"> (0...65535)</t>
  </si>
  <si>
    <t>Device.Services.FAPService.{i}.CellConfig.{i}.NR.RAN.PHY.SiConfig.SchedulingInfoAllocationList.{i}.SibMap</t>
  </si>
  <si>
    <t>SibMap</t>
  </si>
  <si>
    <t>SiSib映射</t>
  </si>
  <si>
    <t>(0...255)最高位为SIB9，最低位为SIB2</t>
  </si>
  <si>
    <t>Device.Services.FAPService.{i}.CellConfig.{i}.NR.RAN.PHY.SiConfig.SchedulingInfoAllocationList.{i}.OnDemandTimes</t>
  </si>
  <si>
    <t>OnDemandTimes</t>
  </si>
  <si>
    <t>SI按需发送次数</t>
  </si>
  <si>
    <t xml:space="preserve"> (0...65535)只有在BroadcastStatus为On-Demand有效</t>
  </si>
  <si>
    <t>Device.Services.FAPService.{i}.CellConfig.{i}.NR.RAN.PHY.PDCCHConfig.SearchSpacesToAddModList.{i}.PdcchAggregationLevelAdaptionEnable</t>
  </si>
  <si>
    <t>PdcchAggregationLevelAdaptionEnable</t>
  </si>
  <si>
    <t>聚合等级链路自适应开关</t>
  </si>
  <si>
    <t>Device.Services.FAPService.{i}.CellConfig.{i}.NR.RAN.PHY.BWP.BWPDL.{i}.PDCCH..ControlResourceSetToAddModList.{i}.PrecoderGranularity</t>
  </si>
  <si>
    <t>PrecoderGranularity</t>
  </si>
  <si>
    <t xml:space="preserve">预编码器粒度 </t>
  </si>
  <si>
    <t>约束：{sameAsREG-bundle,allContiguousRBs}</t>
  </si>
  <si>
    <t>Device.Services.FAPService.{i}.CellConfig.{i}.NR.RAN.PHY.BWP.BWPDL.{i}.PDCCH..ControlResourceSetToAddModList.{i}.Duration</t>
  </si>
  <si>
    <t>Duration</t>
  </si>
  <si>
    <t>持续时间</t>
  </si>
  <si>
    <t>约束：（1..3）以CORESET表示的连续时间间隔</t>
  </si>
  <si>
    <t>Device.Services.FAPService.{i}.CellConfig.{i}.NR.RAN.PHY.BWP.BWPDL.{i}.PDCCH..ControlResourceSetToAddModList.{i}.RbStart</t>
  </si>
  <si>
    <t>RbStart</t>
  </si>
  <si>
    <t>起始RB</t>
  </si>
  <si>
    <t>约束：（1..273）表示PDCCH起始RB</t>
  </si>
  <si>
    <t>Device.Services.FAPService.{i}.CellConfig.{i}.NR.RAN.PHY.BWP.BWPDL.{i}.PDCCH..ControlResourceSetToAddModList.{i}.RbNumber</t>
  </si>
  <si>
    <t>RbNumber</t>
  </si>
  <si>
    <t>RB数量</t>
  </si>
  <si>
    <t>约束：（6..273）表示PDCCH占用的RB数量</t>
  </si>
  <si>
    <t>Device.Services.FAPService.{i}.CellConfig.{i}.NR.RAN.PHY.BWP.BWPUL.{i}.PRACH.NumberOfRaPreambles</t>
  </si>
  <si>
    <t>NumberOfRaPreambles</t>
  </si>
  <si>
    <t>Ra Preamble码个数</t>
  </si>
  <si>
    <t>约束：(Uint8)Preamble码个数，两属性之和为RachConfigCommon中指代的totalNumberOfRAPreambles值</t>
  </si>
  <si>
    <t>Device.Services.FAPService.{i}.CellConfig.{i}.NR.RAN.PHY.BWP.BWPUL.{i}.PRACH.NumberOfDedicatedPreambles</t>
  </si>
  <si>
    <t>NumberOfDedicatedPreambles</t>
  </si>
  <si>
    <t>非竞争随机接入premble个数</t>
  </si>
  <si>
    <t>Device.Services.FAPService.{i}.CellConfig.{i}.NR.RAN.PHY.BWP.BWPUL.{i}.PRACH.RaBackoffIndex</t>
  </si>
  <si>
    <t>RaBackoffIndex</t>
  </si>
  <si>
    <t>RA回退索引</t>
  </si>
  <si>
    <t>Byte</t>
  </si>
  <si>
    <t>约束：(Int8)</t>
  </si>
  <si>
    <t>Device.Services.FAPService.{i}.CellConfig.{i}.NR.RAN.PHY.BWP.BWPUL.{i}.PRACH.MaxHarqMsg3ReTx</t>
  </si>
  <si>
    <t>MaxHarqMsg3ReTx</t>
  </si>
  <si>
    <t>最大Msg3重传次数</t>
  </si>
  <si>
    <t>约束：(Uint8)</t>
  </si>
  <si>
    <t>Device.Services.FAPService.{i}.CellConfig.{i}.NR.RAN.PHY.BWP.BWPUL.{i}.PUSCHConfig.PUSCHPowerControl.P0AlphaSets.{i}.Alpha</t>
  </si>
  <si>
    <t>Alpha</t>
  </si>
  <si>
    <t>Alpha值</t>
  </si>
  <si>
    <t>取值范围{alpha0,alpha04,alpha05,alpha06,alpha07,alpha08,alpha09,alpha1}</t>
  </si>
  <si>
    <t>Device.Services.FAPService.{i}.CellConfig.{i}.NR.RAN.PHY.MAC.RachUlGrantSizeGroupB</t>
  </si>
  <si>
    <t>RachUlGrantSizeGroupB</t>
  </si>
  <si>
    <t>上行rach允许d的groupB大小</t>
  </si>
  <si>
    <t>Device.Services.FAPService.{i}.CellConfig.{i}.NR.RAN.PHY.MAC.LinkAdaptation.Reserved.McsForRar</t>
  </si>
  <si>
    <t>McsForRar</t>
  </si>
  <si>
    <t>Rar mcs</t>
  </si>
  <si>
    <t>约束：(1~15)</t>
  </si>
  <si>
    <t>Device.Services.FAPService.{i}.CellConfig.{i}.NR.RAN.PHY.MAC.LinkAdaptation.Reserved.McsForSIB1</t>
  </si>
  <si>
    <t>McsForSIB1</t>
  </si>
  <si>
    <t>SIB1的MCS</t>
  </si>
  <si>
    <t>Device.Services.FAPService.{i}.CellConfig.{i}.NR.RAN.PHY.MAC.LinkAdaptation.Reserved.McsForPaging</t>
  </si>
  <si>
    <t>McsForPaging</t>
  </si>
  <si>
    <t>寻呼MCS</t>
  </si>
  <si>
    <t>Device.Services.FAPService.{i}.CellConfig.{i}.NR.RAN.PHY.MAC.Ul.ListNumOfSR</t>
  </si>
  <si>
    <t>ListNumOfSR</t>
  </si>
  <si>
    <t>sr列表编号</t>
  </si>
  <si>
    <t>约束：(1~8)</t>
  </si>
  <si>
    <t>Device.Services.FAPService.{i}.CellConfig.{i}.NR.RAN.PHY.MAC.Ul.MaxHarqReTx</t>
  </si>
  <si>
    <t>MaxHarqReTx</t>
  </si>
  <si>
    <t>最大上行重传次数</t>
  </si>
  <si>
    <t>约束：(0~9)</t>
  </si>
  <si>
    <t>Device.Services.FAPService.{i}.CellConfig.{i}.NR.RAN.PHY.MAC.Ul.UlBoReportMsgLen</t>
  </si>
  <si>
    <t>UlBoReportMsgLen</t>
  </si>
  <si>
    <t>上行bo msg长度报告</t>
  </si>
  <si>
    <t>约束：(1~65535)</t>
  </si>
  <si>
    <t>Device.Services.FAPService.{i}.CellConfig.{i}.NR.RAN.PHY.MAC.Dl.MaxNumHarqReTxCcchDl</t>
  </si>
  <si>
    <t>MaxNumHarqReTxCcchDl</t>
  </si>
  <si>
    <t>最大下行CCCH重传次数</t>
  </si>
  <si>
    <t>Device.Services.FAPService.{i}.CellConfig.{i}.NR.RAN.PHY.MAC.Dl.MaxNumHarqReTxDcchDtchDl</t>
  </si>
  <si>
    <t>MaxNumHarqReTxDcchDtchDl</t>
  </si>
  <si>
    <t>最大下行重传次数</t>
  </si>
  <si>
    <t xml:space="preserve">Device.Services.FAPService.{i}.CellConfig.{i}.NR.RAN.PHY.MAC.Reserved.UlGrantNumPerTti </t>
  </si>
  <si>
    <t>UlGrantNumPerTti</t>
  </si>
  <si>
    <t>最大上行调度数目</t>
  </si>
  <si>
    <t>约束：0~14</t>
  </si>
  <si>
    <t xml:space="preserve">Device.Services.FAPService.{i}.CellConfig.{i}.NR.RAN.PHY.MAC.Reserved.DlGrantNumPerTti </t>
  </si>
  <si>
    <t>DlGrantNumPerTti</t>
  </si>
  <si>
    <t>最大下行调度数目</t>
  </si>
  <si>
    <t>Device.Services.FAPService.{i}.CellConfig.{i}.NR.RAN.PHY.MAC.Dl.DlMaxLayers</t>
  </si>
  <si>
    <t>DlMaxLayers</t>
  </si>
  <si>
    <t>dl层</t>
  </si>
  <si>
    <t>Device.Services.FAPService.{i}.CellConfig.{i}.NR.RAN.PHY.MAC.Dl.DlAntennas</t>
  </si>
  <si>
    <t>DlAntennas</t>
  </si>
  <si>
    <t>dl天线</t>
  </si>
  <si>
    <t>约束：(0~128)</t>
  </si>
  <si>
    <t>Device.Services.FAPService.{i}.CellConfig.{i}.NR.RAN.PHY.MAC.Ul.UlMaxLayers</t>
  </si>
  <si>
    <t>UlMaxLayers</t>
  </si>
  <si>
    <t>ul层</t>
  </si>
  <si>
    <t>约束：(1~4)</t>
  </si>
  <si>
    <t>Device.Services.FAPService.{i}.CellConfig.{i}.NR.RAN.PHY.MAC.Ul.UlAntennas</t>
  </si>
  <si>
    <t>UlAntennas</t>
  </si>
  <si>
    <t>ul天线</t>
  </si>
  <si>
    <t>Device.Services.FAPService.{i}.CellConfig.{i}.NR.RAN.PHY.MAC.Ul.PucchResource0Fmt</t>
  </si>
  <si>
    <t>PucchResource0Fmt</t>
  </si>
  <si>
    <t>pucch资源0</t>
  </si>
  <si>
    <t>约束：(pucch-format0， pucch-format1)</t>
  </si>
  <si>
    <t>Device.Services.FAPService.{i}.CellConfig.{i}.NR.RAN.PHY.MAC.Ul.PucchResource1Fmt</t>
  </si>
  <si>
    <t>PucchResource1Fmt</t>
  </si>
  <si>
    <t>pucch资源1</t>
  </si>
  <si>
    <t>约束：(pucch-format2， pucch-format3)</t>
  </si>
  <si>
    <t>Device.Services.FAPService.{i}.CellConfig.{i}.NR.RAN.PHY.RfConfig.FrequencyInfoDl.AbsoluteFrequencySSB</t>
  </si>
  <si>
    <t>AbsoluteFrequencySSB</t>
  </si>
  <si>
    <t>ssb频率绝对值</t>
  </si>
  <si>
    <t>约束：(Uint32)</t>
  </si>
  <si>
    <t>Device.Services.FAPService.{i}.CellConfig.{i}.NR.RAN.PHY.MAC.Dl.PdschMcsTable</t>
  </si>
  <si>
    <t>PdschMcsTable</t>
  </si>
  <si>
    <t>pdsch调制方式</t>
  </si>
  <si>
    <t>约束：(qam64，qam256，qam64LowSE)</t>
  </si>
  <si>
    <t>Device.Services.FAPService.{i}.CellConfig.{i}.NR.RAN.PHY.MAC.Dl.PowerAllocation.PowerControlOffsetSS</t>
  </si>
  <si>
    <t>PowerControlOffsetSS</t>
  </si>
  <si>
    <t>功率控制偏移比</t>
  </si>
  <si>
    <t>约束：(db-3,db0,db3.db6)</t>
  </si>
  <si>
    <t>Device.Services.FAPService.{i}.CellConfig.{i}.NR.RAN.PHY.MAC.Dl.PowerAllocation.PdcchDynamicPowerAllocationEnabled</t>
  </si>
  <si>
    <t>PdcchDynamicPowerAllocationEnable</t>
  </si>
  <si>
    <t>下行控制信道功率控制开关</t>
  </si>
  <si>
    <t>Device.Services.FAPService.{i}.CellConfig.{i}.NR.RAN.PHY.MAC.Dl.PowerAllocation.PdschDynamicPowerAllocationEnabled</t>
  </si>
  <si>
    <t>PdschDynamicPowerAllocationEnable</t>
  </si>
  <si>
    <t>下行共享信道功率控制开关</t>
  </si>
  <si>
    <t>Device.Services.FAPService.{i}.CellConfig.{i}.NR.RAN.PHY.MAC.Dl.PDSCHServingCellConfig.CodeBlockGroupTransmission.MaxCodeBlockGroupsPerTransportBlock</t>
  </si>
  <si>
    <t>MaxCodeBlockGroupsPerTransportBlock</t>
  </si>
  <si>
    <t>最大码块</t>
  </si>
  <si>
    <t>约束：(0~8)</t>
  </si>
  <si>
    <t>Device.Services.FAPService.{i}.CellConfig.{i}.NR.RAN.PHY.MAC.Dl.PDSCHServingCellConfig.CodeBlockGroupTransmission.CodeBlockGroupFlushIndicator</t>
  </si>
  <si>
    <t>CodeBlockGroupFlushIndicator</t>
  </si>
  <si>
    <t>码块指示器</t>
  </si>
  <si>
    <t>Device.Services.FAPService.{i}.CellConfig.{i}.NR.RAN.PHY.MAC.Dl.DlFreqSelectScheduling</t>
  </si>
  <si>
    <t>DlFreqSelectScheduling</t>
  </si>
  <si>
    <t>下行频选调度开关</t>
  </si>
  <si>
    <t>Device.Services.FAPService.{i}.CellConfig.{i}.NR.RAN.PHY.MAC.Ul.PeriodicBsrTimer</t>
  </si>
  <si>
    <t>PeriodicBsrTimer</t>
  </si>
  <si>
    <t>周期性BSR计时器</t>
  </si>
  <si>
    <t>约束：(sf1, sf5, sf10, sf16, sf20, sf32, sf40, sf64, sf80, sf128, sf160, sf320, sf640, sf1280, sf2560, infinity)</t>
  </si>
  <si>
    <t>Device.Services.FAPService.{i}.CellConfig.{i}.NR.RAN.PHY.MAC.Ul.RetxBsrTimer</t>
  </si>
  <si>
    <t>RetxBsrTimer</t>
  </si>
  <si>
    <t>Retx BSR计时器</t>
  </si>
  <si>
    <t>约束：(sf10240, sf5120, sf2560, sf1280, sf640, sf320, sf160, sf80, sf40, sf20, sf10)</t>
  </si>
  <si>
    <t>Device.Services.FAPService.{i}.CellConfig.{i}.NR.RAN.PHY.PowerControl.PhrEnable</t>
  </si>
  <si>
    <t>PhrEnable</t>
  </si>
  <si>
    <t>PHR开启</t>
  </si>
  <si>
    <t>Device.Services.FAPService.{i}.CellConfig.{i}.NR.RAN.PHY.PowerControl.PeriodicPhrTimer</t>
  </si>
  <si>
    <t>PeriodicPhrTimer</t>
  </si>
  <si>
    <t>周期性PHR计时器</t>
  </si>
  <si>
    <t>约束：(sf10, sf20, sf50, sf100, sf200, sf500, sf1000, infinity)</t>
  </si>
  <si>
    <t>Device.Services.FAPService.{i}.CellConfig.{i}.NR.RAN.PHY.PowerControl.ProhibitPhrTimer</t>
  </si>
  <si>
    <t>ProhibitPhrTimer</t>
  </si>
  <si>
    <t>禁止PHR计时器</t>
  </si>
  <si>
    <t>约束：(sf0, sf10, sf20, sf50, sf100, sf200, sf500, sf1000)</t>
  </si>
  <si>
    <t>Device.Services.FAPService.{i}.CellConfig.{i}.NR.RAN.PHY.PowerControl.PhrTxPowerFactor</t>
  </si>
  <si>
    <t>PhrTxPowerFactor</t>
  </si>
  <si>
    <t>为PHR路损变化门限</t>
  </si>
  <si>
    <t>约束：(b1, b3, b6, infinity)</t>
  </si>
  <si>
    <t>Device.Services.FAPService.{i}.CellConfig.{i}.NR.RAN.PHY.SrsConfig.SrsEnable</t>
  </si>
  <si>
    <t>SrsEnable</t>
  </si>
  <si>
    <t>SRS使能</t>
  </si>
  <si>
    <t>Device.Services.FAPService.{i}.CellConfig.{i}.NR.RAN.PHY.BWP.BWPUL.{i}.SrsConfig.Config.{i}.ResourceType</t>
  </si>
  <si>
    <t>ResourceType</t>
  </si>
  <si>
    <t>SRS资源类型</t>
  </si>
  <si>
    <t>约束：(periodic，aperiodic，semi-persistent)</t>
  </si>
  <si>
    <t>Device.Services.FAPService.{i}.CellConfig.{i}.NR.RAN.PHY.BWP.BWPUL.{i}.SrsConfig.Config.{i}.TransComb</t>
  </si>
  <si>
    <t>TransComb</t>
  </si>
  <si>
    <t>SRS频域密度</t>
  </si>
  <si>
    <t>约束：(2,4)</t>
  </si>
  <si>
    <t>Device.Services.FAPService.{i}.CellConfig.{i}.NR.RAN.PHY.BWP.BWPUL.{i}.SrsConfig.Config.{i}.NrofSymbols</t>
  </si>
  <si>
    <t>NrofSymbols</t>
  </si>
  <si>
    <t>SRS符号数量</t>
  </si>
  <si>
    <t>约束：(1,2,4)</t>
  </si>
  <si>
    <t>Device.Services.FAPService.{i}.CellConfig.{i}.NR.RAN.PHY.BWP.BWPUL.{i}.SrsConfig.Config.{i}.RepetitionFactor</t>
  </si>
  <si>
    <t>RepetitionFactor</t>
  </si>
  <si>
    <t>SRS重复因子</t>
  </si>
  <si>
    <t>Device.Services.FAPService.{i}.CellConfig.{i}.NR.RAN.PHY.BWP.BWPUL.{i}.SrsConfig.Config.{i}.CycleShift</t>
  </si>
  <si>
    <t>CycleShift</t>
  </si>
  <si>
    <t>SRS循环位移</t>
  </si>
  <si>
    <t>约束：(0~11)</t>
  </si>
  <si>
    <t>Device.Services.FAPService.{i}.CellConfig.{i}.NR.RAN.PHY.BWP.BWPUL.{i}.SrsConfig.Config.{i}.C_SRS</t>
  </si>
  <si>
    <t>C_SRS</t>
  </si>
  <si>
    <t>约束：(0~63)</t>
  </si>
  <si>
    <t>Device.Services.FAPService.{i}.CellConfig.{i}.NR.RAN.PHY.BWP.BWPUL.{i}.SrsConfig.Config.{i}.B_SRS</t>
  </si>
  <si>
    <t>B_SRS</t>
  </si>
  <si>
    <t>约束：(0~3)</t>
  </si>
  <si>
    <t>Device.Services.FAPService.{i}.CellConfig.{i}.NR.RAN.PHY.BWP.BWPUL.{i}.SrsConfig.Config.{i}.B_hop</t>
  </si>
  <si>
    <t>B_hop</t>
  </si>
  <si>
    <t>b_hop</t>
  </si>
  <si>
    <t>Device.Services.FAPService.{i}.CellConfig.{i}.NR.RAN.PHY.BWP.BWPUL.{i}.SrsConfig.Config.{i}.GroupOrSequenceHopping</t>
  </si>
  <si>
    <t>GroupOrSequenceHopping</t>
  </si>
  <si>
    <t>SRS跳频配置</t>
  </si>
  <si>
    <t>约束：(neither，groupHopping，sequenceHopping)</t>
  </si>
  <si>
    <t>Device.Services.FAPService.{i}.CellConfig.{i}.NR.RAN.PHY.BWP.BWUL.{i}.SrsConfig.Config.{i}.Period</t>
  </si>
  <si>
    <t>SrsPeriod</t>
  </si>
  <si>
    <t>SRS周期</t>
  </si>
  <si>
    <t>约束：(sl10,sl20,sl40,sl80,sl160,sl320,s640,sl1280,sl2560)</t>
  </si>
  <si>
    <t>Device.Services.FAPService.{i}.CellConfig.{i}.NR.RAN.PHY.BWP.BWPUL.{i}.SrsConfig.SrsP0</t>
  </si>
  <si>
    <t>SrsP0</t>
  </si>
  <si>
    <t>SrsP0值</t>
  </si>
  <si>
    <t>short</t>
  </si>
  <si>
    <t>约束：只取偶数[-202,24]</t>
  </si>
  <si>
    <t>Device.Services.FAPService.{i}.CellConfig.{i}.NR.RAN.PHY.MAC.Ul.PuschMcsTable</t>
  </si>
  <si>
    <t>PuschMcsTable</t>
  </si>
  <si>
    <t>pusch调制方式</t>
  </si>
  <si>
    <t>约束：(qam64, qam256, qam64LowSE)</t>
  </si>
  <si>
    <t>Device.Services.FAPService.{i}.CellConfig.{i}.NR.RAN.PHY.TimeAlignmentTimerCommon</t>
  </si>
  <si>
    <t>TimeAlignmentTimerCommon</t>
  </si>
  <si>
    <t>上行TA定时器</t>
  </si>
  <si>
    <t>上行TA定时器,Enumerate{ms500, ms750, ms1280, ms1920, ms2560, ms5120, ms10240, infinity}</t>
  </si>
  <si>
    <t>Device.Services.FAPService.{i}.CellConfig.{i}.NR.RAN.PHY.PhysicalCellGroupConfig.PdschHarqAckCodebook</t>
  </si>
  <si>
    <t>PdschHarqAckCodebook</t>
  </si>
  <si>
    <t>PDSCH HACK码本类型</t>
  </si>
  <si>
    <t>约束：(semiStatic，dynamic)</t>
  </si>
  <si>
    <t>Device.Services.FAPService.{i}.CellConfig.{i}.NR.RAN.PHY.BWP.BWPUL.{i}.ConfiguredGrantConfig.PowerControlLoopToUse</t>
  </si>
  <si>
    <t>PowerControlLoopToUse</t>
  </si>
  <si>
    <t>PUSCH免授权和SPS时功率调整因子索引</t>
  </si>
  <si>
    <t>PUSCH免授权和SPS时f(i)索引,ENUMERATED {1:n0, 2:n1},</t>
  </si>
  <si>
    <t xml:space="preserve">Device.Services.FAPService.{i}.CellConfig.{i}.NR.RAN.PHY.BWP.BWPUL.{i}.UlBWPId </t>
  </si>
  <si>
    <t>UlBWPId</t>
  </si>
  <si>
    <t>上行BWP标识符</t>
  </si>
  <si>
    <t>unsignedInt[0:4,0x00000FFF]</t>
  </si>
  <si>
    <t>取值范围：{0~4, 0x00000FFF}</t>
  </si>
  <si>
    <t>Device.Services.FAPService.{i}.CellConfig.{i}.NR.RAN.PHY.BWP.BWPUL.{i}.StartPrbPosition</t>
  </si>
  <si>
    <t>StartPrbPosition</t>
  </si>
  <si>
    <t>起始PRB位置（上行）</t>
  </si>
  <si>
    <t>unsignedInt[0:273]</t>
  </si>
  <si>
    <t>配置BWP的起始RB位置。
取值范围：[0~273]</t>
  </si>
  <si>
    <t>Device.Services.FAPService.{i}.CellConfig.{i}.NR.RAN.PHY.BWP.BWPUL.{i}.Bandwidth</t>
  </si>
  <si>
    <t>Bandwidth</t>
  </si>
  <si>
    <t>BWP带宽（上行）</t>
  </si>
  <si>
    <t>unsignedInt[5,10,15,20,25,30,40,50,60,80,90,100]</t>
  </si>
  <si>
    <t>配置BWP的带宽。
取值范围：{5,10,15,20,25,30,40,50,60,80,90,100}MHz</t>
  </si>
  <si>
    <t>Device.Services.FAPService.{i}.CellConfig.{i}.NR.RAN.PHY.BWP.BWPUL.{i}.SubcarrierSpacing</t>
  </si>
  <si>
    <t>BWP子载波间隔（上行）</t>
  </si>
  <si>
    <t xml:space="preserve">取值范围：{0, 1, 2, 3, 4}
0代表kHz15，1代表kHz30，2代表kHz60，3代表kHz120，4代表kHz240.
</t>
  </si>
  <si>
    <t>Device.Services.FAPService.{i}.CellConfig.{i}.NR.RAN.PHY.BWP.BWPUL.{i}.CyclicPrefix</t>
  </si>
  <si>
    <t>CyclicPrefix</t>
  </si>
  <si>
    <t>循环前缀（上行）</t>
  </si>
  <si>
    <t>配置CP长度，取值范围{normal，extended}</t>
  </si>
  <si>
    <t>Device.Services.FAPService.{i}.CellConfig.{i}.NR.RAN.PHY.BWP.BWPUL.{i}.RACHConfigGeneric.PrachConfigurationIndex</t>
  </si>
  <si>
    <t>PrachConfigurationIndex</t>
  </si>
  <si>
    <t>PRACH时域配置</t>
  </si>
  <si>
    <t xml:space="preserve">Device.Services.FAPService.{i}.CellConfig.{i}.NR.RAN.PHY.BWP.BWPUL.{i}.RACHConfigGeneric.Msg1FDM </t>
  </si>
  <si>
    <t xml:space="preserve">Msg1FDM </t>
  </si>
  <si>
    <t>PRACH频域资源个数</t>
  </si>
  <si>
    <t xml:space="preserve">取值范围：[0,1,2,3]
分别对应{one, two, four, eight}
</t>
  </si>
  <si>
    <t>Device.Services.FAPService.{i}.CellConfig.{i}.NR.RAN.PHY.BWP.BWPUL.{i}.RACHConfigGeneric.Msg1FrequencyStart</t>
  </si>
  <si>
    <t>Msg1FrequencyStart</t>
  </si>
  <si>
    <t>PRACH频域起始位置</t>
  </si>
  <si>
    <t>unsignedInt[0:274]</t>
  </si>
  <si>
    <t>取值范围：[0~274]</t>
  </si>
  <si>
    <t>Device.Services.FAPService.{i}.CellConfig.{i}.NR.RAN.PHY.BWP.BWPUL.{i}.RACHConfigGeneric.ZeroCorrelationZoneConfig</t>
  </si>
  <si>
    <t>ZeroCorrelationZoneConfig</t>
  </si>
  <si>
    <t>Ncs值</t>
  </si>
  <si>
    <t>取值范围：[0~15]</t>
  </si>
  <si>
    <t>Device.Services.FAPService.{i}.CellConfig.{i}.NR.RAN.PHY.BWP.BWPUL.{i}.RACHConfigGeneric.PreambleReceivedTargetPower</t>
  </si>
  <si>
    <t>PreambleReceivedTargetPower</t>
  </si>
  <si>
    <t>前导目标接收功率</t>
  </si>
  <si>
    <t>int[-204,-60]</t>
  </si>
  <si>
    <t>取值范围：[-202 ~ -60]</t>
  </si>
  <si>
    <t>Device.Services.FAPService.{i}.CellConfig.{i}.NR.RAN.PHY.BWP.BWPUL.{i}.RACHConfigGeneric.PreambleTransMax</t>
  </si>
  <si>
    <t>PreambleTransMax</t>
  </si>
  <si>
    <t>最大前导发送次数</t>
  </si>
  <si>
    <t>unsignedInt[0:10]</t>
  </si>
  <si>
    <t xml:space="preserve">取值范围：[0,1,2,3,4,5,6,7,8,9,10]
分别对应{n3, n4, n5, n6, n7, n8, n10, n20, n50, n100, n200}
</t>
  </si>
  <si>
    <t>Device.Services.FAPService.{i}.CellConfig.{i}.NR.RAN.PHY.BWP.BWPUL.{i}.RACHConfigGeneric.PowerRampingStep</t>
  </si>
  <si>
    <t>PowerRampingStep</t>
  </si>
  <si>
    <t>前导功率抬升步长</t>
  </si>
  <si>
    <t xml:space="preserve">取值范围：[0,1,2,3]
分别对应{dB0, dB2, dB4, dB6}
</t>
  </si>
  <si>
    <t>Device.Services.FAPService.{i}.CellConfig.{i}.NR.RAN.PHY.BWP.BWPUL.{i}.RACHConfigGeneric.RaResponseWindow</t>
  </si>
  <si>
    <t>RaResponseWindow</t>
  </si>
  <si>
    <t>RAR窗长</t>
  </si>
  <si>
    <t xml:space="preserve">取值范围：[0,1,2,3,4,5,6,7]
分别对应{sl1, sl2, sl4, sl8, sl10, sl20, sl40, sl80}
</t>
  </si>
  <si>
    <t>Device.Services.FAPService.{i}.CellConfig.{i}.NR.RAN.PHY.BWP.BWPUL.{i}.RACHConfigCommon.TotalNumberOfRAPreambles</t>
  </si>
  <si>
    <t xml:space="preserve">TotalNumberOfRAPreambles </t>
  </si>
  <si>
    <t>Preamble码个数</t>
  </si>
  <si>
    <t>unsignedInt[1:63,0x00000FFF]</t>
  </si>
  <si>
    <t xml:space="preserve">取值范围：[1~63,0x00000FFF]
0x00000FFF表示无效
</t>
  </si>
  <si>
    <t>Device.Services.FAPService.{i}.CellConfig.{i}.NR.RAN.PHY.BWP.BWPUL.{i}.RACHConfigCommon.SSBPerRACHOccasionChoice</t>
  </si>
  <si>
    <t>SSBPerRACHOccasionChoice</t>
  </si>
  <si>
    <t>PRACH对应SSB个数</t>
  </si>
  <si>
    <t>unsignedInt[0:7,0x0000000F]</t>
  </si>
  <si>
    <t xml:space="preserve">PRACH对应SSB个数，控制CBPreamblesPerSSB的选择范围，取值范围：[0~7, 0x0F]
分别对应{oneEighth, oneFourth, oneHalf, one, two, four, eight, sisteen}
0x0000000F表示无效
</t>
  </si>
  <si>
    <t>Device.Services.FAPService.{i}.CellConfig.{i}.NR.RAN.PHY.BWP.BWPUL.{i}.RACHConfigCommon.CBPreamblesPerSSB</t>
  </si>
  <si>
    <t>CBPreamblesPerSSB</t>
  </si>
  <si>
    <t>SSB对应前导码个数</t>
  </si>
  <si>
    <t xml:space="preserve">SSB对应前导码个数，1）SSBPerRACHOccasionChoice=0时，取值范围：[0~15]，对应{n4,n8,n12,n16,n20,n24,n28,n32,n36,n40,n44,n48,n52,n56,n60,n64}；
2）SSBPerRACHOccasionChoice=1时，取值范围：[0~15]，对应{n4,n8,n12,n16,n20,n24,n28,n32,n36,n40,n44,n48,n52,n56,n60,n64}；
3）SSBPerRACHOccasionChoice=2时，取值范围：[0~15]，对应{n4,n8,n12,n16,n20,n24,n28,n32,n36,n40,n44,n48,n52,n56,n60,n64}；
4）SSBPerRACHOccasionChoice=3时，取值范围：[0~15]，对应{n4,n8,n12,n16,n20,n24,n28,n32,n36,n40,n44,n48,n52,n56,n60,n64}；
</t>
  </si>
  <si>
    <t>Device.Services.FAPService.{i}.CellConfig.{i}.NR.RAN.PHY.BWP.BWPUL.{i}.RACHConfigCommon.RaMsg3SizeGroupA</t>
  </si>
  <si>
    <t xml:space="preserve">RaMsg3SizeGroupA </t>
  </si>
  <si>
    <t>Msg3 GroupA大小门限</t>
  </si>
  <si>
    <t>unsignedInt[0:9]</t>
  </si>
  <si>
    <t xml:space="preserve">取值范围：[0~9]
分别对应{ b56, b144, b208, b256, b282, b480, b640, b800, b1000,b72}
</t>
  </si>
  <si>
    <t>Device.Services.FAPService.{i}.CellConfig.{i}.NR.RAN.PHY.BWP.BWPUL.{i}.RACHConfigCommon.MessagePowerOffsetGroupB</t>
  </si>
  <si>
    <t xml:space="preserve">MessagePowerOffsetGroupB </t>
  </si>
  <si>
    <t>Preamble码选择门限值</t>
  </si>
  <si>
    <t xml:space="preserve">取值范围：[0~7]
分别对应{ minusinfinity, dB0, dB5, dB8, dB10, dB12, dB15, dB18}
</t>
  </si>
  <si>
    <t>Device.Services.FAPService.{i}.CellConfig.{i}.NR.RAN.PHY.BWP.BWPUL.{i}.RACHConfigCommon.NumberOfRAPreamblesGroupA</t>
  </si>
  <si>
    <t xml:space="preserve">NumberOfRAPreamblesGroupA </t>
  </si>
  <si>
    <t>GroupA中Preamble码个数</t>
  </si>
  <si>
    <t>INTEGER (1..64)</t>
  </si>
  <si>
    <t>Device.Services.FAPService.{i}.CellConfig.{i}.NR.RAN.PHY.BWP.BWPUL.{i}.RACHConfigCommon.RaContentionResolutionTimer</t>
  </si>
  <si>
    <t xml:space="preserve">RaContentionResolutionTimer </t>
  </si>
  <si>
    <t>随机接入竞争窗长</t>
  </si>
  <si>
    <t xml:space="preserve">取值范围：[0~7]
分别对应{ sf8, sf16, sf24, sf32, sf40, sf48, sf56, sf64}
</t>
  </si>
  <si>
    <t>Device.Services.FAPService.{i}.CellConfig.{i}.NR.RAN.PHY.BWP.BWPUL.{i}.RACHConfigCommon.RsrpThresholdSSB</t>
  </si>
  <si>
    <t xml:space="preserve">RsrpThresholdSSB </t>
  </si>
  <si>
    <t>随机接入SSB RSRP门限</t>
  </si>
  <si>
    <t>unsignedInt[0:127, 0x00000FFF]</t>
  </si>
  <si>
    <t xml:space="preserve">取值范围：[0~127, 0x00000FFF]
0x00000FFF表示无效
</t>
  </si>
  <si>
    <t>Device.Services.FAPService.{i}.CellConfig.{i}.NR.RAN.PHY.BWP.BWPUL.{i}.RACHConfigCommon.RootType</t>
  </si>
  <si>
    <t>RootType</t>
  </si>
  <si>
    <t>根序列类型</t>
  </si>
  <si>
    <t xml:space="preserve">控制RootSequenceIndex范围。
取值范围：[0,1]
分别代表{ l839，l139}
</t>
  </si>
  <si>
    <t>Device.Services.FAPService.{i}.CellConfig.{i}.NR.RAN.PHY.BWP.BWPUL.{i}.RACHConfigCommon.RootSequenceIndex</t>
  </si>
  <si>
    <t>RootSequenceIndex</t>
  </si>
  <si>
    <t>根序列索引</t>
  </si>
  <si>
    <t>unsignedInt[0:837]</t>
  </si>
  <si>
    <t xml:space="preserve">RootType=0时，取值范围为：[0~837]；
RootType=1时，取值范围为：[0~137]；
</t>
  </si>
  <si>
    <t>Device.Services.FAPService.{i}.CellConfig.{i}.NR.RAN.PHY.BWP.BWPUL.{i}.RACHConfigCommon.Msg1SubcarrierSpacing</t>
  </si>
  <si>
    <t>Msg1SubcarrierSpacing</t>
  </si>
  <si>
    <t>msg1子载波间隔</t>
  </si>
  <si>
    <t>unsignedInt[0:4,0x0000000F]</t>
  </si>
  <si>
    <t xml:space="preserve">子载波间隔
取值范围：{0, 1, 2, 3, 4，0x0000000F}
0代表kHz15，1代表kHz30，2代表kHz60，3代表kHz120，4代表kHz240,0x0000000F代表不存在。
</t>
  </si>
  <si>
    <t>Device.Services.FAPService.{i}.CellConfig.{i}.NR.RAN.PHY.BWP.BWPUL.{i}.RACHConfigCommon.RestrictedSetConfig</t>
  </si>
  <si>
    <t>RestrictedSetConfig</t>
  </si>
  <si>
    <t>限制集配置参数</t>
  </si>
  <si>
    <t xml:space="preserve">取值范围：{0, 1, 2}
分别对应{ unrestrictedSet, restrictedSetTypeA, restrictedSetTypeB }
</t>
  </si>
  <si>
    <t>Device.Services.FAPService.{i}.CellConfig.{i}.NR.RAN.PHY.BWP.BWPUL.{i}.RACHConfigCommon.Msg3TransformPrecoder</t>
  </si>
  <si>
    <t>Msg3Transform Precoder</t>
  </si>
  <si>
    <t>Msg3预编码</t>
  </si>
  <si>
    <t xml:space="preserve">取值范围：{0, 1}
0表示无效；1表示enabled；
</t>
  </si>
  <si>
    <t xml:space="preserve">Device.Services.FAPService.{i}.CellConfig.{i}.NR.RAN.PHY.BWP.BWPUL.{i}.PUSCH.UlDmrsMaxLength   </t>
  </si>
  <si>
    <t xml:space="preserve">UlDmrsMaxLength   </t>
  </si>
  <si>
    <t>上行行DMRS最大符号长度</t>
  </si>
  <si>
    <t>取值范围：{1, 2}</t>
  </si>
  <si>
    <t>Device.Services.FAPService.{i}.CellConfig.{i}.NR.RAN.PHY.BWP.BWPUL.{i}.PUSCH.UlAdditionalDmrsPos</t>
  </si>
  <si>
    <t>UlAdditionalDmrsPos</t>
  </si>
  <si>
    <t>上行Additional DMRS位置</t>
  </si>
  <si>
    <t>取值范围:{0,1,2，3}</t>
  </si>
  <si>
    <t>Device.Services.FAPService.{i}.CellConfig.{i}.NR.RAN.PHY.BWP.BWPUL.{i}.PUSCH.UlTimeAlignmentTimer</t>
  </si>
  <si>
    <t>UlTimeAlignmentTimer</t>
  </si>
  <si>
    <t>上行时间对齐定时器</t>
  </si>
  <si>
    <t>该参数表示UE上行时间对齐的定时器长度，该定时器超时，则认为UE上行失步。字符串取值 {ms500, ms750, ms1280, ms1920, ms2560, ms5120, ms10240, infinity}</t>
  </si>
  <si>
    <t>Device.Services.FAPService.{i}.CellConfig.{i}.NR.RAN.PHY.BWP.BWPUL.{i}.PUSCHPowerControl.DeltaMCS</t>
  </si>
  <si>
    <t>DeltaMCS</t>
  </si>
  <si>
    <t>MCS功率补偿</t>
  </si>
  <si>
    <t>取值范围：{1,2}</t>
  </si>
  <si>
    <t>Device.Services.FAPService.{i}.CellConfig.{i}.NR.RAN.PHY.BWP.BWPUL.{i}.PUSCHConfigCommon.GroupHoppingEnabledTransformPrecoding</t>
  </si>
  <si>
    <t>GroupHoppingEnabledTransformPrecoding</t>
  </si>
  <si>
    <t>序列组跳频开关</t>
  </si>
  <si>
    <t>Device.Services.FAPService.{i}.CellConfig.{i}.NR.RAN.PHY.BWP.BWPUL.{i}.PUSCHTimeDomainAllocationList.{i}.K2</t>
  </si>
  <si>
    <t>K2</t>
  </si>
  <si>
    <t>PDCCH到PUSCH调度延迟</t>
  </si>
  <si>
    <t>unsignedInt[0:32, 0x00000FFF]</t>
  </si>
  <si>
    <t xml:space="preserve">取值范围：{0~32, 0x00000FFF}
0x00000FFF表示无效；
i取值最大16
</t>
  </si>
  <si>
    <t>Device.Services.FAPService.{i}.CellConfig.{i}.NR.RAN.PHY.BWP.BWPUL.{i}.PUSCHTimeDomainAllocationList.{i}.MappingType</t>
  </si>
  <si>
    <t>MappingType</t>
  </si>
  <si>
    <t>PUSCH映射类型</t>
  </si>
  <si>
    <t>取值范围：{0,1}
分别对应{ typeA, typeB }；
i取值最大16</t>
  </si>
  <si>
    <t>Device.Services.FAPService.{i}.CellConfig.{i}.NR.RAN.PHY.BWP.BWPUL.{i}.PUSCHTimeDomainAllocationList.{i}.StartSymbolAndLength</t>
  </si>
  <si>
    <t>StartSymbolAndLength</t>
  </si>
  <si>
    <t>PUSCH起始符号和长度</t>
  </si>
  <si>
    <t>取值范围：{0~127}
i取值最大16</t>
  </si>
  <si>
    <t>Device.Services.FAPService.{i}.CellConfig.{i}.NR.RAN.PHY.BWP.BWPUL.{i}.PUSCHConfigCommon.Msg3DeltaPreamble</t>
  </si>
  <si>
    <t xml:space="preserve">Msg3DeltaPreamble </t>
  </si>
  <si>
    <t>MSG3与preamble之间发送功率的偏移值</t>
  </si>
  <si>
    <t>int[-1,6,0x00000FFF]</t>
  </si>
  <si>
    <t xml:space="preserve">取值范围：{-1~6,0x00000FFF}
0x00000FFF表示无效；
</t>
  </si>
  <si>
    <t>Device.Services.FAPService.{i}.CellConfig.{i}.NR.RAN.PHY.BWP.BWPUL.{i}.PUSCHConfigCommon.P0NominalWithGrant</t>
  </si>
  <si>
    <t>P0NominalWithGrant</t>
  </si>
  <si>
    <t>PUSCH功率值P0</t>
  </si>
  <si>
    <t>int[-204,24,0x00000FFF]</t>
  </si>
  <si>
    <t xml:space="preserve">取值范围：{-202~24,0x00000FFF}
0x00000FFF表示无效；
</t>
  </si>
  <si>
    <t>Device.Services.FAPService.{i}.CellConfig.{i}.NR.RAN.PHY.BWP.BWPUL.{i}.PUSCHPowerControl.P0NominalWithoutGrant</t>
  </si>
  <si>
    <t>P0NominalWithoutGrant</t>
  </si>
  <si>
    <t>免授权或SPS调度时PUSCH小区级的期望接收功率</t>
  </si>
  <si>
    <t>int[-202:24]</t>
  </si>
  <si>
    <t>免授权或SPS调度时PUSCH小区级的期望接收功率,单位dBm</t>
  </si>
  <si>
    <t>Device.Services.FAPService.{i}.CellConfig.{i}.NR.RAN.PHY.BWP.BWPUL.{i}.PUSCHPowerControl.Msg3Alpha</t>
  </si>
  <si>
    <t>Msg3Alpha</t>
  </si>
  <si>
    <t>MSG3时的路损补偿因子</t>
  </si>
  <si>
    <t>该参数用于设置MSG3场景时的路损补偿因子，字符串取值： {alpha0, alpha04, alpha05, alpha06, alpha07, alpha08, alpha09, alpha1}</t>
  </si>
  <si>
    <t>Device.Services.FAPService.{i}.CellConfig.{i}.NR.RAN.PHY.BWP.BWPUL.{i}.PUSCHPowerControl.TwoPUSCHPCAdjustmentStates</t>
  </si>
  <si>
    <t>TwoPUSCHPCAdjustmentStates</t>
  </si>
  <si>
    <t>PUSCH功率调整因子类型</t>
  </si>
  <si>
    <t xml:space="preserve">该参数用于设置PUSCH功率调整因子类型。当需要同时具备两种功率调整因子，则配置twoStates；当只需一种调整因子,则配置onestate。       ENUMERATED {oneState,twoStates}  </t>
  </si>
  <si>
    <t>Device.Services.FAPService.{i}.CellConfig.{i}.NR.RAN.PHY.BWP.BWPUL.{i}.PUCCH.PucchRBNum</t>
  </si>
  <si>
    <t>PucchRBNum</t>
  </si>
  <si>
    <t>长格式PUCCH的RB个数</t>
  </si>
  <si>
    <t>Device.Services.FAPService.{i}.CellConfig.{i}.NR.RAN.PHY.BWP.BWPUL.{i}.PUCCHConfigCommon.PucchResourceCommon</t>
  </si>
  <si>
    <t>PucchResourceCommon</t>
  </si>
  <si>
    <t>PUCCH公共资源</t>
  </si>
  <si>
    <t>unsignedInt[0:15,0x00000FFF]</t>
  </si>
  <si>
    <t xml:space="preserve">取值范围：[0~15,0x00000FFF]
0x00000FFF表示无效
</t>
  </si>
  <si>
    <t>Device.Services.FAPService.{i}.CellConfig.{i}.NR.RAN.PHY.BWP.BWPUL.{i}.PUCCHConfigCommon.PucchGroupHopping</t>
  </si>
  <si>
    <t>PucchGroupHopping</t>
  </si>
  <si>
    <t>PUCCH组跳频开关</t>
  </si>
  <si>
    <t xml:space="preserve">取值范围：[0~2]
分别对应{ neither, enable, disable }
</t>
  </si>
  <si>
    <t>Device.Services.FAPService.{i}.CellConfig.{i}.NR.RAN.PHY.BWP.BWPUL.{i}.PUCCHConfigCommon.HoppingId</t>
  </si>
  <si>
    <t>HoppingId</t>
  </si>
  <si>
    <t>PUCCH加扰ID</t>
  </si>
  <si>
    <t>unsignedInt[0:1023,0x00000FFF]</t>
  </si>
  <si>
    <t xml:space="preserve">取值范围：[0~1023,0x00000FFF]
0x00000FFF表示无效
</t>
  </si>
  <si>
    <t>Device.Services.FAPService.{i}.CellConfig.{i}.NR.RAN.PHY.BWP.BWPUL.{i}.PUCCHConfigCommon.P0nominal</t>
  </si>
  <si>
    <t>P0nominal</t>
  </si>
  <si>
    <t>PUCCH功率值P0</t>
  </si>
  <si>
    <t>int[-202:24, 0x00000FFF]</t>
  </si>
  <si>
    <t xml:space="preserve">取值范围：[-202~24, 0x00000FFF]
0x00000FFF表示无效
</t>
  </si>
  <si>
    <t>Device.Services.FAPService.{i}.CellConfig.{i}.NR.RAN.PHY.BWP.BWPUL.{i}.PUCCHPowerControl.DeltaFPUCCHf0</t>
  </si>
  <si>
    <t>DeltaFPUCCHf0</t>
  </si>
  <si>
    <t>PUCCH Format 0功率偏移</t>
  </si>
  <si>
    <t>int[-16:15]</t>
  </si>
  <si>
    <t>该参数指示了PUCCH format 0物理信道上的所需要的功率偏移,单位dB</t>
  </si>
  <si>
    <t>Device.Services.FAPService.{i}.CellConfig.{i}.NR.RAN.PHY.BWP.BWPUL.{i}.PUCCHPowerControl.DeltaFPUCCHf1</t>
  </si>
  <si>
    <t>DeltaFPUCCHf1</t>
  </si>
  <si>
    <t>PUCCH Format 1功率偏移</t>
  </si>
  <si>
    <t>该参数指示了PUCCH format 1物理信道上的所需要的功率偏移,单位dB</t>
  </si>
  <si>
    <t>Device.Services.FAPService.{i}.CellConfig.{i}.NR.RAN.PHY.BWP.BWPUL.{i}.PUCCHPowerControl.DeltaFPUCCHf2</t>
  </si>
  <si>
    <t>DeltaFPUCCHf2</t>
  </si>
  <si>
    <t>PUCCH Format 2功率偏移</t>
  </si>
  <si>
    <t>该参数指示了PUCCH format 2物理信道上的所需要的功率偏移,单位dB</t>
  </si>
  <si>
    <t>Device.Services.FAPService.{i}.CellConfig.{i}.NR.RAN.PHY.BWP.BWPUL.{i}.PUCCHPowerControl.DeltaFPUCCHf3</t>
  </si>
  <si>
    <t>DeltaFPUCCHf3</t>
  </si>
  <si>
    <t>PUCCH Format 3功率偏移</t>
  </si>
  <si>
    <t>该参数指示了PUCCH format 3物理信道上的所需要的功率偏移,单位dB</t>
  </si>
  <si>
    <t>Device.Services.FAPService.{i}.CellConfig.{i}.NR.RAN.PHY.BWP.BWPUL.{i}.PUCCHPowerControl.DeltaFPUCCHf4</t>
  </si>
  <si>
    <t>DeltaFPUCCHf4</t>
  </si>
  <si>
    <t>PUCCH Format 4功率偏移</t>
  </si>
  <si>
    <t>该参数指示了PUCCH format 4物理信道上的所需要的功率偏移,单位dB</t>
  </si>
  <si>
    <t>Device.Services.FAPService.{i}.CellConfig.{i}.NR.RAN.PHY.BWP.BWPUL.{i}.SrsPowerControlAdjustmentStates</t>
  </si>
  <si>
    <t>SrsPowerControlAdjustmentStates</t>
  </si>
  <si>
    <t>SRS功率控制调整状态</t>
  </si>
  <si>
    <t xml:space="preserve">该参数用于指示SRS是单独功控或者跟随着PUSCH同时功控,
字符串取值：{sameAsFci2, separateClosedLoop，sameAsFci1} </t>
  </si>
  <si>
    <t>Device.Services.FAPService.{i}.CellConfig.{i}.NR.RAN.PHY.BWP.BWPUL.{i}.SrsAlpha</t>
  </si>
  <si>
    <t>SrsAlpha</t>
  </si>
  <si>
    <t>SRS路损因子</t>
  </si>
  <si>
    <t>unsignedInt[1:8]</t>
  </si>
  <si>
    <t>该参数用于设置SRS功控的路损因子ENUMERATED {alpha0, alpha04, alpha05, alpha06, alpha07, alpha08, alpha09, alpha1}</t>
  </si>
  <si>
    <t>Device.Services.FAPService.{i}.CellConfig.{i}.NR.RAN.PHY.BWP.BWPUL.{i}.SrsP0</t>
  </si>
  <si>
    <t>SRS的目标接收功率</t>
  </si>
  <si>
    <t>该参数用于设置SRS功控的目标接收功率，单位dBm</t>
  </si>
  <si>
    <t>Device.Services.FAPService.{i}.CellConfig.{i}.NR.RAN.PHY.BWP.BWPDL.{i}.DlBWPId</t>
  </si>
  <si>
    <t>DlBWPId</t>
  </si>
  <si>
    <t>下行BWP标识符</t>
  </si>
  <si>
    <t>Device.Services.FAPService.{i}.CellConfig.{i}.NR.RAN.PHY.BWP.BWPDL.{i}.StartPrbPosition</t>
  </si>
  <si>
    <t>起始PRB位置（下行）</t>
  </si>
  <si>
    <t>Device.Services.FAPService.{i}.CellConfig.{i}.NR.RAN.PHY.BWP.BWPDL.{i}.Bandwidth</t>
  </si>
  <si>
    <t>BWP带宽（下行）</t>
  </si>
  <si>
    <t>Device.Services.FAPService.{i}.CellConfig.{i}.NR.RAN.PHY.BWP.BWPDL.{i}.SubcarrierSpacing</t>
  </si>
  <si>
    <t>BWP子载波间隔（下行）</t>
  </si>
  <si>
    <t>Device.Services.FAPService.{i}.CellConfig.{i}.NR.RAN.PHY.BWP.BWPDL.{i}.CyclicPrefix</t>
  </si>
  <si>
    <t>循环前缀（下行）</t>
  </si>
  <si>
    <t>Device.Services.FAPService.{i}.CellConfig.{i}.NR.RAN.PHY.BWP.BWPDL.{i}.PDCCH.PDCCHConfigCommon.ControlResourceSetZero</t>
  </si>
  <si>
    <t>ControlResourceSetZero</t>
  </si>
  <si>
    <t>CORESET#0</t>
  </si>
  <si>
    <t xml:space="preserve">配置初始BWP的CORESET#0，取值范围：{0~15,0x00000FFF}
0x00000FFF表示无效；初始BWP配置必须有效（即当PdcchId等于1时必须有效）
MIB中pdcch-ConfigSIB1的高四位
</t>
  </si>
  <si>
    <t>Device.Services.FAPService.{i}.CellConfig.{i}.NR.RAN.PHY.BWP.BWPDL.{i}.PDCCH.PDCCHConfigCommon.SearchSpaceZero</t>
  </si>
  <si>
    <t>SearchSpaceZero</t>
  </si>
  <si>
    <t>搜索空间#0</t>
  </si>
  <si>
    <t xml:space="preserve">配置初始BWP的搜索空间#0，取值范围：{0~15,0x00000FFF}
0x00000FFF表示无效；初始BWP配置必须有效（即当PdcchId等于1时必须有效）
MIB中pdcch-ConfigSIB1的低四位
</t>
  </si>
  <si>
    <t>Device.Services.FAPService.{i}.CellConfig.{i}.NR.RAN.PHY.BWP.BWPDL.{i}.PDCCH.PDCCHConfigCommon.SearchSpaceSIB1</t>
  </si>
  <si>
    <t>SearchSpaceSIB1</t>
  </si>
  <si>
    <t>SIB1搜索空间</t>
  </si>
  <si>
    <t>unsignedInt[0:39,0x00000FFF]</t>
  </si>
  <si>
    <t xml:space="preserve">SIB1搜索空间的ID，取值范围：{0~39, 0x00000FFF}
0x00000FFF表示无效；
</t>
  </si>
  <si>
    <t>Device.Services.FAPService.{i}.CellConfig.{i}.NR.RAN.PHY.BWP.BWPDL.{i}.PDCCH.PDCCHConfigCommon.SearchSpaceOtherSystemInformation</t>
  </si>
  <si>
    <t>SearchSpaceOtherSystemInformation</t>
  </si>
  <si>
    <t>其它SI搜索空间</t>
  </si>
  <si>
    <t>unsignedInt[0:39, 0x00000FFF]</t>
  </si>
  <si>
    <t xml:space="preserve">其它SI搜索空间的ID，取值范围：{0~39, 0x00000FFF}
0x00000FFF表示无效；
</t>
  </si>
  <si>
    <t>Device.Services.FAPService.{i}.CellConfig.{i}.NR.RAN.PHY.BWP.BWPDL.{i}.PDCCH.PDCCHConfigCommon.PagingSearchSpace</t>
  </si>
  <si>
    <t>PagingSearchSpace</t>
  </si>
  <si>
    <t>寻呼搜索空间</t>
  </si>
  <si>
    <t xml:space="preserve">寻呼搜索空间的ID，取值范围：{0~39, 0x00000FFF}
0x00000FFF表示无效；
</t>
  </si>
  <si>
    <t>Device.Services.FAPService.{i}.CellConfig.{i}.NR.RAN.PHY.BWP.BWPDL.{i}.PDCCH.PDCCHConfigCommon.RaSearchSpace</t>
  </si>
  <si>
    <t>RaSearchSpace</t>
  </si>
  <si>
    <t>随机接入搜索空间</t>
  </si>
  <si>
    <t xml:space="preserve">随机接入搜索空间的ID，取值范围：{0~39, 0x00000FFF}
0x00000FFF表示无效；
</t>
  </si>
  <si>
    <t>Device.Services.FAPService.{i}.CellConfig.{i}.NR.RAN.PHY.BWP.BWPDL.{i}.PDCCH.CommonControlResourceSet.ControlResourceSetId</t>
  </si>
  <si>
    <t>ControlResourceSetId</t>
  </si>
  <si>
    <t>控制资源集ID</t>
  </si>
  <si>
    <t>unsignedInt[0:11]</t>
  </si>
  <si>
    <t>控制资源集ID，取值范围：{0~11}</t>
  </si>
  <si>
    <t>Device.Services.FAPService.{i}.CellConfig.{i}.NR.RAN.PHY.BWP.BWPDL.{i}.PDCCH.CommonControlResourceSet.FrequencyDomainResources</t>
  </si>
  <si>
    <t>FrequencyDomainResources</t>
  </si>
  <si>
    <t>控制资源集频域范围</t>
  </si>
  <si>
    <t>string(45)</t>
  </si>
  <si>
    <t>控制资源集频域范围，BIT STRING (SIZE (45))
取值范围：{0~ 35184372088831}
0~ 1FFFFFFFFFFF</t>
  </si>
  <si>
    <t>Device.Services.FAPService.{i}.CellConfig.{i}.NR.RAN.PHY.BWP.BWPDL.{i}.PDCCH.CommonControlResourceSet.Duration</t>
  </si>
  <si>
    <t>符号数</t>
  </si>
  <si>
    <t>控制资源集占用符号数，取值范围：{0~3}</t>
  </si>
  <si>
    <t>Device.Services.FAPService.{i}.CellConfig.{i}.NR.RAN.PHY.BWP.BWPDL.{i}.PDCCH.CommonControlResourceSet.CceRegMappingType.RegType</t>
  </si>
  <si>
    <t>RegMappingType</t>
  </si>
  <si>
    <t>CCE-REG映射类型</t>
  </si>
  <si>
    <t xml:space="preserve">取值范围：{0,1}
0表示RegBundleSize、InterleaverSize、ShiftIndex三个参数无效；1表示三个参数有效；
</t>
  </si>
  <si>
    <t>Device.Services.FAPService.{i}.CellConfig.{i}.NR.RAN.PHY.BWP.BWPDL.{i}.PDCCH.CommonControlResourceSet.CceRegMappingType.RegBundleSize</t>
  </si>
  <si>
    <t>RegBundleSize</t>
  </si>
  <si>
    <t>REG绑定大小</t>
  </si>
  <si>
    <t xml:space="preserve">取值范围：{0，1,2}
分别对应{ n2, n3, n6}；
</t>
  </si>
  <si>
    <t>Device.Services.FAPService.{i}.CellConfig.{i}.NR.RAN.PHY.BWP.BWPDL.{i}.PDCCH.CommonControlResourceSet.CceRegMappingType.InterleaverSize</t>
  </si>
  <si>
    <t>InterleaverSize</t>
  </si>
  <si>
    <t>交织长度</t>
  </si>
  <si>
    <t xml:space="preserve">取值范围：{0，1,2}
分别对应{ n2, n3, n6}；
</t>
  </si>
  <si>
    <t>Device.Services.FAPService.{i}.CellConfig.{i}.NR.RAN.PHY.BWP.BWPDL.{i}.PDCCH.CommonControlResourceSet.CceRegMappingType.ShiftIndex</t>
  </si>
  <si>
    <t>ShiftIndex</t>
  </si>
  <si>
    <t>转换索引</t>
  </si>
  <si>
    <t>unsignedInt[0:274,0x00000FFF]</t>
  </si>
  <si>
    <t xml:space="preserve">取值范围：{0~274,0x00000FFF}
0x00000FFF表示无效；
</t>
  </si>
  <si>
    <t>Device.Services.FAPService.{i}.CellConfig.{i}.NR.RAN.PHY.BWP.BWPDL.{i}.PDCCH.CommonControlResourceSet.PrecoderGranularity</t>
  </si>
  <si>
    <t>预编码粒度</t>
  </si>
  <si>
    <t xml:space="preserve">控制资源集的预编码粒度，取值范围：{0，1}
分别对应{ sameAsREG-bundle, allContiguousRBs }；
</t>
  </si>
  <si>
    <t>Device.Services.FAPService.{i}.CellConfig.{i}.NR.RAN.PHY.BWP.BWPDL.{i}.PDCCH.CommonControlResourceSet.PdcchDMRSScramblingID</t>
  </si>
  <si>
    <t>PdcchDMRSScramblingID</t>
  </si>
  <si>
    <t>PDCCH DMRS加扰ID</t>
  </si>
  <si>
    <t>unsignedInt[0:65535,0x0FFFFFFF]</t>
  </si>
  <si>
    <t xml:space="preserve">配置PDCCH DMRS加扰ID，取值范围：{0~65535,0x0FFFFFFF}
0x0FFFFFFF表示无效；
</t>
  </si>
  <si>
    <t>Device.Services.FAPService.{i}.CellConfig.{i}.NR.RAN.PHY.BWP.BWPDL.{i}.PDCCH.CommonSearchSpaceList.{i}.SearchSpaceId</t>
  </si>
  <si>
    <t>SearchSpaceId</t>
  </si>
  <si>
    <t>搜索空间ID</t>
  </si>
  <si>
    <t>unsignedInt[0:39]</t>
  </si>
  <si>
    <t>配置搜索空间ID</t>
  </si>
  <si>
    <t>Device.Services.FAPService.{i}.CellConfig.{i}.NR.RAN.PHY.BWP.BWPDL.{i}.PDCCH.CommonSearchSpaceList.{i}.ControlResourceSetId</t>
  </si>
  <si>
    <t>配置搜索空间对应的控制资源集ID</t>
  </si>
  <si>
    <t>Device.Services.FAPService.{i}.CellConfig.{i}.NR.RAN.PHY.BWP.BWPDL.{i}.PDCCH.CommonSearchSpaceList.{i}.MonitoringSlotPeriodicity</t>
  </si>
  <si>
    <t>MonitoringSlotPeriodicity</t>
  </si>
  <si>
    <t>搜索空间周期</t>
  </si>
  <si>
    <t>unsignedInt[1,2,4,5,l5,10,16,20,40,80,160,320,640,1280,2560,0x00000FFF]</t>
  </si>
  <si>
    <t>配置搜索空间的周期。
取值范围：{ 1，2，4，5，l5，10，16，20，40，80，160，320，640，1280，2560,0x00000FFF}
分别对应{ sl1，sl2，sl4，sl5，sl5，sl10，sl16，sl20，sl40，sl80，sl160，sl320，sl640，sl1280，sl2560}，Ox00000FFF表示无效</t>
  </si>
  <si>
    <t>Device.Services.FAPService.{i}.CellConfig.{i}.NR.RAN.PHY.BWP.BWPDL.{i}.PDCCH.CommonSearchSpaceList.{i}.MonitoringSlotOffset</t>
  </si>
  <si>
    <t>MonitoringSlotOffset</t>
  </si>
  <si>
    <t>监测周期偏置</t>
  </si>
  <si>
    <t>unsignedInt[0:2559]</t>
  </si>
  <si>
    <t xml:space="preserve">配置搜索空间监测周期的偏置。
取值范围：
[0~ MonitoringSlotPeriodicity-1]
</t>
  </si>
  <si>
    <t>Device.Services.FAPService.{i}.CellConfig.{i}.NR.RAN.PHY.BWP.BWPDL.{i}.PDCCH.CommonSearchSpaceList.{i}.Duration</t>
  </si>
  <si>
    <t>监测时隙数目</t>
  </si>
  <si>
    <t>unsignedInt[2:2559,0x00000FFF]</t>
  </si>
  <si>
    <t xml:space="preserve">配置搜索空间连续出现的时隙数目。
取值范围：[2~2559,0x00000FFF]
0x00000FFF表示无效
</t>
  </si>
  <si>
    <t>Device.Services.FAPService.{i}.CellConfig.{i}.NR.RAN.PHY.BWP.BWPDL.{i}.PDCCH.CommonSearchSpaceList.{i}.MonitoringSymbolsWithinSlot</t>
  </si>
  <si>
    <t>MonitoringSymbolsWithinSlot</t>
  </si>
  <si>
    <t>监测符号位置</t>
  </si>
  <si>
    <t>unsignedInt[0:16383]</t>
  </si>
  <si>
    <t xml:space="preserve">配置搜索空间在时隙中的起始符号位置。
BIT STRING (SIZE (14))
取值范围：{0~16383, 0x0FFFFFFF}
0x0FFFFFFF表示无效
</t>
  </si>
  <si>
    <t>Device.Services.FAPService.{i}.CellConfig.{i}.NR.RAN.PHY.BWP.BWPDL.{i}.PDCCH.CommonSearchSpaceList.{i}.nrofCandidates.AggregationLevel1</t>
  </si>
  <si>
    <t>AggregationLevel1</t>
  </si>
  <si>
    <t>聚合等级1</t>
  </si>
  <si>
    <t>取值范围：{0~7}
分别对应{ n0, n1, n2, n3, n4, n5, n6, n8}</t>
  </si>
  <si>
    <t>Device.Services.FAPService.{i}.CellConfig.{i}.NR.RAN.PHY.BWP.BWPDL.{i}.PDCCH.CommonSearchSpaceList.{i}.nrofCandidates.AggregationLevel2</t>
  </si>
  <si>
    <t>AggregationLevel2</t>
  </si>
  <si>
    <t>聚合等级2</t>
  </si>
  <si>
    <t>Device.Services.FAPService.{i}.CellConfig.{i}.NR.RAN.PHY.BWP.BWPDL.{i}.PDCCH.CommonSearchSpaceList.{i}.nrofCandidates.AggregationLevel4</t>
  </si>
  <si>
    <t>AggregationLevel4</t>
  </si>
  <si>
    <t>聚合等级4</t>
  </si>
  <si>
    <t>Device.Services.FAPService.{i}.CellConfig.{i}.NR.RAN.PHY.BWP.BWPDL.{i}.PDCCH.CommonSearchSpaceList.{i}.nrofCandidates.AggregationLevel8</t>
  </si>
  <si>
    <t>AggregationLevel8</t>
  </si>
  <si>
    <t>聚合等级8</t>
  </si>
  <si>
    <t>Device.Services.FAPService.{i}.CellConfig.{i}.NR.RAN.PHY.BWP.BWPDL.{i}.PDCCH.CommonSearchSpaceList.{i}.nrofCandidates.AggregationLevel16</t>
  </si>
  <si>
    <t>AggregationLevel16</t>
  </si>
  <si>
    <t>聚合等级16</t>
  </si>
  <si>
    <t>Device.Services.FAPService.{i}.CellConfig.{i}.NR.RAN.PHY.BWP.BWPDL.{i}.PDCCH.CommonSearchSpaceList.{i}.SearchSpaceType</t>
  </si>
  <si>
    <t>SearchSpaceType</t>
  </si>
  <si>
    <t>搜索空间类型</t>
  </si>
  <si>
    <t>取值范围：{0，1}
0表示选择common配置；
1表示选择ue专有配置；</t>
  </si>
  <si>
    <t>Device.Services.FAPService.{i}.CellConfig.{i}.NR.RAN.PHY.BWP.BWPDL.{i}.PDCCH.CommonSearchSpaceList.{i}.DciFormat00And10En</t>
  </si>
  <si>
    <t>DciFormat00And10En</t>
  </si>
  <si>
    <t>公共搜索空间DCI格式开关</t>
  </si>
  <si>
    <t>配置为公共搜索空间时，dci-Format0-0-AndFormat1-0是否存在
取值范围：{0，1}</t>
  </si>
  <si>
    <t>Device.Services.FAPService.{i}.CellConfig.{i}.NR.RAN.PHY.BWP.BWPDL.{i}.PDCCH.CommonSearchSpaceList.{i}.UeSpecificDciFormats</t>
  </si>
  <si>
    <t>UeSpecificDciFormats</t>
  </si>
  <si>
    <t>UE专用DCI格式</t>
  </si>
  <si>
    <t>配置为ue专用搜索空间时，存在的DCI格式。
取值范围：{0，1}
分别对应{ formats0-0-And-1-0, formats0-1-And-1-1}；</t>
  </si>
  <si>
    <t>Device.Services.FAPService.{i}.CellConfig.{i}.NR.RAN.PHY.BWP.BWPDL.{i}.PDSCH.PDSCHTimeDomainResourceAllocationList.{i}.K0</t>
  </si>
  <si>
    <t>K0</t>
  </si>
  <si>
    <t>PDCCH到PDSCH调度延迟</t>
  </si>
  <si>
    <t>unsignedInt[0:32,0x00000FFF]</t>
  </si>
  <si>
    <t>取值范围：{0~32,0x00000FFF}
0x00000FFF表示无效；
i取值最大16</t>
  </si>
  <si>
    <t>Device.Services.FAPService.{i}.CellConfig.{i}.NR.RAN.PHY.BWP.BWPDL.{i}.PDSCH.PDSCHTimeDomainResourceAllocationList.{i}.MappingType</t>
  </si>
  <si>
    <t>PDSCH映射类型</t>
  </si>
  <si>
    <t>PDSCH映射类型。
取值范围：{0,1}
分别对应{ typeA, typeB }；i取值最大16</t>
  </si>
  <si>
    <t>Device.Services.FAPService.{i}.CellConfig.{i}.NR.RAN.PHY.BWP.BWPDL.{i}.PDSCH.PDSCHTimeDomainResourceAllocationList.{i}.StartSymbolAndLength</t>
  </si>
  <si>
    <t>PDSCH起始符号和长度</t>
  </si>
  <si>
    <t>PDSCH起始符号和长度。
取值范围：{0~127}，i取值最大16</t>
  </si>
  <si>
    <t>RRC参数管理（RRC计时器）</t>
  </si>
  <si>
    <t>Device.Services.FAPService.{i}.CellConfig.{i}.NR.RAN.RRCTimers.T300</t>
  </si>
  <si>
    <t>T300</t>
  </si>
  <si>
    <t>T300定时器</t>
  </si>
  <si>
    <t>连续RRCConnectionRequest传输之间的时间间隔,ms100对应100，ms200对应200，依次类推。
取值范围：[0~7]
{ms100,ms200, ms300,ms400, ms600,ms1000, ms1500,ms2000}</t>
  </si>
  <si>
    <t>Device.Services.FAPService.{i}.CellConfig.{i}.NR.RAN.RRCTimers.T301</t>
  </si>
  <si>
    <t>T301</t>
  </si>
  <si>
    <t>T301定时器</t>
  </si>
  <si>
    <t>连续RRCConnectionReestablishmentRe
quest传输之间的时间间隔，ms100对应100，ms200对应200，依次类推。
取值范围：[0~7]
{ms100,ms200,ms300,ms400, ms600,ms1000, ms1500,ms2000}</t>
  </si>
  <si>
    <t>Device.Services.FAPService.{i}.CellConfig.{i}.NR.RAN.RRCTimers.T302</t>
  </si>
  <si>
    <t>T302</t>
  </si>
  <si>
    <t>T302定时器</t>
  </si>
  <si>
    <t>unsignedInt[1:16]</t>
  </si>
  <si>
    <t>RRCConnectionReject 之后小区重选或
RRConnectionSetup等待的时间</t>
  </si>
  <si>
    <t>Device.Services.FAPService.{i}.CellConfig.{i}.NR.RAN.RRCTimers.T304</t>
  </si>
  <si>
    <t>T304</t>
  </si>
  <si>
    <t>T304定时器</t>
  </si>
  <si>
    <t>在MCG中，T304定时器为切换失败定时器；在SCG中，T304定时器为同步失败定时器。</t>
  </si>
  <si>
    <t>Device.Services.FAPService.{i}.CellConfig.{i}.NR.RAN.RRCTimers.T310</t>
  </si>
  <si>
    <t>T310</t>
  </si>
  <si>
    <t>T310定时器</t>
  </si>
  <si>
    <t>unsignedInt[0:6]</t>
  </si>
  <si>
    <t>RLF声明定时器，ms0对应0，ms50对应50，依次类推。
取值范围：[0~6]
{ms0,ms50,ms100，ms200,ms500,
ms1000, ms2000}</t>
  </si>
  <si>
    <t>Device.Services.FAPService.{i}.CellConfig.{i}.NR.RAN.RRCTimers.T311</t>
  </si>
  <si>
    <t>T311</t>
  </si>
  <si>
    <t>T311定时器</t>
  </si>
  <si>
    <t>RLF恢复定时器，ms1000对应1000，ms3000对应3000，依次类推。
取值范围：[0~6]
{ms1000,ms3000, ms5000,ms10000, ms15000,ms20000, ms30000}</t>
  </si>
  <si>
    <t>Device.Services.FAPService.{i}.CellConfig.{i}.NR.RAN.RRCTimers.T320</t>
  </si>
  <si>
    <t>T320</t>
  </si>
  <si>
    <t>T320定时器</t>
  </si>
  <si>
    <t>小区重选定时器，取值范围：[0~6] [min5,min10,min20,min30,min60,min120,min180]</t>
  </si>
  <si>
    <t>Device.Services.FAPService.{i}.CellConfig.{i}.NR.RAN.RRCTimers.N310</t>
  </si>
  <si>
    <t>N310</t>
  </si>
  <si>
    <t>N310计数器</t>
  </si>
  <si>
    <t>从低层收到的”out-of-sync” 标志的连续数目，会触发T310定时器。对应TS 38.331 中n310参数，n1对应1，n2对应2，依次类推，
取值范围：[0~7]
{n1,n2,n3,n4,n6,n8,n10, n20}</t>
  </si>
  <si>
    <t>Device.Services.FAPService.{i}.CellConfig.{i}.NR.RAN.RRCTimers.N311</t>
  </si>
  <si>
    <t>N311</t>
  </si>
  <si>
    <t>N311计数器</t>
  </si>
  <si>
    <t>从低层收到的”in-sync”标志的连续数目，会停止T310定时器。对应TS 38.331的n311参数，n1对应1，n2对应2，依次类推，
取值范围：[0~7]
{n1,n2,n3,n4,n5,n6,n8,n10}</t>
  </si>
  <si>
    <t>Device.Services.FAPService.{i}.CellConfig.{i}.NR.RAN.RRCTimers.T319</t>
  </si>
  <si>
    <t>T319</t>
  </si>
  <si>
    <t>T319定时器</t>
  </si>
  <si>
    <t>当UE发送RRC恢复请求时开启的定时器。
取值范围：[0~7]
分别代表
{ ms100,ms200,ms300,ms400, ms600,ms1000, ms1500,ms2000}</t>
  </si>
  <si>
    <t>Device.Services.FAPService.{i}.CellConfig.{i}.NR.RAN.RRCTimers.T380</t>
  </si>
  <si>
    <t>T380</t>
  </si>
  <si>
    <t>T380定时器</t>
  </si>
  <si>
    <t>RNAU周期，min5对应5，min10对应10，以此类推。
取值范围[0~7]
{ min5, min10, min20, min30, min60, min120, min360, min720}</t>
  </si>
  <si>
    <t>SIB1设置</t>
  </si>
  <si>
    <t>Device.Services.FAPService.{i}.CellConfig.{i}.NR.RAN.PHY.SIB1.UseFullResumeID</t>
  </si>
  <si>
    <t>UseFullResumeID</t>
  </si>
  <si>
    <t>使用完整ID</t>
  </si>
  <si>
    <t>DRX参数管理</t>
  </si>
  <si>
    <t>Device.Services.FAPService.{i}.CellConfig.{i}.NR.RAN.Drx.{i}.QCI</t>
  </si>
  <si>
    <t>QCI</t>
  </si>
  <si>
    <t>DrxLongCycle中的QCI</t>
  </si>
  <si>
    <t>Device.Services.FAPService.{i}.CellConfig.{i}.NR.RAN.Drx.{i}.DrxAlgoSwitch</t>
  </si>
  <si>
    <t>DrxAlgoSwitch</t>
  </si>
  <si>
    <t>DRX算法开关</t>
  </si>
  <si>
    <t>Device.Services.FAPService.{i}.CellConfig.{i}.NR.RAN.Drx.{i}.PLMNList.{i}.PLMNID</t>
  </si>
  <si>
    <t>Device.Services.FAPService.{i}.CellConfig.{i}.NR.RAN.Drx.{i}.DrxLongCycle</t>
  </si>
  <si>
    <t>DrxLongCycle</t>
  </si>
  <si>
    <t>DRX长周期的长度</t>
  </si>
  <si>
    <t>字符串取值：ms10, ms20, ms32, ms40, ms60, ms64, ms70, ms80, ms128, ms160, ms256, ms320, ms512, ms640, ms1024, ms1280, ms2048, ms2560, ms5120, ms10240, spare12, spare11, spare10, spare9, spare8, spare7 spare6, spare5, spare4, spare3, spare2, spare1</t>
  </si>
  <si>
    <t>Device.Services.FAPService.{i}.CellConfig.{i}.NR.RAN.Drx.{i}.DrxonDurationTimer</t>
  </si>
  <si>
    <t>DrxonDurationTimer</t>
  </si>
  <si>
    <t>DRX持续时间定时器</t>
  </si>
  <si>
    <t>DRX周期内终端持续监听PDCCH的时间,字符串取值 ms1_32, ms2_32, ms3_32, ms4_32, ms5_32, ms6_32, ms7_32, ms8_32, ms9_32, ms10_32, ms11_32, ms12_32, ms13_32, ms14_32, ms15_32, ms16_32, ms17_32, ms18_32, ms19_32, ms20_32,ms21_32, ms22_32, ms23_32, ms24_32, ms25_32, ms26_32,ms27_32, ms28_32, ms29_32, ms30_32, ms31_32, ms1, ms2, ms3, ms4, ms5, ms6, ms8, ms10, ms20, ms30, ms40, ms50, ms60, ms80, ms100, ms200, ms300, ms400, ms500, ms600, ms800, ms1000, ms1200, ms1600, spare8, spare7 spare6, spare5, spare4, spare3, spare2, spare1
注：ms1_32 表示 1/32ms  ... ms31_32表示 31/32ms</t>
  </si>
  <si>
    <t>Device.Services.FAPService.{i}.CellConfig.{i}.NR.RAN.Drx.{i}.DrxInactivityTimer</t>
  </si>
  <si>
    <t>DrxInactivityTimer</t>
  </si>
  <si>
    <t>DRX非激活定时器</t>
  </si>
  <si>
    <t>新传调度之后的持续监听PDCCH时间，字符串取值ms0, ms1, ms2, ms3, ms4, ms5, ms6, ms8, ms10, ms20, ms30, ms40, ms50, ms60, ms80, ms100, ms200, ms300, ms500, ms750, ms1280, ms1920, ms2560, spare9, spare8, spare7, spare6, spare5, spare4, spare3, spare2, spare1</t>
  </si>
  <si>
    <t>Device.Services.FAPService.{i}.CellConfig.{i}.NR.RAN.Drx.{i}.DrxHARQRTTTimerDL</t>
  </si>
  <si>
    <t>DrxHARQRTTTimerDL</t>
  </si>
  <si>
    <t>DRX下行HARQ RTT定时器</t>
  </si>
  <si>
    <t>取值范围{0, 14, 28, 42, 56}</t>
  </si>
  <si>
    <t>Device.Services.FAPService.{i}.CellConfig.{i}.NR.RAN.Drx.{i}.DrxHARQRTTTimerUL</t>
  </si>
  <si>
    <t>DrxHARQRTTTimerUL</t>
  </si>
  <si>
    <t>DRX上行HARQ RTT定时器</t>
  </si>
  <si>
    <t>Device.Services.FAPService.{i}.CellConfig.{i}.NR.RAN.Drx.{i}.DrxRetransmissionTimerDL</t>
  </si>
  <si>
    <t>DrxRetransmissionTimerDL</t>
  </si>
  <si>
    <t>DRX下行Retransmission定时器</t>
  </si>
  <si>
    <t>取值范围{sl1, sl2, sl4, sl6, sl8, sl16, sl24, sl33, sl40, sl64, sl80, sl96, sl112, sl128, sl160, sl320}</t>
  </si>
  <si>
    <t>Device.Services.FAPService.{i}.CellConfig.{i}.NR.RAN.Drx.{i}.DrxRetransmissionTimerUL</t>
  </si>
  <si>
    <t>DrxRetransmissionTimerUL</t>
  </si>
  <si>
    <t>DRX上行Retransmission定时器</t>
  </si>
  <si>
    <t>Device.Services.FAPService.{i}.CellConfig.{i}.NR.RAN.Drx.{i}.DrxShortCycle</t>
  </si>
  <si>
    <t>DrxShortCycle</t>
  </si>
  <si>
    <t>DRX短周期</t>
  </si>
  <si>
    <t>取值范围{2ms, 3ms, 4ms, 5ms, 6ms, 7ms, 8ms, 10ms, 14ms, 16ms, 20ms, 30ms, 32ms, 35ms, 40ms, 64ms, 80ms, 128ms, 160ms, 256ms, 320ms, 512ms, 640ms}</t>
  </si>
  <si>
    <t>Device.Services.FAPService.{i}.CellConfig.{i}.NR.RAN.Drx.{i}.DrxShortCycleTimer</t>
  </si>
  <si>
    <t>DrxShortCycleTimer</t>
  </si>
  <si>
    <t>DRX短周期定时器</t>
  </si>
  <si>
    <t>约束：(1~16)</t>
  </si>
  <si>
    <t>Device.Services.FAPService.{i}.CellConfig.{i}.NR.RAN.Drx.{i}.DrxShortCycleEnabled</t>
  </si>
  <si>
    <t>DrxShortCycleEnabled</t>
  </si>
  <si>
    <t>短周期DRX使能</t>
  </si>
  <si>
    <t>寻呼参数管理</t>
  </si>
  <si>
    <t>Device.Services.FAPService.{i}.CellConfig.{i}.NR.RAN.PCCHConfig.DefaultPagingCycle</t>
  </si>
  <si>
    <t>DefaultPagingCycle</t>
  </si>
  <si>
    <t>默认寻呼周期</t>
  </si>
  <si>
    <r>
      <rPr>
        <sz val="9"/>
        <color theme="1"/>
        <rFont val="宋体"/>
        <charset val="134"/>
      </rPr>
      <t>指示</t>
    </r>
    <r>
      <rPr>
        <sz val="9"/>
        <color theme="1"/>
        <rFont val="Times New Roman"/>
        <charset val="134"/>
      </rPr>
      <t>PCCH</t>
    </r>
    <r>
      <rPr>
        <sz val="9"/>
        <color theme="1"/>
        <rFont val="宋体"/>
        <charset val="134"/>
      </rPr>
      <t>的默认寻呼周期。
取值Enumerate{</t>
    </r>
    <r>
      <rPr>
        <sz val="9"/>
        <color theme="1"/>
        <rFont val="Times New Roman"/>
        <charset val="134"/>
      </rPr>
      <t>:rf32, rf64, rf128}</t>
    </r>
  </si>
  <si>
    <t>Device.Services.FAPService.{i}.CellConfig.{i}.NR.RAN.PCCHConfig.PagingFrameOffset</t>
  </si>
  <si>
    <t>PagingFrameOffset</t>
  </si>
  <si>
    <t>寻呼偏置</t>
  </si>
  <si>
    <t>该参数用于表示寻呼周期内寻呼帧的个数。
nAndPagingFrameOffset
取值范围 structure {
n（寻呼周期内PF个数）:=enum{oneT, halfT,quarterT, oneEighthT,oneSixteenthT}，
    PagingFrameOffset(寻呼偏置)  :=INTERGER
}；   nAndPagingFrameOffset取值为oneT，则PagingFrameOffset 为NULL。
Used to derive the number of total paging frames in T (corresponding to parameter N in TS 38.304 [20]) and paging frame offset (corresponding to parameter PF_offset in TS 38.304 [20]). 详见3GPP 38.331 section 6.3.2</t>
  </si>
  <si>
    <t>Device.Services.FAPService.{i}.CellConfig.{i}.NR.RAN.PCCHConfig.N</t>
  </si>
  <si>
    <t>N</t>
  </si>
  <si>
    <t>寻呼总帧数</t>
  </si>
  <si>
    <t>unsignedInt[1,2,4,8,16]</t>
  </si>
  <si>
    <t>Device.Services.FAPService.{i}.CellConfig.{i}.NR.RAN.PCCHConfig.Ns</t>
  </si>
  <si>
    <t>Ns</t>
  </si>
  <si>
    <t>PF中PO个数</t>
  </si>
  <si>
    <t>指示PF中寻呼时机PO的个数。Enum{four,two,one}</t>
  </si>
  <si>
    <t>QoS映射DRB参数管理</t>
  </si>
  <si>
    <t>Device.Services.FAPService.{i}.CellConfig.{i}.NR.RAN.RadioBearParam.{i}.5QI</t>
  </si>
  <si>
    <t>5QI</t>
  </si>
  <si>
    <t>unsignedInt[0:255,...]</t>
  </si>
  <si>
    <t>5QI，TS23.501</t>
  </si>
  <si>
    <t>Device.Services.FAPService.{i}.CellConfig.{i}.NR.RAN.RadioBearParam.{i}.MappingDrbIndex</t>
  </si>
  <si>
    <t>MappingDrbIndex</t>
  </si>
  <si>
    <t>映射到的DRB</t>
  </si>
  <si>
    <t>字符串，描述5QI与DRB映射关系，DRB之间使用","分割，例如：某5QI使用的DRB是5,10和32，则表示为"5,10,32"</t>
  </si>
  <si>
    <t>5G邻区参数管理</t>
  </si>
  <si>
    <t>Device.Services.FAPService.{i}.CellConfig.{i}.NR.RAN.NeighborList.NRCell.{i}.PLMNID</t>
  </si>
  <si>
    <t>邻区PLMN ID</t>
  </si>
  <si>
    <t>邻区PLMN ID，由MCC和MNC组成</t>
  </si>
  <si>
    <t>Device.Services.FAPService.{i}.CellConfig.{i}.NR.RAN.NeighborList.NRCell.{i}.CID</t>
  </si>
  <si>
    <t>CID</t>
  </si>
  <si>
    <t>邻区CID</t>
  </si>
  <si>
    <t>unsignedLong[1:68719476735]</t>
  </si>
  <si>
    <t>邻区CID（36bit）</t>
  </si>
  <si>
    <t>Device.Services.FAPService.{i}.CellConfig.{i}.NR.RAN.NeighborList.NRCell.{i}.NbrGnbIdLength</t>
  </si>
  <si>
    <t>NbrGnbIdLength</t>
  </si>
  <si>
    <t>邻区gnbID长度</t>
  </si>
  <si>
    <t>Device.Services.FAPService.{i}.CellConfig.{i}.NR.RAN.NeighborList.NRCell.{i}.NRCarrierARFCN</t>
  </si>
  <si>
    <t>NRCarrierARFCN</t>
  </si>
  <si>
    <t>NR邻区载频的ARFCN</t>
  </si>
  <si>
    <t>Device.Services.FAPService.{i}.CellConfig.{i}.NR.RAN.NeighborList.NRCell.{i}.ssbFrequency</t>
  </si>
  <si>
    <t>NR邻区载频的SSB ARFCN</t>
  </si>
  <si>
    <t>Device.Services.FAPService.{i}.CellConfig.{i}.NR.RAN.NeighborList.NRCell.{i}.ssbSubcarrierSpacing</t>
  </si>
  <si>
    <t xml:space="preserve">ssbSubcarrierSpacing </t>
  </si>
  <si>
    <t>SSB子载波间隔</t>
  </si>
  <si>
    <t xml:space="preserve">子载波间隔，取值范围：{0, 1, 2, 3, 4}
0代表kHz15，1代表kHz30，2代表kHz60，3代表kHz120，4代表kHz240.
</t>
  </si>
  <si>
    <t>Device.Services.FAPService.{i}.CellConfig.{i}.NR.RAN.NeighborList.NRCell.{i}.PhyCellID</t>
  </si>
  <si>
    <t>邻区物理小区ID</t>
  </si>
  <si>
    <t>NR邻区PCI</t>
  </si>
  <si>
    <t>Device.Services.FAPService.{i}.CellConfig.{i}.NR.RAN.NeighborList.NRCell.{i}.TAC</t>
  </si>
  <si>
    <t>邻区TAC</t>
  </si>
  <si>
    <t>TAC（24bit）</t>
  </si>
  <si>
    <t>Device.Services.FAPService.{i}.CellConfig.{i}.NR.RAN.NeighborList.NRCell.{i}.QOffset</t>
  </si>
  <si>
    <t>QOffset</t>
  </si>
  <si>
    <t>小区特定偏移量</t>
  </si>
  <si>
    <t>邻区的小区特定偏移量，ENUMERATED {dB-24, dB-22, dB-20, dB-18, dB-16, dB-14,dB-12, dB-10, dB-8, dB-6, dB-5, dB-4, dB-3, dB-2, dB-1, dB0, dB1, dB2, dB3, dB4, dB5, dB6, dB8, dB10, dB12, dB14, dB16, dB18,dB20, dB22, dB24}</t>
  </si>
  <si>
    <t>Device.Services.FAPService.{i}.CellConfig.{i}.NR.RAN.NeighborList.NRCell.{i}.QRxLevMinOffsetCell</t>
  </si>
  <si>
    <t>QRxLevMinOffsetCell</t>
  </si>
  <si>
    <t>小区专用最小接收电平偏移量</t>
  </si>
  <si>
    <t>unsignedInt[1:8,15]</t>
  </si>
  <si>
    <t>15代表这个参数不存在</t>
  </si>
  <si>
    <t>Device.Services.FAPService.{i}.CellConfig.{i}.NR.RAN.NeighborList.NRCell.{i}.QQualMinOffsetCell</t>
  </si>
  <si>
    <t xml:space="preserve">QQualMinOffsetCell </t>
  </si>
  <si>
    <t>小区专用最低接入信号质量偏移值</t>
  </si>
  <si>
    <t>Device.Services.FAPService.{i}.CellConfig.{i}.NR.RAN.NeighborList.NRCell.{i}.CIO</t>
  </si>
  <si>
    <t>CIO</t>
  </si>
  <si>
    <t>小区独立偏移量</t>
  </si>
  <si>
    <t>邻区的小区独立偏移量，ENUMERATED {dB-24, dB-22, dB-20, dB-18, dB-16, dB-14,dB-12, dB-10, dB-8, dB-6, dB-5, dB-4, dB-3, dB-2, dB-1, dB0, dB1, dB2, dB3, dB4, dB5, dB6, dB8, dB10, dB12, dB14, dB16, dB18,dB20, dB22, dB24}</t>
  </si>
  <si>
    <t>Device.Services.FAPService.{i}.CellConfig.{i}.NR.RAN.NeighborList.NRCell.{i}.Blacklisted</t>
  </si>
  <si>
    <t>Blacklisted</t>
  </si>
  <si>
    <t>禁止切换标识</t>
  </si>
  <si>
    <t>邻小区是否可以被UE作为切换目标，
1=禁止向该小区切换；
0=允许向该小区切换</t>
  </si>
  <si>
    <t>Device.Services.FAPService.{i}.CellConfig.{i}.NR.RAN.NeighborList.NRCell.{i}.RsType</t>
  </si>
  <si>
    <t>RsType</t>
  </si>
  <si>
    <t>测量类型指示</t>
  </si>
  <si>
    <t>用来指示测量参考信号的类型，是ssb还是csi-rs,{ssb,csi-rs}</t>
  </si>
  <si>
    <t>Device.Services.FAPService.{i}.CellConfig.{i}.NR.RAN.NeighborList.NRCell.{i}.NoHOEnable</t>
  </si>
  <si>
    <t>NoHOEnable</t>
  </si>
  <si>
    <t>Device.Services.FAPService.{i}.CellConfig.{i}.NR.RAN.NeighborList.NRCell.{i}.NoRemoveEnable</t>
  </si>
  <si>
    <t>NoRemoveEnable</t>
  </si>
  <si>
    <t>禁止删除标识</t>
  </si>
  <si>
    <t>该参数表示是否允许通过自动邻区关系算法
ANR(Automatic Neighbor Relation)删除该邻区关系。1=禁止删除该小区；0=允许删除该小区</t>
  </si>
  <si>
    <t>Device.Services.FAPService.{i}.CellConfig.{i}.NR.RAN.NeighborList.NRCell.{i}.NoXnEnable</t>
  </si>
  <si>
    <t>NoXnEnable</t>
  </si>
  <si>
    <t>禁止建立Xn标识</t>
  </si>
  <si>
    <t>该参数表示是否允许本小区与该邻区是否可建立Xn连接。1=禁止向该小区建立Xn连接；0=允许向该小区建立Xn连接</t>
  </si>
  <si>
    <t>LTE邻区参数管理</t>
  </si>
  <si>
    <t>Device.Services.FAPService.{i}.CellConfig.{i}.NR.RAN.NeighborList.LTECell.{i}.TcRAT</t>
  </si>
  <si>
    <t>TcRAT</t>
  </si>
  <si>
    <t>LTE小区制式</t>
  </si>
  <si>
    <t>参数用于指示该邻区关系对应的LTE邻区制式，{1:TDD,2:FDD}。</t>
  </si>
  <si>
    <t>Device.Services.FAPService.{i}.CellConfig.{i}.NR.RAN.NeighborList.LTECell.{i}.PLMNID</t>
  </si>
  <si>
    <t>Device.Services.FAPService.{i}.CellConfig.{i}.NR.RAN.NeighborList.LTECell.{i}.CID</t>
  </si>
  <si>
    <t>unsignedInt[1:268435455]</t>
  </si>
  <si>
    <t>邻区CID（28bit）</t>
  </si>
  <si>
    <t>Device.Services.FAPService.{i}.CellConfig.{i}.NR.RAN.NeighborList.LTECell.{i}.EUTRACarrierARFCN</t>
  </si>
  <si>
    <t>EUTRACarrierARFCN</t>
  </si>
  <si>
    <t>邻区EARFCN</t>
  </si>
  <si>
    <t>邻区载频的EARFCN</t>
  </si>
  <si>
    <t>Device.Services.FAPService.{i}.CellConfig.{i}.NR.RAN.NeighborList.LTECell.{i}.PhyCellID</t>
  </si>
  <si>
    <t>邻区PCI</t>
  </si>
  <si>
    <t>unsignedInt[0:503]</t>
  </si>
  <si>
    <t>4G邻区PCI</t>
  </si>
  <si>
    <t>Device.Services.FAPService.{i}.CellConfig.{i}.NR.RAN.NeighborList.LTECell.{i}.QOffset</t>
  </si>
  <si>
    <t>Device.Services.FAPService.{i}.CellConfig.{i}.NR.RAN.NeighborList.LTECell.{i}.QRxLevMinOffsetCell</t>
  </si>
  <si>
    <t xml:space="preserve">15代表这个参数不存在
</t>
  </si>
  <si>
    <t>Device.Services.FAPService.{i}.CellConfig.{i}.NR.RAN.NeighborList.LTECell.{i}.QQualMinOffsetCell</t>
  </si>
  <si>
    <t>QQualMinOffsetCell</t>
  </si>
  <si>
    <t>Device.Services.FAPService.{i}.CellConfig.{i}.NR.RAN.NeighborList.LTECell.{i}.CIO</t>
  </si>
  <si>
    <t>Device.Services.FAPService.{i}.CellConfig.{i}.NR.RAN.NeighborList.LTECell.{i}.Blacklisted</t>
  </si>
  <si>
    <t>Device.Services.FAPService.{i}.CellConfig.{i}.NR.RAN.NeighborList.LTECell.{i}.TAC</t>
  </si>
  <si>
    <t>TAC（16bit）</t>
  </si>
  <si>
    <t>Device.Services.FAPService.{i}.CellConfig.{i}.NR.RAN.NeighborList.LTECell.{i}.EnbType</t>
  </si>
  <si>
    <t>邻区基站类型</t>
  </si>
  <si>
    <t>基站类型
Macro cell=0,Short Micro cell=1,Long Micro cell=2</t>
  </si>
  <si>
    <t>Device.Services.FAPService.{i}.CellConfig.{i}.NR.RAN.NeighborList.LTECell.{i}.NoHOEnable</t>
  </si>
  <si>
    <t>Device.Services.FAPService.{i}.CellConfig.{i}.NR.RAN.NeighborList.LTECell.{i}.NoRemoveEnable</t>
  </si>
  <si>
    <t>Device.Services.FAPService.{i}.CellConfig.{i}.NR.RAN.NeighborList.LTECell.{i}.NoX2Enable</t>
  </si>
  <si>
    <t>NoX2Enable</t>
  </si>
  <si>
    <t>禁止建立X2标识</t>
  </si>
  <si>
    <t>该参数表示是否允许本小区与该邻区是否可建立X2连接。1=禁止向该小区建立X2连接；0=允许向该小区建立X2连接</t>
  </si>
  <si>
    <t>测量公共参数</t>
  </si>
  <si>
    <t>Device.Services.FAPService.{i}.CellConfig.{i}.NR.RAN.Mobility.ConnMode.NR.MeasureCtrl.IntraCellHoEnabled</t>
  </si>
  <si>
    <t>IntraCellHoEnabled</t>
  </si>
  <si>
    <t>小区内的ho是否启用</t>
  </si>
  <si>
    <t>Device.Services.FAPService.{i}.CellConfig.{i}.NR.RAN.Mobility.ConnMode.NR.MeasureCtrl.Smeasure</t>
  </si>
  <si>
    <t xml:space="preserve">SmeasureConfig </t>
  </si>
  <si>
    <t>测量启动门限</t>
  </si>
  <si>
    <t>Device.Services.FAPService.{i}.CellConfig.{i}.NR.RAN.Mobility.ConnMode.NR.MeasureCtrl.QuantityConfig.QuantityConfigNR.{i}.QuantityConfigCell.SsbFilterRSRP</t>
  </si>
  <si>
    <t>SsbFilterRSRP</t>
  </si>
  <si>
    <t>小区SSB滤波RSRP</t>
  </si>
  <si>
    <t>string{FILTER_COEFFICIENT_FC0,FILTER_COEFFICIENT_FC1,FILTER_COEFFICIENT_FC2,FILTER_COEFFICIENT_FC3,FILTER_COEFFICIENT_FC4,FILTER_COEFFICIENT_FC5,FILTER_COEFFICIENT_FC6,FILTER_COEFFICIENT_FC7,FILTER_COEFFICIENT_FC8,FILTER_COEFFICIENT_FC9,FILTER_COEFFICIENT_FC11,FILTER_COEFFICIENT_FC13,FILTER_COEFFICIENT_FC15,FILTER_COEFFICIENT_FC17,FILTER_COEFFICIENT_FC19,FILTER_COEFFICIENT_SPARE1}</t>
  </si>
  <si>
    <t>Ssb测量RSRP过滤系数，可选参数，协议中描述若缺省使用默认值FC4</t>
  </si>
  <si>
    <t>Device.Services.FAPService.{i}.CellConfig.{i}.NR.RAN.Mobility.ConnMode.NR.MeasureCtrl.QuantityConfig.QuantityConfigNR.{i}.QuantityConfigCell.SsbFilterRSRQ</t>
  </si>
  <si>
    <t>SsbFilterRSRQ</t>
  </si>
  <si>
    <t>小区SSB滤波RSRQ</t>
  </si>
  <si>
    <t>Ssb测量RSRQ过滤系数</t>
  </si>
  <si>
    <t>Device.Services.FAPService.{i}.CellConfig.{i}.NR.RAN.Mobility.ConnMode.NR.MeasureCtrl.QuantityConfig.QuantityConfigNR.{i}.QuantityConfigCell.SsbFilterSINR</t>
  </si>
  <si>
    <t>SsbFilterSINR</t>
  </si>
  <si>
    <t>小区SSB滤波SINR</t>
  </si>
  <si>
    <t>Ssb测量SINR过滤系数</t>
  </si>
  <si>
    <t>Device.Services.FAPService.{i}.CellConfig.{i}.NR.RAN.Mobility.ConnMode.NR.MeasureCtrl.QuantityConfig.QuantityConfigNR.{i}.QuantityConfigCell.CsirsFilterRSRP</t>
  </si>
  <si>
    <t>CsirsFilterRSRP</t>
  </si>
  <si>
    <t>小区CSI-RS滤波RSRP</t>
  </si>
  <si>
    <t>CSI-RS测量RSRP过滤系数</t>
  </si>
  <si>
    <t>Device.Services.FAPService.{i}.CellConfig.{i}.NR.RAN.Mobility.ConnMode.NR.MeasureCtrl.QuantityConfig.QuantityConfigNR.{i}.QuantityConfigCell.CsirsFilterRSRQ</t>
  </si>
  <si>
    <t>CsirsFilterRSRQ</t>
  </si>
  <si>
    <t>小区CSI-RS滤波RSRQ</t>
  </si>
  <si>
    <t>Csirs测量RSRQ过滤系数</t>
  </si>
  <si>
    <t>Device.Services.FAPService.{i}.CellConfig.{i}.NR.RAN.Mobility.ConnMode.NR.MeasureCtrl.QuantityConfig.QuantityConfigNR.{i}.QuantityConfigCell.CsirsFilterSINR</t>
  </si>
  <si>
    <t>CsirsFilterSINR</t>
  </si>
  <si>
    <t>小区CSI-RS滤波SINR</t>
  </si>
  <si>
    <t>Csirs测量SINR过滤系数</t>
  </si>
  <si>
    <t>Device.Services.FAPService.{i}.CellConfig.{i}.NR.RAN.Mobility.ConnMode.NR.MeasureCtrl.QuantityConfig.QuantityConfigNR.{i}.QuantityConfigRsIndex.SsbFilterRSRP</t>
  </si>
  <si>
    <t>波束SSB滤波RSRP</t>
  </si>
  <si>
    <t>Ssb测量RSRP过滤系数</t>
  </si>
  <si>
    <t>Device.Services.FAPService.{i}.CellConfig.{i}.NR.RAN.Mobility.ConnMode.NR.MeasureCtrl.QuantityConfig.QuantityConfigNR.{i}.QuantityConfigRsIndex.SsbFilterRSRQ</t>
  </si>
  <si>
    <t>波束SSB滤波RSRQ</t>
  </si>
  <si>
    <t>Device.Services.FAPService.{i}.CellConfig.{i}.NR.RAN.Mobility.ConnMode.NR.MeasureCtrl.QuantityConfig.QuantityConfigNR.{i}.QuantityConfigRsIndex.SsbFilterSINR</t>
  </si>
  <si>
    <t>波束SSB滤波SINR</t>
  </si>
  <si>
    <t>Device.Services.FAPService.{i}.CellConfig.{i}.NR.RAN.Mobility.ConnMode.NR.MeasureCtrl.QuantityConfig.QuantityConfigNR.{i}.QuantityConfigRsIndex.CsirsFilterRSRP</t>
  </si>
  <si>
    <t>波束CSI-RS滤波RSRP</t>
  </si>
  <si>
    <t>Csirs测量RSRP过滤系数</t>
  </si>
  <si>
    <t>Device.Services.FAPService.{i}.CellConfig.{i}.NR.RAN.Mobility.ConnMode.NR.MeasureCtrl.QuantityConfig.QuantityConfigNR.{i}.QuantityConfigRsIndex.CsirsFilterRSRQ</t>
  </si>
  <si>
    <t>波束CSI-RS滤波RSRQ</t>
  </si>
  <si>
    <t>CSI-RS测量RSRQ过滤系数</t>
  </si>
  <si>
    <t>Device.Services.FAPService.{i}.CellConfig.{i}.NR.RAN.Mobility.ConnMode.NR.MeasureCtrl.QuantityConfig.QuantityConfigNR.{i}.QuantityConfigRsIndex.CsirsFilterSINR</t>
  </si>
  <si>
    <t>波束CSI-RS滤波SINR</t>
  </si>
  <si>
    <t>CSI-RS测量SINR过滤系数</t>
  </si>
  <si>
    <t>Device.Services.FAPService.{i}.CellConfig.{i}.NR.RAN.Mobility.ConnMode.NR.MeasureCtrl.QuantityConfig.QuantityConfigEutra.FilterRSRP</t>
  </si>
  <si>
    <t>FilterRSRP</t>
  </si>
  <si>
    <t>Eutra滤波RSRP</t>
  </si>
  <si>
    <t>RSRP过滤系数</t>
  </si>
  <si>
    <t>Device.Services.FAPService.{i}.CellConfig.{i}.NR.RAN.Mobility.ConnMode.NR.MeasureCtrl.QuantityConfig.QuantityConfigEutra.FilterRSRQ</t>
  </si>
  <si>
    <t>FilterRSRQ</t>
  </si>
  <si>
    <t>Eutra滤波RSRQ</t>
  </si>
  <si>
    <t>RSRQ过滤系数</t>
  </si>
  <si>
    <t>Device.Services.FAPService.{i}.CellConfig.{i}.NR.RAN.Mobility.ConnMode.NR.MeasureCtrl.QuantityConfig.QuantityConfigEutra.FilterSINR</t>
  </si>
  <si>
    <t>FilterSINR</t>
  </si>
  <si>
    <t>Eutra滤波SINR</t>
  </si>
  <si>
    <t>SINR过滤系数</t>
  </si>
  <si>
    <t>周期性测量的配置</t>
  </si>
  <si>
    <t>Device.Services.FAPService.{i}.CellConfig.{i}.NR.RAN.Mobility.ConnMode.NR.PeriodMeasCtrl.{i}.Enable</t>
  </si>
  <si>
    <t>使能开关</t>
  </si>
  <si>
    <t>Device.Services.FAPService.{i}.CellConfig.{i}.NR.RAN.Mobility.ConnMode.NR.PeriodMeasCtrl.{i}.PlmnId.{i}.PLMN</t>
  </si>
  <si>
    <t>事件支持的PlMN</t>
  </si>
  <si>
    <t>事件属于的PLMN</t>
  </si>
  <si>
    <t>Device.Services.FAPService.{i}.CellConfig.{i}.NR.RAN.Mobility.ConnMode.NR.PeriodMeasCtrl.{i}.RsType</t>
  </si>
  <si>
    <t>Device.Services.FAPService.{i}.CellConfig.{i}.NR.RAN.Mobility.ConnMode.NR.PeriodMeasCtrl.{i}.IncludeBeamMeasurements</t>
  </si>
  <si>
    <t>IncludeBeamMeasurements</t>
  </si>
  <si>
    <t>波束赋形测量指示</t>
  </si>
  <si>
    <t>Device.Services.FAPService.{i}.CellConfig.{i}.NR.RAN.Mobility.ConnMode.NR.PeriodMeasCtrl.{i}.UseWhiteCellList</t>
  </si>
  <si>
    <t>UseWhiteCellList</t>
  </si>
  <si>
    <t>小区测量白名单指示</t>
  </si>
  <si>
    <t>Device.Services.FAPService.{i}.CellConfig.{i}.NR.RAN.Mobility.ConnMode.NR.PeriodMeasCtrl.{i}.ReportQuantity</t>
  </si>
  <si>
    <t>reportQuantity</t>
  </si>
  <si>
    <t>上报量</t>
  </si>
  <si>
    <t>测量报告中的上报量
{rsrp 
rsrq 
sinr }</t>
  </si>
  <si>
    <t>Device.Services.FAPService.{i}.CellConfig.{i}.NR.RAN.Mobility.ConnMode.NR.PeriodMeasCtrl.{i}.MaxReportCells</t>
  </si>
  <si>
    <t>MaxReportCells</t>
  </si>
  <si>
    <t>小区的最大数目</t>
  </si>
  <si>
    <t>Device.Services.FAPService.{i}.CellConfig.{i}.NR.RAN.Mobility.ConnMode.NR.PeriodMeasCtrl.{i}.ReportInterval</t>
  </si>
  <si>
    <t>ReportInterval</t>
  </si>
  <si>
    <t>周期性测量报告</t>
  </si>
  <si>
    <t>unsignedInt[120, 240, 480, 640, 1024, 2048, 5120, 10240,40960,60000,360000, 720000,1800000]</t>
  </si>
  <si>
    <t>Device.Services.FAPService.{i}.CellConfig.{i}.NR.RAN.Mobility.ConnMode.NR.PeriodMeasCtrl.{i}.ReportAmount</t>
  </si>
  <si>
    <t>ReportAmount</t>
  </si>
  <si>
    <t>测量报告次数</t>
  </si>
  <si>
    <t>unsignedInt[0:2, 4, 8, 16, 32, 64]</t>
  </si>
  <si>
    <t>测量报告发送的次数，0表示无限次;
参见36.331协议中测量章节描述，在reportCGI时，此参数ReportAmount=1</t>
  </si>
  <si>
    <t>Device.Services.FAPService.{i}.CellConfig.{i}.NR.RAN.Mobility.ConnMode.NR.PeriodMeasCtrl.{i}.MeasurePurpose</t>
  </si>
  <si>
    <t>MeasurePurpose</t>
  </si>
  <si>
    <t>测量目的</t>
  </si>
  <si>
    <t>unsignedInt[1:100]</t>
  </si>
  <si>
    <t>Device.Services.FAPService.{i}.CellConfig.{i}.NR.RAN.Mobility.ConnMode.NR.PeriodMeasCtrl.{i}.RptQuantityRsIndex</t>
  </si>
  <si>
    <t>RptQuantityRsIndex</t>
  </si>
  <si>
    <t>周期性事件波束测量结果上报</t>
  </si>
  <si>
    <t>string{rsrp,rsrq,sinr}</t>
  </si>
  <si>
    <t>周期性事件上报包含的波束测量结果</t>
  </si>
  <si>
    <t>Device.Services.FAPService.{i}.CellConfig.{i}.NR.RAN.Mobility.ConnMode.NR.PeriodMeasCtrl.{i}.MaxNrofRSIndexToReport</t>
  </si>
  <si>
    <t>MaxNrofRSIndexToReport</t>
  </si>
  <si>
    <t>测量结果中包括的做大波束数目</t>
  </si>
  <si>
    <t>unsignedInt[0:32]</t>
  </si>
  <si>
    <t>0表示absent</t>
  </si>
  <si>
    <t>A1事件测量控制参数</t>
  </si>
  <si>
    <t>Device.Services.FAPService.{i}.CellConfig.{i}.NR.RAN.Mobility.ConnMode.NR.A1MeasureCtrl.{i}.Enable</t>
  </si>
  <si>
    <t>是否启用该表项</t>
  </si>
  <si>
    <t>Device.Services.FAPService.{i}.CellConfig.{i}.NR.RAN.Mobility.ConnMode.NR.A1MeasureCtrl.{i}.PlmnId.{i}.PLMN</t>
  </si>
  <si>
    <t>A1事件属于的Plmn</t>
  </si>
  <si>
    <t>Device.Services.FAPService.{i}.CellConfig.{i}.NR.RAN.Mobility.ConnMode.NR.A1MeasureCtrl.{i}.A1ThresholdRSRP</t>
  </si>
  <si>
    <t>A1ThresholdRSRP</t>
  </si>
  <si>
    <t>A1事件RSRP门限</t>
  </si>
  <si>
    <t>用于NR测量中,触发量为RSRP时,A1事件触发条件的绝对门限</t>
  </si>
  <si>
    <t>Device.Services.FAPService.{i}.CellConfig.{i}.NR.RAN.Mobility.ConnMode.NR.A1MeasureCtrl.{i}.A1ThresholdRSRQ</t>
  </si>
  <si>
    <t>A1ThresholdRSRQ</t>
  </si>
  <si>
    <t>A1事件RSRQ门限</t>
  </si>
  <si>
    <t>用于NR测量中,触发量为RSRQ时,A1事件触发条件的绝对门限</t>
  </si>
  <si>
    <t>Device.Services.FAPService.{i}.CellConfig.{i}.NR.RAN.Mobility.ConnMode.NR.A1MeasureCtrl.{i}.A1ThresholdSINR</t>
  </si>
  <si>
    <t>A1ThresholdSINR</t>
  </si>
  <si>
    <t>A1事件SINR门限</t>
  </si>
  <si>
    <t>用于NR测量中，触发量为SINR时，A1事件触发条件的绝对门限</t>
  </si>
  <si>
    <t>Device.Services.FAPService.{i}.CellConfig.{i}.NR.RAN.Mobility.ConnMode.NR.A1MeasureCtrl.{i}.ReportOnLeave</t>
  </si>
  <si>
    <t>ReportOnLeave</t>
  </si>
  <si>
    <t>A1事件离开上报指示</t>
  </si>
  <si>
    <t>某小区的离开状态满足时,UE是否触发测量上报过程；
0:代表不满足条件的小区离开测量列表时不进行上报；
1:代表都会触发测量结果的填写以及上报消息的发送</t>
  </si>
  <si>
    <t>Device.Services.FAPService.{i}.CellConfig.{i}.NR.RAN.Mobility.ConnMode.NR.A1MeasureCtrl.{i}.Hysteresis</t>
  </si>
  <si>
    <t>Hysteresis</t>
  </si>
  <si>
    <t>迟滞值</t>
  </si>
  <si>
    <t>unsignedInt[0:30]</t>
  </si>
  <si>
    <t>进入和离开上报触发事件条件的滞后值</t>
  </si>
  <si>
    <t>Device.Services.FAPService.{i}.CellConfig.{i}.NR.RAN.Mobility.ConnMode.NR.A1MeasureCtrl.{i}.MaxReportCells</t>
  </si>
  <si>
    <t>最大上报小区数</t>
  </si>
  <si>
    <t>测量报告中包含小区的最大数目</t>
  </si>
  <si>
    <t>Device.Services.FAPService.{i}.CellConfig.{i}.NR.RAN.Mobility.ConnMode.NR.A1MeasureCtrl.{i}.MeasurePurpose</t>
  </si>
  <si>
    <t>用于表明当前配置事件的使用目的，厂家自定义测量事件从10开始定义</t>
  </si>
  <si>
    <t>Device.Services.FAPService.{i}.CellConfig.{i}.NR.RAN.Mobility.ConnMode.NR.A1MeasureCtrl.{i}.ReportAmount</t>
  </si>
  <si>
    <t>上报次数</t>
  </si>
  <si>
    <t>测量报告发送的次数，0表示无限次</t>
  </si>
  <si>
    <t>Device.Services.FAPService.{i}.CellConfig.{i}.NR.RAN.Mobility.ConnMode.NR.A1MeasureCtrl.{i}.ReportInterval</t>
  </si>
  <si>
    <t>上报间隔</t>
  </si>
  <si>
    <t>unsignedInt[120, 240, 480, 640, 1024, 2048, 5120, 10240,40960, 60000, 360000, 720000, 1800000]</t>
  </si>
  <si>
    <t>连续测量报告之间的间隔，单位ms</t>
  </si>
  <si>
    <t>Device.Services.FAPService.{i}.CellConfig.{i}.NR.RAN.Mobility.ConnMode.NR.A1MeasureCtrl.{i}.TimeToTrigger</t>
  </si>
  <si>
    <t>unsignedInt[0,40, 64, 80,100,128, 160,256,320, 480, 512, 640, 1024,1280,2560,5120]</t>
  </si>
  <si>
    <t>为了满足触发RAT测量报告,触发条件持续的时间，单位ms</t>
  </si>
  <si>
    <t>Device.Services.FAPService.{i}.CellConfig.{i}.NR.RAN.Mobility.ConnMode.NR.A1MeasureCtrl.{i}.RsType</t>
  </si>
  <si>
    <t>Device.Services.FAPService.{i}.CellConfig.{i}.NR.RAN.Mobility.ConnMode.NR.A1MeasureCtrl.{i}.IncludeBeamMeasurements</t>
  </si>
  <si>
    <t>指示是否使用波束赋形功能</t>
  </si>
  <si>
    <t>Device.Services.FAPService.{i}.CellConfig.{i}.NR.RAN.Mobility.ConnMode.NR.A1MeasureCtrl.{i}.ReportAddNeighMeas</t>
  </si>
  <si>
    <t>ReportAddNeighMeas</t>
  </si>
  <si>
    <t>同频邻区报告指示</t>
  </si>
  <si>
    <t>指示测量报告是否包含同频邻区测量结果</t>
  </si>
  <si>
    <t>Device.Services.FAPService.{i}.CellConfig.{i}.NR.RAN.Mobility.ConnMode.NR.A1MeasureCtrl.{i}.ReportQuantityCell</t>
  </si>
  <si>
    <t>ReportQuantityCell</t>
  </si>
  <si>
    <t>A1事件测量结果上报类型</t>
  </si>
  <si>
    <t>A1事件上报包含的测量结果</t>
  </si>
  <si>
    <t>Device.Services.FAPService.{i}.CellConfig.{i}.NR.RAN.Mobility.ConnMode.NR.A1MeasureCtrl.{i}.RptQuantityRsIndex</t>
  </si>
  <si>
    <t>A1事件波束测量结果上报类型</t>
  </si>
  <si>
    <t>A1事件上报包含的波束测量结果</t>
  </si>
  <si>
    <t>Device.Services.FAPService.{i}.CellConfig.{i}.NR.RAN.Mobility.ConnMode.NR.A1MeasureCtrl.{i}.MaxNrofRSIndexToReport</t>
  </si>
  <si>
    <t xml:space="preserve">Device.Services.FAPService.{i}.CellConfig.{i}.NR.RAN.Mobility.ConnMode.NR.A1MeasureCtrl.{i}.TriggerQuantity </t>
  </si>
  <si>
    <t xml:space="preserve">TriggerQuantity </t>
  </si>
  <si>
    <t>A1事件上报触发量</t>
  </si>
  <si>
    <t>A2事件测量控制参数</t>
  </si>
  <si>
    <t>Device.Services.FAPService.{i}.CellConfig.{i}.NR.RAN.Mobility.ConnMode.NR.A2MeasureCtrl.{i}.Enable</t>
  </si>
  <si>
    <t>Device.Services.FAPService.{i}.CellConfig.{i}.NR.RAN.Mobility.ConnMode.NR.A2MeasureCtrl.{i}.PlmnId.{i}.PLMN</t>
  </si>
  <si>
    <t>A2事件属于的PLMN</t>
  </si>
  <si>
    <t>Device.Services.FAPService.{i}.CellConfig.{i}.NR.RAN.Mobility.ConnMode.NR.A2MeasureCtrl.{i}.A2ThresholdRSRP</t>
  </si>
  <si>
    <t>A2ThresholdRSRP</t>
  </si>
  <si>
    <t>A2事件RSRP门限</t>
  </si>
  <si>
    <t>用于NR测量中,触发量为RSRP时,A2事件触发条件的绝对门限</t>
  </si>
  <si>
    <t>Device.Services.FAPService.{i}.CellConfig.{i}.NR.RAN.Mobility.ConnMode.NR.A2MeasureCtrl.{i}.A2ThresholdRSRQ</t>
  </si>
  <si>
    <t>A2ThresholdRSRQ</t>
  </si>
  <si>
    <t>A2事件RSRQ门限</t>
  </si>
  <si>
    <t xml:space="preserve">用于NR测量中,触发量为RSRQ时,A2事件触发条件的绝对门限
</t>
  </si>
  <si>
    <t>Device.Services.FAPService.{i}.CellConfig.{i}.NR.RAN.Mobility.ConnMode.NR.A2MeasureCtrl.{i}.A2ThresholdSINR</t>
  </si>
  <si>
    <t>A2ThresholdSINR</t>
  </si>
  <si>
    <t>A2事件SINR门限</t>
  </si>
  <si>
    <t>用于NR测量中，触发量为SINR时，A2事件触发条件的绝对门限</t>
  </si>
  <si>
    <t>Device.Services.FAPService.{i}.CellConfig.{i}.NR.RAN.Mobility.ConnMode.NR.A2MeasureCtrl.{i}.ReportOnLeave</t>
  </si>
  <si>
    <t>A2事件离开上报指示</t>
  </si>
  <si>
    <t>boolen</t>
  </si>
  <si>
    <t>Device.Services.FAPService.{i}.CellConfig.{i}.NR.RAN.Mobility.ConnMode.NR.A2MeasureCtrl.{i}.Hysteresis</t>
  </si>
  <si>
    <t xml:space="preserve">进入和离开上报触发事件条件的滞后值
</t>
  </si>
  <si>
    <t>Device.Services.FAPService.{i}.CellConfig.{i}.NR.RAN.Mobility.ConnMode.NR.A2MeasureCtrl.{i}.MaxReportCells</t>
  </si>
  <si>
    <t>Device.Services.FAPService.{i}.CellConfig.{i}.NR.RAN.Mobility.ConnMode.NR.A2MeasureCtrl.{i}.MeasurePurpose</t>
  </si>
  <si>
    <t>Device.Services.FAPService.{i}.CellConfig.{i}.NR.RAN.Mobility.ConnMode.NR.A2MeasureCtrl.{i}.ReportAmount</t>
  </si>
  <si>
    <t>Device.Services.FAPService.{i}.CellConfig.{i}.NR.RAN.Mobility.ConnMode.NR.A2MeasureCtrl.{i}.ReportInterval</t>
  </si>
  <si>
    <t>Device.Services.FAPService.{i}.CellConfig.{i}.NR.RAN.Mobility.ConnMode.NR.A2MeasureCtrl.{i}.TimeToTrigger</t>
  </si>
  <si>
    <t>为了满足触发RAT测量报告触发条件持续的时间，单位ms</t>
  </si>
  <si>
    <t>Device.Services.FAPService.{i}.CellConfig.{i}.NR.RAN.Mobility.ConnMode.NR.A2MeasureCtrl.{i}.RsType</t>
  </si>
  <si>
    <t>Device.Services.FAPService.{i}.CellConfig.{i}.NR.RAN.Mobility.ConnMode.NR.A2MeasureCtrl.{i}.IncludeBeamMeasurements</t>
  </si>
  <si>
    <t xml:space="preserve">指示是否使用波束赋形功能。
</t>
  </si>
  <si>
    <t>Device.Services.FAPService.{i}.CellConfig.{i}.NR.RAN.Mobility.ConnMode.NR.A2MeasureCtrl.{i}.ReportQuantityCell</t>
  </si>
  <si>
    <t>A2事件测量结果上报类型</t>
  </si>
  <si>
    <t>A2事件上报包含的测量结果</t>
  </si>
  <si>
    <t>Device.Services.FAPService.{i}.CellConfig.{i}.NR.RAN.Mobility.ConnMode.NR.A2MeasureCtrl.{i}.RptQuantityRsIndex</t>
  </si>
  <si>
    <t>A2事件波束测量结果上报类型</t>
  </si>
  <si>
    <t>A2事件上报包含的波束测量结果</t>
  </si>
  <si>
    <t>Device.Services.FAPService.{i}.CellConfig.{i}.NR.RAN.Mobility.ConnMode.NR.A2MeasureCtrl.{i}.ReportAddNeighMeas</t>
  </si>
  <si>
    <t>Device.Services.FAPService.{i}.CellConfig.{i}.NR.RAN.Mobility.ConnMode.NR.A2MeasureCtrl.{i}.MaxNrofRSIndexToReport</t>
  </si>
  <si>
    <t xml:space="preserve">Device.Services.FAPService.{i}.CellConfig.{i}.NR.RAN.Mobility.ConnMode.NR.A2MeasureCtrl.{i}.TriggerQuantity </t>
  </si>
  <si>
    <t>A2事件上报触发量</t>
  </si>
  <si>
    <t>A3事件测量控制参数</t>
  </si>
  <si>
    <t>Device.Services.FAPService.{i}.CellConfig.{i}.NR.RAN.Mobility.ConnMode.NR.A3MeasureCtrl.{i}.Enable</t>
  </si>
  <si>
    <t>Device.Services.FAPService.{i}.CellConfig.{i}.NR.RAN.Mobility.ConnMode.NR.A3MeasureCtrl.{i}.PlmnId.{i}.PLMN</t>
  </si>
  <si>
    <t>Device.Services.FAPService.{i}.CellConfig.{i}.NR.RAN.Mobility.ConnMode.NR.A3MeasureCtrl.{i}.A3OffsetRSRP</t>
  </si>
  <si>
    <t>A3OffsetRSRP</t>
  </si>
  <si>
    <t>A3事件RSRP门限</t>
  </si>
  <si>
    <t>int[-30:30]</t>
  </si>
  <si>
    <t>用于NR测量中，A3事件RSRP触发条件的相对门限值</t>
  </si>
  <si>
    <t>Device.Services.FAPService.{i}.CellConfig.{i}.NR.RAN.Mobility.ConnMode.NR.A3MeasureCtrl.{i}.A3OffsetRSRQ</t>
  </si>
  <si>
    <t>A3OffsetRSRQ</t>
  </si>
  <si>
    <t>A3事件RSRQ门限</t>
  </si>
  <si>
    <t>用于NR测量中，A3事件RSRQ触发条件的相对门限值</t>
  </si>
  <si>
    <t>Device.Services.FAPService.{i}.CellConfig.{i}.NR.RAN.Mobility.ConnMode.NR.A3MeasureCtrl.{i}.A3OffsetSINR</t>
  </si>
  <si>
    <t>A3OffsetSINR</t>
  </si>
  <si>
    <t>A3事件SINR门限</t>
  </si>
  <si>
    <t>用于NR测量中，A3事件SINR触发条件的相对门限值</t>
  </si>
  <si>
    <t>Device.Services.FAPService.{i}.CellConfig.{i}.NR.RAN.Mobility.ConnMode.NR.A3MeasureCtrl.{i}.Hysteresis</t>
  </si>
  <si>
    <t>Device.Services.FAPService.{i}.CellConfig.{i}.NR.RAN.Mobility.ConnMode.NR.A3MeasureCtrl.{i}.MaxReportCells</t>
  </si>
  <si>
    <t>Device.Services.FAPService.{i}.CellConfig.{i}.NR.RAN.Mobility.ConnMode.NR.A3MeasureCtrl.{i}.MeasurePurpose</t>
  </si>
  <si>
    <t>Device.Services.FAPService.{i}.CellConfig.{i}.NR.RAN.Mobility.ConnMode.NR.A3MeasureCtrl.{i}.ReportAmount</t>
  </si>
  <si>
    <t>Device.Services.FAPService.{i}.CellConfig.{i}.NR.RAN.Mobility.ConnMode.NR.A3MeasureCtrl.{i}.ReportOnLeave</t>
  </si>
  <si>
    <t>A3事件离开上报指示</t>
  </si>
  <si>
    <t>Device.Services.FAPService.{i}.CellConfig.{i}.NR.RAN.Mobility.ConnMode.NR.A3MeasureCtrl.{i}.ReportInterval</t>
  </si>
  <si>
    <t>为了满足触发RAT测量报告触发条件持续的时间</t>
  </si>
  <si>
    <t>Device.Services.FAPService.{i}.CellConfig.{i}.NR.RAN.Mobility.ConnMode.NR.A3MeasureCtrl.{i}.TimeToTrigger</t>
  </si>
  <si>
    <t>Device.Services.FAPService.{i}.CellConfig.{i}.NR.RAN.Mobility.ConnMode.NR.A3MeasureCtrl.{i}.UseWhiteCellList</t>
  </si>
  <si>
    <t>指示是否使用小区测量白名单。
1：表示当相关小区包含在whiteCellsToAddModList中时，考虑任何邻区，关联measObjectNRto是否适合；
0：表示当相关小区没有包含在blackCellsToAddModList中时，考虑任何邻区，关联measObjectNRto是否适合；</t>
  </si>
  <si>
    <t>Device.Services.FAPService.{i}.CellConfig.{i}.NR.RAN.Mobility.ConnMode.NR.A3MeasureCtrl.{i}.RsType</t>
  </si>
  <si>
    <t>Device.Services.FAPService.{i}.CellConfig.{i}.NR.RAN.Mobility.ConnMode.NR.A3MeasureCtrl.{i}.IncludeBeamMeasurements</t>
  </si>
  <si>
    <t>Device.Services.FAPService.{i}.CellConfig.{i}.NR.RAN.Mobility.ConnMode.NR.A3MeasureCtrl.{i}.ReportAddNeighMeas</t>
  </si>
  <si>
    <t>Device.Services.FAPService.{i}.CellConfig.{i}.NR.RAN.Mobility.ConnMode.NR.A3MeasureCtrl.{i}.ReportQuantityCell</t>
  </si>
  <si>
    <t>A3事件测量结果上报类型</t>
  </si>
  <si>
    <t>A3事件上报包含的测量结果</t>
  </si>
  <si>
    <t>Device.Services.FAPService.{i}.CellConfig.{i}.NR.RAN.Mobility.ConnMode.NR.A3MeasureCtrl.{i}.RptQuantityRsIndex</t>
  </si>
  <si>
    <t>A3事件波束测量结果上报类型</t>
  </si>
  <si>
    <t>A3事件上报包含的波束测量结果</t>
  </si>
  <si>
    <t>Device.Services.FAPService.{i}.CellConfig.{i}.NR.RAN.Mobility.ConnMode.NR.A3MeasureCtrl.{i}.MaxNrofRSIndexToReport</t>
  </si>
  <si>
    <t xml:space="preserve">Device.Services.FAPService.{i}.CellConfig.{i}.NR.RAN.Mobility.ConnMode.NR.A3MeasureCtrl.{i}.TriggerQuantity </t>
  </si>
  <si>
    <t>A3事件上报触发量</t>
  </si>
  <si>
    <t>A4事件测量控制参数</t>
  </si>
  <si>
    <t>Device.Services.FAPService.{i}.CellConfig.{i}.NR.RAN.Mobility.ConnMode.NR.A4MeasureCtrl.{i}.Enable</t>
  </si>
  <si>
    <t>Device.Services.FAPService.{i}.CellConfig.{i}.NR.RAN.Mobility.ConnMode.NR.A4MeasureCtrl.{i}.PlmnId.{i}.PLMN</t>
  </si>
  <si>
    <t>Device.Services.FAPService.{i}.CellConfig.{i}.NR.RAN.Mobility.ConnMode.NR.A4MeasureCtrl.{i}.A4ThresholdRSRP</t>
  </si>
  <si>
    <t>A4ThresholdRSRP</t>
  </si>
  <si>
    <t>A4事件RSRP门限</t>
  </si>
  <si>
    <t>用于NR测量中,触发量为RSRP时,A4事件触发条件的绝对门</t>
  </si>
  <si>
    <t>Device.Services.FAPService.{i}.CellConfig.{i}.NR.RAN.Mobility.ConnMode.NR.A4MeasureCtrl.{i}.A4ThresholdRSRQ</t>
  </si>
  <si>
    <t>A4ThresholdRSRQ</t>
  </si>
  <si>
    <t>A4事件RSRQ门限</t>
  </si>
  <si>
    <t>用于NR测量中,触发量为RSRQ时,A4事件触发条件的绝对门限</t>
  </si>
  <si>
    <t>Device.Services.FAPService.{i}.CellConfig.{i}.NR.RAN.Mobility.ConnMode.NR.A4MeasureCtrl.{i}.A4ThresholdSINR</t>
  </si>
  <si>
    <t>A4ThresholdSINR</t>
  </si>
  <si>
    <t>A4事件SINR门限</t>
  </si>
  <si>
    <t>用于NR测量中,触发量为SINR时,A4事件触发条件的绝对门限</t>
  </si>
  <si>
    <t xml:space="preserve">Device.Services.FAPService.{i}.CellConfig.{i}.NR.RAN.Mobility.ConnMode.NR.A4MeasureCtrl.{i}.ReportOnLeave </t>
  </si>
  <si>
    <t xml:space="preserve">ReportOnLeave </t>
  </si>
  <si>
    <t>A4事件离开上报指示</t>
  </si>
  <si>
    <t>Device.Services.FAPService.{i}.CellConfig.{i}.NR.RAN.Mobility.ConnMode.NR.A4MeasureCtrl.{i}.Hysteresis</t>
  </si>
  <si>
    <t>unsignedInt[0:34]</t>
  </si>
  <si>
    <t>进入和离开上报触发事件条件的滞后值；</t>
  </si>
  <si>
    <t>Device.Services.FAPService.{i}.CellConfig.{i}.NR.RAN.Mobility.ConnMode.NR.A4MeasureCtrl.{i}.MaxReportCells</t>
  </si>
  <si>
    <t>Device.Services.FAPService.{i}.CellConfig.{i}.NR.RAN.Mobility.ConnMode.NR.A4MeasureCtrl.{i}.MeasurePurpose</t>
  </si>
  <si>
    <t>Device.Services.FAPService.{i}.CellConfig.{i}.NR.RAN.Mobility.ConnMode.NR.A4MeasureCtrl.{i}.ReportAmount</t>
  </si>
  <si>
    <t>Device.Services.FAPService.{i}.CellConfig.{i}.NR.RAN.Mobility.ConnMode.NR.A4MeasureCtrl.{i}.ReportInterval</t>
  </si>
  <si>
    <t>连续测量报告之间的间隔</t>
  </si>
  <si>
    <t>Device.Services.FAPService.{i}.CellConfig.{i}.NR.RAN.Mobility.ConnMode.NR.A4MeasureCtrl.{i}.TimeToTrigger</t>
  </si>
  <si>
    <t>Device.Services.FAPService.{i}.CellConfig.{i}.NR.RAN.Mobility.ConnMode.NR.A4MeasureCtrl.{i}.UseWhiteCellList</t>
  </si>
  <si>
    <t>Device.Services.FAPService.{i}.CellConfig.{i}.NR.RAN.Mobility.ConnMode.NR.A4MeasureCtrl.{i}.RsType</t>
  </si>
  <si>
    <t>Device.Services.FAPService.{i}.CellConfig.{i}.NR.RAN.Mobility.ConnMode.NR.A4MeasureCtrl.{i}.IncludeBeamMeasurements</t>
  </si>
  <si>
    <t>Device.Services.FAPService.{i}.CellConfig.{i}.NR.RAN.Mobility.ConnMode.NR.A4MeasureCtrl.{i}.ReportAddNeighMeas</t>
  </si>
  <si>
    <t>Device.Services.FAPService.{i}.CellConfig.{i}.NR.RAN.Mobility.ConnMode.NR.A4MeasureCtrl.{i}.MaxNrofRSIndexToReport</t>
  </si>
  <si>
    <t>Device.Services.FAPService.{i}.CellConfig.{i}.NR.RAN.Mobility.ConnMode.NR.A4MeasureCtrl.{i}.ReportQuantityCell</t>
  </si>
  <si>
    <t>A4事件测量结果上报类型</t>
  </si>
  <si>
    <t>A4事件上报包含的测量结果</t>
  </si>
  <si>
    <t>Device.Services.FAPService.{i}.CellConfig.{i}.NR.RAN.Mobility.ConnMode.NR.A4MeasureCtrl.{i}.RptQuantityRsIndex</t>
  </si>
  <si>
    <t>A4事件波束测量结果上报类型</t>
  </si>
  <si>
    <t>A4事件上报包含的波束测量结果</t>
  </si>
  <si>
    <t xml:space="preserve">Device.Services.FAPService.{i}.CellConfig.{i}.NR.RAN.Mobility.ConnMode.NR.A4MeasureCtrl.{i}.TriggerQuantity </t>
  </si>
  <si>
    <t>A4事件上报触发量</t>
  </si>
  <si>
    <t>A5事件测量控制参数</t>
  </si>
  <si>
    <t>Device.Services.FAPService.{i}.CellConfig.{i}.NR.RAN.Mobility.ConnMode.NR.A5MeasureCtrl.{i}.Enable</t>
  </si>
  <si>
    <t>Device.Services.FAPService.{i}.CellConfig.{i}.NR.RAN.Mobility.ConnMode.NR.A5MeasureCtrl.{i}.PlmnId.{i}.PLMN</t>
  </si>
  <si>
    <t>Device.Services.FAPService.{i}.CellConfig.{i}.NR.RAN.Mobility.ConnMode.NR.A5MeasureCtrl.{i}.A5Threshold1RSRP</t>
  </si>
  <si>
    <t>A5Threshold1RSRP</t>
  </si>
  <si>
    <t>A5事件RSRP门限1</t>
  </si>
  <si>
    <t>用于NR测量中,触发量为RSRP时,A5事件触发条件的绝对门限1;</t>
  </si>
  <si>
    <t>Device.Services.FAPService.{i}.CellConfig.{i}.NR.RAN.Mobility.ConnMode.NR.A5MeasureCtrl.{i}.A5Threshold1RSRQ</t>
  </si>
  <si>
    <t>A5Threshold1RSRQ</t>
  </si>
  <si>
    <t>A5事件RSRQ门限1</t>
  </si>
  <si>
    <t>用于NR测量中,触发量为RSRQ时,A5事件触发条件的绝对门限1;</t>
  </si>
  <si>
    <t>Device.Services.FAPService.{i}.CellConfig.{i}.NR.RAN.Mobility.ConnMode.NR.A5MeasureCtrl.{i}.A5Threshold1SINR</t>
  </si>
  <si>
    <t>A5Threshold1SINR</t>
  </si>
  <si>
    <t>A5事件SINR门限1</t>
  </si>
  <si>
    <t>用于NR测量中,触发量为SINR时,A5事件触发条件的绝对门限1;</t>
  </si>
  <si>
    <t>Device.Services.FAPService.{i}.CellConfig.{i}.NR.RAN.Mobility.ConnMode.NR.A5MeasureCtrl.{i}.A5Threshold2RSRP</t>
  </si>
  <si>
    <t>A5Threshold2RSRP</t>
  </si>
  <si>
    <t>A5事件RSRP门限2</t>
  </si>
  <si>
    <t xml:space="preserve">用于NR测量中,触发量为RSRP时,A5事件触发条件的绝对门限2; </t>
  </si>
  <si>
    <t>Device.Services.FAPService.{i}.CellConfig.{i}.NR.RAN.Mobility.ConnMode.NR.A5MeasureCtrl.{i}.A5Threshold2RSRQ</t>
  </si>
  <si>
    <t>A5Threshold2RSRQ</t>
  </si>
  <si>
    <t>A5事件RSRQ门限2</t>
  </si>
  <si>
    <t>用于NR测量中,触发量为RSRQ时,A5事件触发条件的绝对门限2</t>
  </si>
  <si>
    <t>Device.Services.FAPService.{i}.CellConfig.{i}.NR.RAN.Mobility.ConnMode.NR.A5MeasureCtrl.{i}.A5Threshold2SINR</t>
  </si>
  <si>
    <t>A5Threshold2SINR</t>
  </si>
  <si>
    <t>A5事件SINR门限2</t>
  </si>
  <si>
    <t>用于NR测量中,触发量为SINR时,A5事件触发条件的绝对门限2;</t>
  </si>
  <si>
    <t xml:space="preserve">Device.Services.FAPService.{i}.CellConfig.{i}.NR.RAN.Mobility.ConnMode.NR.A5MeasureCtrl.{i}.ReportOnLeave </t>
  </si>
  <si>
    <t xml:space="preserve">reportOnLeave </t>
  </si>
  <si>
    <t>A5事件离开上报指示</t>
  </si>
  <si>
    <t>Device.Services.FAPService.{i}.CellConfig.{i}.NR.RAN.Mobility.ConnMode.NR.A5MeasureCtrl.{i}.Hysteresis</t>
  </si>
  <si>
    <t>Device.Services.FAPService.{i}.CellConfig.{i}.NR.RAN.Mobility.ConnMode.NR.A5MeasureCtrl.{i}.MaxReportCells</t>
  </si>
  <si>
    <t>Device.Services.FAPService.{i}.CellConfig.{i}.NR.RAN.Mobility.ConnMode.NR.A5MeasureCtrl.{i}.MeasurePurpose</t>
  </si>
  <si>
    <t>Device.Services.FAPService.{i}.CellConfig.{i}.NR.RAN.Mobility.ConnMode.NR.A5MeasureCtrl.{i}.ReportAmount</t>
  </si>
  <si>
    <t>Device.Services.FAPService.{i}.CellConfig.{i}.NR.RAN.Mobility.ConnMode.NR.A5MeasureCtrl.{i}.ReportInterval</t>
  </si>
  <si>
    <t>Device.Services.FAPService.{i}.CellConfig.{i}.NR.RAN.Mobility.ConnMode.NR.A5MeasureCtrl.{i}.TimeToTrigger</t>
  </si>
  <si>
    <t>Device.Services.FAPService.{i}.CellConfig.{i}.NR.RAN.Mobility.ConnMode.NR.A5MeasureCtrl.{i}.UseWhiteCellList</t>
  </si>
  <si>
    <t>Device.Services.FAPService.{i}.CellConfig.{i}.NR.RAN.Mobility.ConnMode.NR.A5MeasureCtrl.{i}.RsType</t>
  </si>
  <si>
    <t>Device.Services.FAPService.{i}.CellConfig.{i}.NR.RAN.Mobility.ConnMode.NR.A5MeasureCtrl.{i}.IncludeBeamMeasurements</t>
  </si>
  <si>
    <t>Device.Services.FAPService.{i}.CellConfig.{i}.NR.RAN.Mobility.ConnMode.NR.A5MeasureCtrl.{i}.ReportAddNeighMeas</t>
  </si>
  <si>
    <t>Device.Services.FAPService.{i}.CellConfig.{i}.NR.RAN.Mobility.ConnMode.NR.A5MeasureCtrl.{i}.ReportQuantityCell</t>
  </si>
  <si>
    <t>A5事件测量结果上报类型</t>
  </si>
  <si>
    <t>A5事件上报包含的测量结果</t>
  </si>
  <si>
    <t>Device.Services.FAPService.{i}.CellConfig.{i}.NR.RAN.Mobility.ConnMode.NR.A5MeasureCtrl.{i}.RptQuantityRsIndex</t>
  </si>
  <si>
    <t>A5事件波束测量结果上报类型</t>
  </si>
  <si>
    <t>A5事件上报包含的波束测量结果</t>
  </si>
  <si>
    <t>Device.Services.FAPService.{i}.CellConfig.{i}.NR.RAN.Mobility.ConnMode.NR.A5MeasureCtrl.{i}.MaxNrofRSIndexToReport</t>
  </si>
  <si>
    <t xml:space="preserve">Device.Services.FAPService.{i}.CellConfig.{i}.NR.RAN.Mobility.ConnMode.NR.A5MeasureCtrl.{i}.TriggerQuantity </t>
  </si>
  <si>
    <t>A5事件上报触发量</t>
  </si>
  <si>
    <t>B1事件测量控制参数</t>
  </si>
  <si>
    <t>Device.Services.FAPService.{i}.CellConfig.{i}.NR.RAN.Mobility.ConnMode.IRAT.B1MeasureCtrl.{i}.Enable</t>
  </si>
  <si>
    <t>Device.Services.FAPService.{i}.CellConfig.{i}.NR.RAN.Mobility.ConnMode.IRAT.B1MeasureCtrl.{i}.PlmnId.{i}.PLMN</t>
  </si>
  <si>
    <t>Device.Services.FAPService.{i}.CellConfig.{i}.NR.RAN.Mobility.ConnMode.IRAT.B1MeasureCtrl.{i}.B1ThresholdEUTRARsrp</t>
  </si>
  <si>
    <t>B1ThresholdEUTRARsrp</t>
  </si>
  <si>
    <t xml:space="preserve">B1事件RSRP门限(EUTRA-rsrp)
</t>
  </si>
  <si>
    <t>unsignedInt[0:97]</t>
  </si>
  <si>
    <t>NR测量中,B1事件触发条件的RSRP绝对门限</t>
  </si>
  <si>
    <t>Device.Services.FAPService.{i}.CellConfig.{i}.NR.RAN.Mobility.ConnMode.IRAT.B1MeasureCtrl.{i}.B1ThresholdEUTRARsrq</t>
  </si>
  <si>
    <t>B1ThresholdEUTRARsrq</t>
  </si>
  <si>
    <t xml:space="preserve">B1事件RSRQ门限(EUTRA-rsrq)
</t>
  </si>
  <si>
    <t>NR测量中,B1事件触发条件的RSRQ绝对门限</t>
  </si>
  <si>
    <t>Device.Services.FAPService.{i}.CellConfig.{i}.NR.RAN.Mobility.ConnMode.IRAT.B1MeasureCtrl.{i}.B1ThresholdEUTRASinr</t>
  </si>
  <si>
    <t>B1ThresholdEUTRASinr</t>
  </si>
  <si>
    <t xml:space="preserve">B1事件SINR门限(EUTRA-sinr)
</t>
  </si>
  <si>
    <t>NR测量中,B1事件触发条件的SINR绝对门限</t>
  </si>
  <si>
    <t>Device.Services.FAPService.{i}.CellConfig.{i}.NR.RAN.Mobility.ConnMode.IRAT.B1MeasureCtrl.{i}.Hysteresis</t>
  </si>
  <si>
    <t>进入和离开IRAT上报触发事件条件的滞后值;</t>
  </si>
  <si>
    <t>Device.Services.FAPService.{i}.CellConfig.{i}.NR.RAN.Mobility.ConnMode.IRAT.B1MeasureCtrl.{i}.MaxReportCells</t>
  </si>
  <si>
    <t>测量报告中包含IRAT小区的最大数目</t>
  </si>
  <si>
    <t>Device.Services.FAPService.{i}.CellConfig.{i}.NR.RAN.Mobility.ConnMode.IRAT.B1MeasureCtrl.{i}.MeasurePurpose</t>
  </si>
  <si>
    <t>Device.Services.FAPService.{i}.CellConfig.{i}.NR.RAN.Mobility.ConnMode.IRAT.B1MeasureCtrl.{i}.ReportAmount</t>
  </si>
  <si>
    <t>Device.Services.FAPService.{i}.CellConfig.{i}.NR.RAN.Mobility.ConnMode.IRAT.B1MeasureCtrl.{i}.ReportInterval</t>
  </si>
  <si>
    <t>连续IRAT测量报告之间的间隔，单位ms</t>
  </si>
  <si>
    <t>Device.Services.FAPService.{i}.CellConfig.{i}.NR.RAN.Mobility.ConnMode.IRAT.B1MeasureCtrl.{i}.TimeToTrigger</t>
  </si>
  <si>
    <t>满足触发IRAT测量报告触发条件持续的时间，单位ms</t>
  </si>
  <si>
    <t>Device.Services.FAPService.{i}.CellConfig.{i}.NR.RAN.Mobility.ConnMode.IRAT.B1MeasureCtrl.{i}.ReportOnLeave</t>
  </si>
  <si>
    <t>B1事件离开上报指示</t>
  </si>
  <si>
    <t>Device.Services.FAPService.{i}.CellConfig.{i}.NR.RAN.Mobility.ConnMode.IRAT.B1MeasureCtrl.{i}.ReportQuantity</t>
  </si>
  <si>
    <t>B1事件测量结果上报</t>
  </si>
  <si>
    <t>B1事件上报包含测量结果</t>
  </si>
  <si>
    <t xml:space="preserve">Device.Services.FAPService.{i}.CellConfig.{i}.NR.RAN.Mobility.ConnMode.IRAT.B1MeasureCtrl.{i}.TriggerQuantity </t>
  </si>
  <si>
    <t>B1事件上报触发量</t>
  </si>
  <si>
    <t>B2事件测量控制参数</t>
  </si>
  <si>
    <t>Device.Services.FAPService.{i}.CellConfig.{i}.NR.RAN.Mobility.ConnMode.IRAT.B2MeasureCtrl.{i}.Enable</t>
  </si>
  <si>
    <t>Device.Services.FAPService.{i}.CellConfig.{i}.NR.RAN.Mobility.ConnMode.IRAT.B2MeasureCtrl.{i}.PlmnId.{i}.PLMN</t>
  </si>
  <si>
    <t>Device.Services.FAPService.{i}.CellConfig.{i}.NR.RAN.Mobility.ConnMode.IRAT.B2MeasureCtrl.{i}.B2Threshold1RSRP</t>
  </si>
  <si>
    <t>B2Threshold1RSRP</t>
  </si>
  <si>
    <t>B2事件RSRP门限(NR-rsrp)</t>
  </si>
  <si>
    <t>NR触发量为RSRP时,B2事件触发条件的绝对门限1</t>
  </si>
  <si>
    <t>Device.Services.FAPService.{i}.CellConfig.{i}.NR.RAN.Mobility.ConnMode.IRAT.B2MeasureCtrl.{i}.B2Threshold1RSRQ</t>
  </si>
  <si>
    <t>B2Threshold1RSRQ</t>
  </si>
  <si>
    <t>B2事件RSRQ门限(NR-rsrq)</t>
  </si>
  <si>
    <t>NR触发量为RSRQ时,B2事件触发条件的绝对门限1</t>
  </si>
  <si>
    <t>Device.Services.FAPService.{i}.CellConfig.{i}.NR.RAN.Mobility.ConnMode.IRAT.B2MeasureCtrl.{i}.B2Threshold1SINR</t>
  </si>
  <si>
    <t>B2Threshold1SINR</t>
  </si>
  <si>
    <r>
      <rPr>
        <sz val="9"/>
        <rFont val="宋体"/>
        <charset val="134"/>
        <scheme val="minor"/>
      </rPr>
      <t>B2事件</t>
    </r>
    <r>
      <rPr>
        <sz val="9"/>
        <rFont val="宋体"/>
        <charset val="134"/>
        <scheme val="minor"/>
      </rPr>
      <t>SINR</t>
    </r>
    <r>
      <rPr>
        <sz val="9"/>
        <rFont val="宋体"/>
        <charset val="134"/>
        <scheme val="minor"/>
      </rPr>
      <t>门限(NR-sinr)</t>
    </r>
  </si>
  <si>
    <t>NR触发量为SINR时,B2事件触发条件的绝对门限1</t>
  </si>
  <si>
    <t>Device.Services.FAPService.{i}.CellConfig.{i}.NR.RAN.Mobility.ConnMode.IRAT.B2MeasureCtrl.{i}.B2Threshold2EUTRARSRP</t>
  </si>
  <si>
    <t>B2Threshold2EUTRARSRP</t>
  </si>
  <si>
    <t>B2事件门限(EUTRA-RSRP)</t>
  </si>
  <si>
    <t>测量对象为EUTRA RSRP时,B2事件触发条件的绝对门限2</t>
  </si>
  <si>
    <t>Device.Services.FAPService.{i}.CellConfig.{i}.NR.RAN.Mobility.ConnMode.IRAT.B2MeasureCtrl.{i}.B2Threshold2EUTRARSRQ</t>
  </si>
  <si>
    <t>B2Threshold2EUTRARSRQ</t>
  </si>
  <si>
    <t>B2事件门限(EUTRA-RSRQ)</t>
  </si>
  <si>
    <t>Device.Services.FAPService.{i}.CellConfig.{i}.NR.RAN.Mobility.ConnMode.IRAT.B2MeasureCtrl.{i}.B2Threshold2EUTRASINR</t>
  </si>
  <si>
    <t>B2Threshold2EUTRASINR</t>
  </si>
  <si>
    <t>B2事件门限(EUTRA-SINR)</t>
  </si>
  <si>
    <t>Device.Services.FAPService.{i}.CellConfig.{i}.NR.RAN.Mobility.ConnMode.IRAT.B2MeasureCtrl.{i}.Hysteresis</t>
  </si>
  <si>
    <t>Device.Services.FAPService.{i}.CellConfig.{i}.NR.RAN.Mobility.ConnMode.IRAT.B2MeasureCtrl.{i}.MaxReportCells</t>
  </si>
  <si>
    <t>Device.Services.FAPService.{i}.CellConfig.{i}.NR.RAN.Mobility.ConnMode.IRAT.B2MeasureCtrl.{i}.MeasurePurpose</t>
  </si>
  <si>
    <t>Device.Services.FAPService.{i}.CellConfig.{i}.NR.RAN.Mobility.ConnMode.IRAT.B2MeasureCtrl.{i}.ReportAmount</t>
  </si>
  <si>
    <t>Device.Services.FAPService.{i}.CellConfig.{i}.NR.RAN.Mobility.ConnMode.IRAT.B2MeasureCtrl.{i}.ReportInterval</t>
  </si>
  <si>
    <t>连续IRAT测量报告之间的间隔</t>
  </si>
  <si>
    <t>Device.Services.FAPService.{i}.CellConfig.{i}.NR.RAN.Mobility.ConnMode.IRAT.B2MeasureCtrl.{i}.TimeToTrigger</t>
  </si>
  <si>
    <t>Device.Services.FAPService.{i}.CellConfig.{i}.NR.RAN.Mobility.ConnMode.IRAT.B2MeasureCtrl.{i}.ReportOnLeave</t>
  </si>
  <si>
    <t>B2事件离开上报指示</t>
  </si>
  <si>
    <t>Device.Services.FAPService.{i}.CellConfig.{i}.NR.RAN.Mobility.ConnMode.IRAT.B2MeasureCtrl.{i}.ReportQuantity</t>
  </si>
  <si>
    <t>B2事件测量结果上报</t>
  </si>
  <si>
    <t>B2事件上报包含测量结果</t>
  </si>
  <si>
    <t xml:space="preserve">Device.Services.FAPService.{i}.CellConfig.{i}.NR.RAN.Mobility.ConnMode.IRAT.B2MeasureCtrl.{i}.TriggerQuantity </t>
  </si>
  <si>
    <t>B2事件上报触发量</t>
  </si>
  <si>
    <t>异系统测量配置</t>
  </si>
  <si>
    <t>Device.Services.FAPService.{i}.CellConfig.{i}.NR.RAN.Mobility.ConnMode.NR.MeasureCtrl.InterRat.EutraMeasObj.{i}.EUTRACarrierARFCN</t>
  </si>
  <si>
    <t>异系统测量对象的EARFCN</t>
  </si>
  <si>
    <t>Device.Services.FAPService.{i}.CellConfig.{i}.NR.RAN.Mobility.ConnMode.NR.MeasureCtrl.InterRat.EutraMeasObj.{i}.PlmnId.{i}.PLMN</t>
  </si>
  <si>
    <t>事异系统测量对象支持的PlMN</t>
  </si>
  <si>
    <t>Device.Services.FAPService.{i}.CellConfig.{i}.NR.RAN.Mobility.ConnMode.NR.MeasureCtrl.InterRat.EutraMeasObj.{i}.PresenceAntennaPort1</t>
  </si>
  <si>
    <t>PresenceAntennaPort1</t>
  </si>
  <si>
    <t>指示是否所有邻小区使用天线端口1</t>
  </si>
  <si>
    <t>Device.Services.FAPService.{i}.CellConfig.{i}.NR.RAN.Mobility.ConnMode.NR.MeasureCtrl.InterRat.EutraMeasObj.{i}.EutraQOffsetRange</t>
  </si>
  <si>
    <t>QOffsetFreq</t>
  </si>
  <si>
    <t>重选频点专用偏移量</t>
  </si>
  <si>
    <t>int[-24:-8, -6:6, 8:24]</t>
  </si>
  <si>
    <t xml:space="preserve">enumeration {dB-24, dB-22, dB-20, dB-18, dB-16, dB-14,dB-12, dB-10, dB-8, dB-6, dB-5, dB-4, dB-3, dB-2, dB-1, dB0, dB1, dB2, dB3, dB4, dB5, dB6, dB8, dB10, dB12, dB14, dB16, dB18, dB20, dB22, dB24}
</t>
  </si>
  <si>
    <t>Device.Services.FAPService.{i}.CellConfig.{i}.NR.RAN.Mobility.ConnMode.NR.MeasureCtrl.InterRat.EutraMeasObj.{i}.AllowedMeasBandwidth</t>
  </si>
  <si>
    <t>AllowedMeasBandwidth</t>
  </si>
  <si>
    <t>最大允许测量带宽</t>
  </si>
  <si>
    <t>最大允许测量带宽，enumeration 
{mbw6, mbw15, mbw25, mbw50, mbw75, mbw100}</t>
  </si>
  <si>
    <t>重选公共参数</t>
  </si>
  <si>
    <t>Device.Services.FAPService.{i}.CellConfig.{i}.NR.RAN.Mobility.IdleMode.Common.NrofSSBlocksToAverage</t>
  </si>
  <si>
    <t>NrofSSBlocksToAverage</t>
  </si>
  <si>
    <t>小区测量平均SSB数</t>
  </si>
  <si>
    <t>unsignedInt[2:16,0x00000FFF]</t>
  </si>
  <si>
    <t>取值范围：[2~16]和0x00000FFF
0x00000FFF代表无效</t>
  </si>
  <si>
    <t xml:space="preserve">Device.Services.FAPService.{i}.CellConfig.{i}.NR.RAN.Mobility.IdleMode.Common.IntraFreqReselection </t>
  </si>
  <si>
    <t xml:space="preserve">IntraFreqReselection                </t>
  </si>
  <si>
    <t>同频重选指示</t>
  </si>
  <si>
    <t>同频重选指示，(0=允许,1=不允许)</t>
  </si>
  <si>
    <t xml:space="preserve">Device.Services.FAPService.{i}.CellConfig.{i}.NR.RAN.Mobility.IdleMode.Common.ThresholdRSRP </t>
  </si>
  <si>
    <t xml:space="preserve">ThresholdRSRP </t>
  </si>
  <si>
    <t>RSRP门限值</t>
  </si>
  <si>
    <t>unsignedInt[0:127,0x00000FFF]</t>
  </si>
  <si>
    <t>取值范围：[0~127]和0x00000FFF
0x00000FFF代表无效</t>
  </si>
  <si>
    <t>Device.Services.FAPService.{i}.CellConfig.{i}.NR.RAN.Mobility.IdleMode.Common.ThresholdRSRQ</t>
  </si>
  <si>
    <t>ThresholdRSRQ</t>
  </si>
  <si>
    <t>RSRQ门限值</t>
  </si>
  <si>
    <t>Device.Services.FAPService.{i}.CellConfig.{i}.NR.RAN.Mobility.IdleMode.Common.ThresholdSINR</t>
  </si>
  <si>
    <t>ThresholdSINR</t>
  </si>
  <si>
    <t>SINR门限值</t>
  </si>
  <si>
    <t>Device.Services.FAPService.{i}.CellConfig.{i}.NR.RAN.Mobility.IdleMode.Common.Qhyst</t>
  </si>
  <si>
    <t>Qhyst</t>
  </si>
  <si>
    <t>服务小区重选迟滞值</t>
  </si>
  <si>
    <t>适用于服务小区的滞后值，用来评估小区级别的标准。以dB为单位。对应TS38.331的q-Hyst，dB0对应0，dB1对应1，依次类推，取值范围：[0~15]
分别代表{dB0, dB1,dB2, dB3, dB4,dB5, dB6, dB8,dB10,dB12,dB14,dB16,dB18,dB20,dB22, dB24}</t>
  </si>
  <si>
    <t>Device.Services.FAPService.{i}.CellConfig.{i}.NR.RAN.Mobility.IdleMode.Common.RangeToBestCell</t>
  </si>
  <si>
    <t>RangeToBestCell</t>
  </si>
  <si>
    <t>最优小区范围</t>
  </si>
  <si>
    <t>string[0~15]</t>
  </si>
  <si>
    <t>enumeration {dB-24, dB-22, dB-20, dB-18, dB-16, dB-14, dB-12, dB-10, dB-8, dB-6, dB-5, dB-4, dB-3,dB-2, dB-1, dB0, dB1, dB2, dB3, dB4, dB5, dB6, dB8, dB10, dB12, dB14, dB16, dB18, dB20, dB22, dB24}</t>
  </si>
  <si>
    <t>Device.Services.FAPService.{i}.CellConfig.{i}.NR.RAN.Mobility.IdleMode.Common.TEvaluation</t>
  </si>
  <si>
    <t>Tevaluation</t>
  </si>
  <si>
    <t xml:space="preserve">允许小区重选的间隔时间
</t>
  </si>
  <si>
    <t xml:space="preserve">指定进入移动状态时，评估允许小区重选数目的间隔时间。以秒为单位。
S30对应30秒，依次类推。对应对应TS38.331 中SIB2定义的t-Evalua tion，取值范围：[0~4]分别代表{s30,s60,s120,s180,s240}
</t>
  </si>
  <si>
    <t>Device.Services.FAPService.{i}.CellConfig.{i}.NR.RAN.Mobility.IdleMode.Common.THystNormal</t>
  </si>
  <si>
    <t>THystNormal</t>
  </si>
  <si>
    <t>正常状态附加判决时长</t>
  </si>
  <si>
    <t xml:space="preserve">指定进入正常移动状态时，评估标准的时间间隔。以秒为单位，s30对应30秒，依次类推。对应TS 38.331中SIB2定义的t-HystNormal，取值范围：[0~4]分别代表{s30,s60, s120,s180,s240}
</t>
  </si>
  <si>
    <t>同频重选参数</t>
  </si>
  <si>
    <t>Device.Services.FAPService.{i}.CellConfig.{i}.NR.RAN.Mobility.IdleMode.IntraFreq.QRxLevMinSIB1</t>
  </si>
  <si>
    <t>QRxLevMinSIB1</t>
  </si>
  <si>
    <t>服务小区最小接收电平</t>
  </si>
  <si>
    <t>int[-70:-22]</t>
  </si>
  <si>
    <t>小区选择时，服务小区的最小RSRP接收电平，用来控制小区选择的难易程度,单位：dBm</t>
  </si>
  <si>
    <t>Device.Services.FAPService.{i}.CellConfig.{i}.NR.RAN.Mobility.IdleMode.IntraFreq.QRxLevMinSIB2</t>
  </si>
  <si>
    <t>QRxLevMinSIB2</t>
  </si>
  <si>
    <t>同频邻区最小接收电平SIB2</t>
  </si>
  <si>
    <t>同频小区重选时，邻区的最小RSRP接收电平,单位：dBm</t>
  </si>
  <si>
    <t>Device.Services.FAPService.{i}.CellConfig.{i}.NR.RAN.Mobility.IdleMode.IntraFreq.QRxLevMinOffset</t>
  </si>
  <si>
    <t>QRxLevMinOffset</t>
  </si>
  <si>
    <t>最小接收电平偏移量</t>
  </si>
  <si>
    <t>小区选择时，相对Qrxlevmin的偏移值，当驻留在VPLMN中周期性搜索更高优先级的PLMN时用于计算S准则, 对应IE为q-RxLevMinOffset。</t>
  </si>
  <si>
    <t>Device.Services.FAPService.{i}.CellConfig.{i}.NR.RAN.Mobility.IdleMode.IntraFreq.Qoffsettemp</t>
  </si>
  <si>
    <t>QOffsettemp</t>
  </si>
  <si>
    <t>小区临时偏移量</t>
  </si>
  <si>
    <t>unsignedInt[1:15]</t>
  </si>
  <si>
    <t>Device.Services.FAPService.{i}.CellConfig.{i}.NR.RAN.Mobility.IdleMode.IntraFreq.SIntraSearchP</t>
  </si>
  <si>
    <t>SIntraSearchP</t>
  </si>
  <si>
    <t>同频测量启动门限RSRP</t>
  </si>
  <si>
    <t>unsignedInt[0:31]</t>
  </si>
  <si>
    <t xml:space="preserve">频率内测量值门限。实际值为该值乘以2得到，以dB为单位。对应TS 38.331定义的s-IntraSearchP，取值范围[0..31]
</t>
  </si>
  <si>
    <t>Device.Services.FAPService.{i}.CellConfig.{i}.NR.RAN.Mobility.IdleMode.IntraFreq.SIntraSearchQ</t>
  </si>
  <si>
    <t>SIntraSearchQ</t>
  </si>
  <si>
    <t>同频测量启动门限RSRQ</t>
  </si>
  <si>
    <t>unsignedInt[0:31,0x0FFFFFFF]</t>
  </si>
  <si>
    <t xml:space="preserve">IE value [dB]，取值范围：[0~31]和0x0FFFFFFF
0x0FFFFFFF代表这个参数不存在 </t>
  </si>
  <si>
    <t>Device.Services.FAPService.{i}.CellConfig.{i}.NR.RAN.Mobility.IdleMode.IntraFreq.TReselectionNR</t>
  </si>
  <si>
    <t>TReselectionNR</t>
  </si>
  <si>
    <t>同频小区重选时间</t>
  </si>
  <si>
    <t xml:space="preserve">频率内NR小区重选定时器。以秒为单位。对应TS 38.331定义的t-ReselectionNR，取值范围：{0..7]
</t>
  </si>
  <si>
    <t>Device.Services.FAPService.{i}.CellConfig.{i}.NR.RAN.Mobility.IdleMode.IntraFreq.CellReselectionPriority</t>
  </si>
  <si>
    <t>CellReselectionPriority</t>
  </si>
  <si>
    <t>同频小区重选优先级</t>
  </si>
  <si>
    <t xml:space="preserve">频率间和RAT间小区重选过程中，E-UTRAN服务载频的决定优先级。对应TS 38.331中SIB2的Cell Resel ectionPriority，取值范围：[0..7] 
</t>
  </si>
  <si>
    <t>Device.Services.FAPService.{i}.CellConfig.{i}.NR.RAN.Mobility.IdleMode.IntraFreq.CellReselectionSubPriority</t>
  </si>
  <si>
    <t>CellReselectionSubPriority</t>
  </si>
  <si>
    <t>同频小区重选优先级附加值</t>
  </si>
  <si>
    <t xml:space="preserve">取值范围：[0..3] ,分别代表{ oDot2, oDot4, oDot6, oDot8}
</t>
  </si>
  <si>
    <t>Device.Services.FAPService.{i}.CellConfig.{i}.NR.RAN.Mobility.IdleMode.IntraFreq.Pmax</t>
  </si>
  <si>
    <t>Pmax</t>
  </si>
  <si>
    <t>UE允许最大发射功率</t>
  </si>
  <si>
    <t>int[-30:33,0x0FFFFFFF]</t>
  </si>
  <si>
    <t xml:space="preserve">该参数用来在服务频率上限制允许的UE上行链路传输功率。用来计算TS 38.304 中定义的Pcompensation 。对应38.331 中SIB2定义的p-Max，取值范围：[-30..33] 和0x0FFFFFFF
0x0FFFFFFF代表这个参数不存在
</t>
  </si>
  <si>
    <t>Device.Services.FAPService.{i}.CellConfig.{i}.NR.RAN.Mobility.IdleMode.IntraFreq.ThreshServingLowP</t>
  </si>
  <si>
    <t>ThreshServingLowP</t>
  </si>
  <si>
    <t>低优先级重选门限</t>
  </si>
  <si>
    <t>评估向低优先级的E-UTRAN频率或RA重选时，服务频率的门限。实际值由该值乘以2，以dB为单位。对应TS 38.331中的threshServingLowP，取值范围：[0..31]</t>
  </si>
  <si>
    <t>Device.Services.FAPService.{i}.CellConfig.{i}.NR.RAN.Mobility.IdleMode.IntraFreq.ThreshServingLowQ</t>
  </si>
  <si>
    <t>ThreshServingLowQ</t>
  </si>
  <si>
    <t>服务频点低优先级RSRQ重选门限</t>
  </si>
  <si>
    <t>IE value [dB]，取值范围：[0~31]和0x0FFFFFFF
0x0FFFFFFF代表这个参数不存在</t>
  </si>
  <si>
    <t>Device.Services.FAPService.{i}.CellConfig.{i}.NR.RAN.Mobility.IdleMode.IntraFreq.QQualMinSIB1</t>
  </si>
  <si>
    <t>QQualMinSIB1</t>
  </si>
  <si>
    <t>小区选择最低接入信号质量</t>
  </si>
  <si>
    <t>int[-34:-3,0x0FFFFFFF]</t>
  </si>
  <si>
    <t>小区选择时，最小RSRP接收级别。实际值为该值乘以2得到。以dBm为单位。对应TS 38.331[3]中SIB1的q-QualMin，取值范围：[-34..-3]和0x0FFFFFFF
0x0FFFFFFF代表这个参数不存在</t>
  </si>
  <si>
    <t>Device.Services.FAPService.{i}.CellConfig.{i}.NR.RAN.Mobility.IdleMode.IntraFreq.QQualMinSIB2</t>
  </si>
  <si>
    <t>QQualMinSIB2</t>
  </si>
  <si>
    <t>小区重选最低接入信号质量</t>
  </si>
  <si>
    <t xml:space="preserve">小区重选时，最小RSRP接收级别。实际值为该值乘以2得到。以dBm为单位。对应TS 38.331[3]中SIB2的q-QualMin，取值范围：[-34..-3]和0x0FFFFFFF
0x0FFFFFFF代表这个参数不存在
</t>
  </si>
  <si>
    <t>Device.Services.FAPService.{i}.CellConfig.{i}.NR.RAN.Mobility.IdleMode.IntraFreq.Qqualminoffset</t>
  </si>
  <si>
    <t>Qqualminoffset</t>
  </si>
  <si>
    <t>小区选择最低接入信号质量偏移值</t>
  </si>
  <si>
    <t xml:space="preserve">小区选择时,相对Qqualmin的偏移值，当驻留在VPLMN中周期性搜索更高优先级的PLMN时用于计算S准则，对应IE为q-QualMinOffset
</t>
  </si>
  <si>
    <t>Device.Services.FAPService.{i}.CellConfig.{i}.NR.RAN.Mobility.IdleMode.IntraFreq.DeriveSSBIndexFromCell</t>
  </si>
  <si>
    <t>DeriveSSBIndexFromCell</t>
  </si>
  <si>
    <t>指示UE能否根据服务小区来获取邻小区的SSB索引号</t>
  </si>
  <si>
    <t>取值范围：{0~1]</t>
  </si>
  <si>
    <t>Device.Services.FAPService.{i}.CellConfig.{i}.NR.RAN.Mobility.IdleMode.IntraFreq.BlackPhysCellIdStart</t>
  </si>
  <si>
    <t>BlackPhysCellIdStart</t>
  </si>
  <si>
    <t>物理小区ID起始位置</t>
  </si>
  <si>
    <t xml:space="preserve">协议里表示为： startPhysCellId物理小区ID起始，取值范围：0~1007 </t>
  </si>
  <si>
    <t>Device.Services.FAPService.{i}.CellConfig.{i}.NR.RAN.Mobility.IdleMode.IntraFreq.BlackPhysCellIdRange</t>
  </si>
  <si>
    <t>BlackPhysCellIdRange</t>
  </si>
  <si>
    <t>物理小区ID步进</t>
  </si>
  <si>
    <t>unsignedInt[0:14],0x0FFFFFFF</t>
  </si>
  <si>
    <t xml:space="preserve">物理小区ID步进，取值范围：[0~14，0x0FFFFFFF]
分别对应{ n4, n8, n12, n16, n24, n32, n48, n64, n84, n96, n128, n168, n252, n504, n1008，不存在 }
</t>
  </si>
  <si>
    <t>Device.Services.FAPService.{i}.CellConfig.{i}.NR.RAN.Mobility.IdleMode.IntraFreq.SsbToMeasureBitLength</t>
  </si>
  <si>
    <t>SsbToMeasureBitLength</t>
  </si>
  <si>
    <t>SSB位置的类型</t>
  </si>
  <si>
    <t>unsignedInt[0,4,8,64]</t>
  </si>
  <si>
    <t>该参数用来表示半帧中SSB的数目，0表示不带SsbToMeasure</t>
  </si>
  <si>
    <t>Device.Services.FAPService.{i}.CellConfig.{i}.NR.RAN.Mobility.IdleMode.IntraFreq.SsbToMeasureSsbPosition</t>
  </si>
  <si>
    <t>SsbToMeasureSsbPosition</t>
  </si>
  <si>
    <t>SSB的位置</t>
  </si>
  <si>
    <t>unsignedInt[1:255]</t>
  </si>
  <si>
    <t>SSB的位置，暂未支持64个SSB的情况的配置</t>
  </si>
  <si>
    <t>Device.Services.FAPService.{i}.CellConfig.{i}.NR.RAN.Mobility.IdleMode.IntraFreq.MultiFrequencyBandListNRSib.{i}.FreqBandIndicatorNR</t>
  </si>
  <si>
    <t>多频段指示</t>
  </si>
  <si>
    <t>包含多频段指示</t>
  </si>
  <si>
    <t>Device.Services.FAPService.{i}.CellConfig.{i}.NR.RAN.Mobility.IdleMode.IntraFreq.MultiFrequencyBandListNRSib.{i}.NrNsPmax.{i}.AdditionalPmax</t>
  </si>
  <si>
    <t>AdditionalPmax</t>
  </si>
  <si>
    <t>额外频段UE最大发射功率</t>
  </si>
  <si>
    <t>Int[-30:33]</t>
  </si>
  <si>
    <t xml:space="preserve">额外频段UE最大发射功率,取值范围：[-30..33] </t>
  </si>
  <si>
    <t>Device.Services.FAPService.{i}.CellConfig.{i}.NR.RAN.Mobility.IdleMode.IntraFreq.MultiFrequencyBandListNRSib.{i}.NrNsPmax.{i}.AdditionalSpectrumEmission</t>
  </si>
  <si>
    <t>AdditionalSpectrumEmission</t>
  </si>
  <si>
    <t>额外功率等级</t>
  </si>
  <si>
    <t>额外功率等级,UE根据additionalSpectrumEmission使用关联的additionalPmax</t>
  </si>
  <si>
    <t>Device.Services.FAPService.{i}.CellConfig.{i}.NR.RAN.Mobility.IdleMode.IntraFreq.SNonIntraSearchP</t>
  </si>
  <si>
    <t>SNonIntraSearchP</t>
  </si>
  <si>
    <t>异频/异系统RSRP测量启动门限</t>
  </si>
  <si>
    <t xml:space="preserve">频率间切换和低优先级或相等优先级RAT间切换测量门限。实际值为该值乘以2，以dB为单位。对应TS 38.3318中的s-NonIntraSearch，取值范围[0..31]和0x0FFFFFFF
0x0FFFFFFF代表这个参数不存在
</t>
  </si>
  <si>
    <t>Device.Services.FAPService.{i}.CellConfig.{i}.NR.RAN.Mobility.IdleMode.IntraFreq.SNonIntraSearchQ</t>
  </si>
  <si>
    <t>SNonIntraSearchQ</t>
  </si>
  <si>
    <t>异频/异系统RSRQ测量启动门限</t>
  </si>
  <si>
    <t>Device.Services.FAPService.{i}.CellConfig.{i}.NR.RAN.Mobility.IdleMode.IntraFreq.CellReselectionPrioritySpecial.{i}.CellReselectionPriority</t>
  </si>
  <si>
    <t>专用重选优先级</t>
  </si>
  <si>
    <t>INTEGER (0..7)</t>
  </si>
  <si>
    <t>Device.Services.FAPService.{i}.CellConfig.{i}.NR.RAN.Mobility.IdleMode.IntraFreq.CellReselectionPrioritySpecial.{i}.CellReselectionSubPriority</t>
  </si>
  <si>
    <t>专用异频重选优先级附加值</t>
  </si>
  <si>
    <t>enumeration {oDot2, oDot4, oDot6, oDot8}</t>
  </si>
  <si>
    <t>异频重选参数</t>
  </si>
  <si>
    <t>Device.Services.FAPService.{i}.CellConfig.{i}.NR.RAN.Mobility.IdleMode.InterFreq.Carrier.{i}.DlCarrierFreq</t>
  </si>
  <si>
    <t>DlCarrierFreq</t>
  </si>
  <si>
    <t>载波频率</t>
  </si>
  <si>
    <t>Device.Services.FAPService.{i}.CellConfig.{i}.NR.RAN.Mobility.IdleMode.InterFreq.Carrier.{i}.NrofSSBlocksToAverage</t>
  </si>
  <si>
    <t>Device.Services.FAPService.{i}.CellConfig.{i}.NR.RAN.Mobility.IdleMode.InterFreq.Carrier.{i}.AbsThreshSSBlocksConsolidation</t>
  </si>
  <si>
    <t>Device.Services.FAPService.{i}.CellConfig.{i}.NR.RAN.Mobility.IdleMode.InterFreq.Carrier.{i}.ThresholdRSRQ</t>
  </si>
  <si>
    <t>Device.Services.FAPService.{i}.CellConfig.{i}.NR.RAN.Mobility.IdleMode.InterFreq.Carrier.{i}.ThresholdSINR</t>
  </si>
  <si>
    <t>Device.Services.FAPService.{i}.CellConfig.{i}.NR.RAN.Mobility.IdleMode.InterFreq.Carrier.{i}.SsbSubcarrierSpacing</t>
  </si>
  <si>
    <t>SsbSubcarrierSpacing</t>
  </si>
  <si>
    <t xml:space="preserve">0代表kHz15，1代表kHz30，2代表kHz60，3代表kHz120，4代表kHz240.
&lt;6GHz:15 kHzor 30 kHz;
&gt;6GHz:120 kHz or 240 kHz </t>
  </si>
  <si>
    <t>Device.Services.FAPService.{i}.CellConfig.{i}.NR.RAN.Mobility.IdleMode.InterFreq.Carrier.{i}.DeriveSSBIndexFromCell</t>
  </si>
  <si>
    <t>通过SSB获取定时指示</t>
  </si>
  <si>
    <t>若置为True，UE认为同频小区间的SFN和帧定时相同</t>
  </si>
  <si>
    <t>Device.Services.FAPService.{i}.CellConfig.{i}.NR.RAN.Mobility.IdleMode.InterFreq.Carrier.{i}.QRxLevMin</t>
  </si>
  <si>
    <t>QRxLevMin</t>
  </si>
  <si>
    <t>异频小区重选时，最小接
收电平。</t>
  </si>
  <si>
    <t xml:space="preserve">异频小区重选时，最小RSRP接收级别。实际值为该值乘以2得到。以dBm为单位。对应TS 38.331[3]中SIB4的q-rxLevMin，取值范围：[-70..-22]
</t>
  </si>
  <si>
    <t>Device.Services.FAPService.{i}.CellConfig.{i}.NR.RAN.Mobility.IdleMode.InterFreq.Carrier.{i}.QQualMin</t>
  </si>
  <si>
    <t>QQualMin</t>
  </si>
  <si>
    <t>异频小区重选时，最低接入信号质量</t>
  </si>
  <si>
    <t xml:space="preserve">异频小区重选时，最小RSRQ接收级别。对应TS 38.331[3]中SIB4的q-QualMin，取值范围：[-34..-3]和0x0FFFFFFF
0x0FFFFFFF代表这个参数不存在
</t>
  </si>
  <si>
    <t>Device.Services.FAPService.{i}.CellConfig.{i}.NR.RAN.Mobility.IdleMode.InterFreq.Carrier.{i}.Pmax</t>
  </si>
  <si>
    <t>PMax</t>
  </si>
  <si>
    <t xml:space="preserve">该参数用来在服务频率上限制允许的UE上行链路传输功率。用来计算TS 38.304  中定义的Pcompensation ,对应38.331 中SIB4定义的p-Max，取值范围：[-30..33] 和0x0FFFFFFF
0x0FFFFFFF代表这个参数不存在
</t>
  </si>
  <si>
    <t>Device.Services.FAPService.{i}.CellConfig.{i}.NR.RAN.Mobility.IdleMode.InterFreq.Carrier.{i}.TReselectionNR</t>
  </si>
  <si>
    <t>异频小区重选时间</t>
  </si>
  <si>
    <t>频率内NR小区重选定时器。以秒为单位。对应TS 38.331定义的t-ReselectionNR，
取值范围：{0..7]</t>
  </si>
  <si>
    <t xml:space="preserve">Device.Services.FAPService.{i}.CellConfig.{i}.NR.RAN.Mobility.IdleMode.InterFreq.Carrier.{i}.ThreshXHighP </t>
  </si>
  <si>
    <t xml:space="preserve">ThreshXHighP </t>
  </si>
  <si>
    <t>接入电平高优先级重选门限</t>
  </si>
  <si>
    <t>Device.Services.FAPService.{i}.CellConfig.{i}.NR.RAN.Mobility.IdleMode.InterFreq.Carrier.{i}.ThreshXLowP</t>
  </si>
  <si>
    <t>ThreshXLowP</t>
  </si>
  <si>
    <t>接入电平低优先级重选门限</t>
  </si>
  <si>
    <t xml:space="preserve">Device.Services.FAPService.{i}.CellConfig.{i}.NR.RAN.Mobility.IdleMode.InterFreq.Carrier.{i}.ThreshXHighQ </t>
  </si>
  <si>
    <t xml:space="preserve">ThreshXHighQ </t>
  </si>
  <si>
    <t>信道质量高优先级重选门限</t>
  </si>
  <si>
    <t>Device.Services.FAPService.{i}.CellConfig.{i}.NR.RAN.Mobility.IdleMode.InterFreq.Carrier.{i}.ThreshXLowQ</t>
  </si>
  <si>
    <t>ThreshXLowQ</t>
  </si>
  <si>
    <t>信道质量低优先级重选门限</t>
  </si>
  <si>
    <t>Device.Services.FAPService.{i}.CellConfig.{i}.NR.RAN.Mobility.IdleMode.InterFreq.Carrier.{i}.CellReselectionPriority</t>
  </si>
  <si>
    <t>重选优先级</t>
  </si>
  <si>
    <t>Device.Services.FAPService.{i}.CellConfig.{i}.NR.RAN.Mobility.IdleMode.InterFreq.Carrier.{i}.CellReselectionSubPriority</t>
  </si>
  <si>
    <t>异频重选优先级附加值</t>
  </si>
  <si>
    <t>Device.Services.FAPService.{i}.CellConfig.{i}.NR.RAN.Mobility.IdleMode.InterFreq.Carrier.{i}.QOffsetFreq</t>
  </si>
  <si>
    <t>重选专用偏移量</t>
  </si>
  <si>
    <t xml:space="preserve">enumeration {dB-24, dB-22, dB-20, dB-18, dB-16, dB-14,dB-12, dB-10, dB-8, dB-6, dB-5, dB-4, dB-3, dB-2, dB-1, dB0, dB1, dB2, dB3, dB4, dB5, dB6, dB8, dB10, dB12, dB14, dB16, dB18,  dB20, dB22, dB24}
</t>
  </si>
  <si>
    <t>Device.Services.FAPService.{i}.CellConfig.{i}.NR.RAN.Mobility.IdleMode.InterFreq.Carrier.{i}.SsbToMeasureBitLength</t>
  </si>
  <si>
    <t>Device.Services.FAPService.{i}.CellConfig.{i}.NR.RAN.Mobility.IdleMode.InterFreq.Carrier.{i}.SsbToMeasureSsbPosition</t>
  </si>
  <si>
    <t>Device.Services.FAPService.{i}.CellConfig.{i}.NR.RAN.Mobility.IdleMode.InterFreq.Carrier.{i}.BlackPhysCellIdStart</t>
  </si>
  <si>
    <t xml:space="preserve">协议里表示为： startPhysCellId物理小区ID起始，取值范围：0~1007 
</t>
  </si>
  <si>
    <t>Device.Services.FAPService.{i}.CellConfig.{i}.NR.RAN.Mobility.IdleMode.InterFreq.Carrier.{i}.BlackPhysCellIdRange</t>
  </si>
  <si>
    <t xml:space="preserve">物理小区ID步进，
取值范围：[0~14，0x0FFFFFFF]
分别对应{ n4, n8, n12, n16, n24, n32, n48, n64, n84, n96, n128, n168, n252, n504, n1008，不存在 }
</t>
  </si>
  <si>
    <t>Device.Services.FAPService.{i}.CellConfig.{i}.NR.RAN.Mobility.IdleMode.InterFreq.Carrier.{i}.MultiFrequencyBandListNRSib.{i}.FreqBandIndicatorNR</t>
  </si>
  <si>
    <t>Device.Services.FAPService.{i}.CellConfig.{i}.NR.RAN.Mobility.IdleMode.InterFreq.Carrier.{i}.MultiFrequencyBandListNRSib.{i}.NrNsPmax.{i}.AdditionalPmax</t>
  </si>
  <si>
    <t>string[-30:33, 0x0FFFFFFF]</t>
  </si>
  <si>
    <t xml:space="preserve">额外频段UE最大发射功率,取值范围：[-30..33] 和0x0FFFFFFF
0x0FFFFFFF代表这个参数不存在
</t>
  </si>
  <si>
    <t>Device.Services.FAPService.{i}.CellConfig.{i}.NR.RAN.Mobility.IdleMode.InterFreq.Carrier.{i}.MultiFrequencyBandListNRSib.{i}.NrNsPmax.{i}.AdditionalSpectrumEmission</t>
  </si>
  <si>
    <t>Device.Services.FAPService.{i}.CellConfig.{i}.NR.RAN.Mobility.IdleMode.InterFreq.Carrier.{i}.CellReselectionPrioritySpecial.{i}.CellReselectionPriority</t>
  </si>
  <si>
    <t>Device.Services.FAPService.{i}.CellConfig.{i}.NR.RAN.Mobility.IdleMode.InterFreq.Carrier.{i}.CellReselectionPrioritySpecial.{i}.CellReselectionSubPriority</t>
  </si>
  <si>
    <t>异系统重选参数</t>
  </si>
  <si>
    <t>Device.Services.FAPService.{i}.CellConfig.{i}.NR.RAN.Mobility.IdleMode.EUTRA.TReselectionEUTRA</t>
  </si>
  <si>
    <t>TReselectionEUTRA</t>
  </si>
  <si>
    <t>EUTRA小区重选时间</t>
  </si>
  <si>
    <t xml:space="preserve">异系统小区重选定时器。以秒为单位。对应TS 38.331定义的t-ReselectionEUTRA，取值范围：{0..7]
</t>
  </si>
  <si>
    <t>Device.Services.FAPService.{i}.CellConfig.{i}.NR.RAN.Mobility.IdleMode.EUTRA.Carrier.{i}.CellReselectionPriority</t>
  </si>
  <si>
    <t>EUTRAN频点重选优先级</t>
  </si>
  <si>
    <t>Device.Services.FAPService.{i}.CellConfig.{i}.NR.RAN.Mobility.IdleMode.EUTRA.Carrier.{i}.CellReselectionSubPriority</t>
  </si>
  <si>
    <t>EUTRAN频点重选优先级附加值</t>
  </si>
  <si>
    <t>Device.Services.FAPService.{i}.CellConfig.{i}.NR.RAN.Mobility.IdleMode.EUTRA.Carrier.{i}.ThreshXHigh</t>
  </si>
  <si>
    <t>ThreshXHigh</t>
  </si>
  <si>
    <t>EUTRAN频点高优先级重选门限</t>
  </si>
  <si>
    <t>Device.Services.FAPService.{i}.CellConfig.{i}.NR.RAN.Mobility.IdleMode.EUTRA.Carrier.{i}.ThreshXLow</t>
  </si>
  <si>
    <t>ThreshXLow</t>
  </si>
  <si>
    <t>EUTRAN频点低优先级重选门限</t>
  </si>
  <si>
    <t>Device.Services.FAPService.{i}.CellConfig.{i}.NR.RAN.Mobility.IdleMode.EUTRA.Carrier.{i}.QRxLevMin</t>
  </si>
  <si>
    <t>EUTRAN最低接收电平</t>
  </si>
  <si>
    <t xml:space="preserve">异系统小区重选时，最小RSRP接收级别。实际值为该值乘以2得到。以dBm为单位。对应TS 38.331[3]中SIB5的q-rxLevMin，取值范围：[-70..-22]
</t>
  </si>
  <si>
    <t>Device.Services.FAPService.{i}.CellConfig.{i}.NR.RAN.Mobility.IdleMode.EUTRA.Carrier.{i}.QQualMin</t>
  </si>
  <si>
    <t>EUTRAN最低接入信号质量</t>
  </si>
  <si>
    <t>int[-34:-3]</t>
  </si>
  <si>
    <t xml:space="preserve">异系统小区重选时，最小RSRQ接收级别。对应TS 38.331[3]中SIB5的q-QualMin，取值范围：[-34..-3]
</t>
  </si>
  <si>
    <t>Device.Services.FAPService.{i}.CellConfig.{i}.NR.RAN.Mobility.IdleMode.EUTRA.Carrier.{i}.PMaxEUTRA</t>
  </si>
  <si>
    <t>PMaxEUTRA</t>
  </si>
  <si>
    <t>EUTRAN最大允许发射功率</t>
  </si>
  <si>
    <t>int[-30:33]</t>
  </si>
  <si>
    <t>Device.Services.FAPService.{i}.CellConfig.{i}.NR.RAN.Mobility.IdleMode.EUTRA.Carrier.{i}.ThreshXHighQ</t>
  </si>
  <si>
    <t>ThreshXHighQ</t>
  </si>
  <si>
    <t>Device.Services.FAPService.{i}.CellConfig.{i}.NR.RAN.Mobility.IdleMode.EUTRA.Carrier.{i}.ThreshXLowQ</t>
  </si>
  <si>
    <t>Device.Services.FAPService.{i}.CellConfig.{i}.NR.RAN.Mobility.IdleMode.EUTRA.Carrier.{i}.AllowedMeasBandwidth</t>
  </si>
  <si>
    <t>Device.Services.FAPService.{i}.CellConfig.{i}.NR.RAN.Mobility.IdleMode.EUTRA.Carrier.{i}.PresenceAntennaPort1</t>
  </si>
  <si>
    <t>Device.Services.FAPService.{i}.CellConfig.{i}.NR.RAN.Mobility.IdleMode.EUTRA.Carrier.{i}.BlackPhysCellIdStart</t>
  </si>
  <si>
    <t xml:space="preserve">协议里表示为： startPhysCellId物理小区ID起始，取值范围：0~503 
</t>
  </si>
  <si>
    <t>Device.Services.FAPService.{i}.CellConfig.{i}.NR.RAN.Mobility.IdleMode.EUTRA.Carrier.{i}.BlackPhysCellIdRange</t>
  </si>
  <si>
    <t>unsignedInt[0:13,0x0FFFFFFF]</t>
  </si>
  <si>
    <t xml:space="preserve">物理小区ID步进，
取值范围：[0~13，0x0FFFFFFF]
分别对应{ n4, n8, n12, n16, n24, n32, n48, n64, n84, n96, n128, n168, n252, n504不存在 }
</t>
  </si>
  <si>
    <t>Device.Services.FAPService.{i}.CellConfig.{i}.NR.RAN.Mobility.IdleMode.EUTRA.Carrier.{i}.EUTRACarrierARFCN</t>
  </si>
  <si>
    <t>Device.Services.FAPService.{i}.CellConfig.{i}.NR.RAN.Mobility.IdleMode.EUTRA.Carrier.{i}.TReselectionEUTRA</t>
  </si>
  <si>
    <t>Device.Services.FAPService.{i}.CellConfig.{i}.NR.RAN.Mobility.IdleMode.EUTRA.Carrier.{i}.CellReselectionPrioritySpecial.{i}.Plmn</t>
  </si>
  <si>
    <t>支持的PlMN</t>
  </si>
  <si>
    <t>专用的PLMN</t>
  </si>
  <si>
    <t>Device.Services.FAPService.{i}.CellConfig.{i}.NR.RAN.Mobility.IdleMode.EUTRA.Carrier.{i}.CellReselectionPrioritySpecial.{i}.CellReselectionPriority</t>
  </si>
  <si>
    <t>Device.Services.FAPService.{i}.CellConfig.{i}.NR.RAN.Mobility.IdleMode.EUTRA.Carrier.{i}.CellReselectionPrioritySpecial.{i}.CellReselectionSubPriority</t>
  </si>
  <si>
    <t>非激活移动性参数</t>
  </si>
  <si>
    <t>Device.Services.FAPService.{i}.CellConfig.{i}.NR.RAN.Mobility.InactiveMode.RANPagingTimer</t>
  </si>
  <si>
    <t>RANPagingTimer</t>
  </si>
  <si>
    <t>ranPaging时间</t>
  </si>
  <si>
    <t>unsignedInt[100:50000]</t>
  </si>
  <si>
    <t>非激活态UE寻呼等待超时时间,单位ms</t>
  </si>
  <si>
    <t xml:space="preserve">报告CGI的测量配置 </t>
  </si>
  <si>
    <t>Device.Services.FAPService.{i}.CellConfig.{i}.NR.RAN.Mobility.ConnMode.NR.ReportCGI.{i}.PhysCellId</t>
  </si>
  <si>
    <t>PhysCellId</t>
  </si>
  <si>
    <t>小区ID</t>
  </si>
  <si>
    <t>标识物理层小区ID（PCI值）</t>
  </si>
  <si>
    <t>Device.Services.FAPService.{i}.Transport.SCTP.Enable</t>
  </si>
  <si>
    <t>Boolean</t>
  </si>
  <si>
    <t>Device.Services.FAPService.{i}.Transport.SCTP.RTOInitial</t>
  </si>
  <si>
    <t>RTOInitial</t>
  </si>
  <si>
    <t>重传超时的初始值</t>
  </si>
  <si>
    <t>Device.Services.FAPService.{i}.Transport.SCTP.RTOMin</t>
  </si>
  <si>
    <t>RTOMin</t>
  </si>
  <si>
    <t>重传超时的最小值</t>
  </si>
  <si>
    <t>Device.Services.FAPService.{i}.Transport.SCTP.RTOMax</t>
  </si>
  <si>
    <t>RTOMax</t>
  </si>
  <si>
    <t>重传超时的最大值</t>
  </si>
  <si>
    <t>Device.Services.FAPService.{i}.Transport.SCTP.MaxInitRetransmits</t>
  </si>
  <si>
    <t>MaxInitRetransmits</t>
  </si>
  <si>
    <t>最大初始重传数</t>
  </si>
  <si>
    <t>Device.Services.FAPService.{i}.Transport.SCTP.HBInterval</t>
  </si>
  <si>
    <t>HBInterval</t>
  </si>
  <si>
    <t>心跳时间间隔</t>
  </si>
  <si>
    <t>Device.Services.FAPService.{i}.Transport.SCTP.MaxPathRetransmits</t>
  </si>
  <si>
    <t>MaxPathRetransmits</t>
  </si>
  <si>
    <t>最大重传次数</t>
  </si>
  <si>
    <t>Device.Services.FAPService.{i}.Transport.SCTP.MaxAssociationRetransmits</t>
  </si>
  <si>
    <t>MaxAssociationRetransmits</t>
  </si>
  <si>
    <t>本端的最大连续重传数目</t>
  </si>
  <si>
    <t>Device.Services.FAPService.{i}.Transport.SCTP.ValCookieLife</t>
  </si>
  <si>
    <t>ValCookieLife</t>
  </si>
  <si>
    <t>有效cookie的生命周期</t>
  </si>
  <si>
    <t>Device.Ethernet.Interface.{i}.Enable</t>
  </si>
  <si>
    <t>启用或禁用该接口</t>
  </si>
  <si>
    <t>(0,1)</t>
  </si>
  <si>
    <t>Device.Ethernet.Interface.{i}.Name</t>
  </si>
  <si>
    <t>Name</t>
  </si>
  <si>
    <t>端口名称</t>
  </si>
  <si>
    <t>Device.Ethernet.Interface.{i}.Status</t>
  </si>
  <si>
    <t>表明接口的状态</t>
  </si>
  <si>
    <t>"Up","NoLink","Error","Disabled"</t>
  </si>
  <si>
    <t>Device.Ethernet.Interface.{i}.MACAddress</t>
  </si>
  <si>
    <t>MACAddress</t>
  </si>
  <si>
    <t>接口的物理地址</t>
  </si>
  <si>
    <t>string(17)</t>
  </si>
  <si>
    <t>Device.Ethernet.Interface.{i}.MaxBitRate</t>
  </si>
  <si>
    <t>MaxBitRate</t>
  </si>
  <si>
    <t>该连接可用的最大速率模式</t>
  </si>
  <si>
    <t>"10","100","1000","Auto"</t>
  </si>
  <si>
    <t>默认为Auto</t>
  </si>
  <si>
    <t>Device.Ethernet.Interface.{i}.SignTransMedia</t>
  </si>
  <si>
    <t>SignTransMedia</t>
  </si>
  <si>
    <t>信号传送介质类型</t>
  </si>
  <si>
    <t>{Optic,Electric,Auto},Auto表示自适应</t>
  </si>
  <si>
    <t>Device.Ethernet.Interface.{i}.DuplexMode</t>
  </si>
  <si>
    <t>DuplexMode</t>
  </si>
  <si>
    <t>该连接使用的双工模式</t>
  </si>
  <si>
    <t>"Half","Full","Auto"</t>
  </si>
  <si>
    <t>Device.Ethernet.Interface.{i}.PortLocation</t>
  </si>
  <si>
    <t>PortLocation</t>
  </si>
  <si>
    <t>端口位置</t>
  </si>
  <si>
    <t>由MU的实例号、Slot板卡的实例号、端口号，例如，MU实例1的Slot2的端口3表示为“1.2+3”，在没有Slot作为传输板时，上例表示为“1+3”</t>
  </si>
  <si>
    <t>Device.Ethernet.Interface.{i}.IPv4Address.{i}.IPAddress</t>
  </si>
  <si>
    <t>IPAddress</t>
  </si>
  <si>
    <t>IP 地址</t>
  </si>
  <si>
    <t>string(15)</t>
  </si>
  <si>
    <t>Device.Ethernet.Interface.{i}.IPv4Address.{i}.DefaultGateway</t>
  </si>
  <si>
    <t>DefaultGateway</t>
  </si>
  <si>
    <t>WAN 接口的默认网关</t>
  </si>
  <si>
    <t>Device.Ethernet.Interface.{i}.IPv4Address.{i}.SubnetMask</t>
  </si>
  <si>
    <t>WAN 接口的子网掩码</t>
  </si>
  <si>
    <t>Device.Ethernet.Interface.{i}.IPv4Address.{i}.AddressingType</t>
  </si>
  <si>
    <t>AddressingType</t>
  </si>
  <si>
    <t>外部IP 地址方法</t>
  </si>
  <si>
    <t>"DHCP","Static"</t>
  </si>
  <si>
    <t>Device.Ethernet.Interface.{i}.IPv4Address.{i}.PortType</t>
  </si>
  <si>
    <t>PortType</t>
  </si>
  <si>
    <t>端口类型</t>
  </si>
  <si>
    <t>（Ng, Xn, Ng/Xn, S1, X2, S1/X2, F1, E1, OAM,IR,other）</t>
  </si>
  <si>
    <t>IPV4地址的用途</t>
  </si>
  <si>
    <t>Device.Ethernet.Interface.{i}.IPv6Address.{i}.IPAddress</t>
  </si>
  <si>
    <t>IPv6 地址</t>
  </si>
  <si>
    <t>Device.Ethernet.Interface.{i}.IPv6Address.{i}.PrefixLength</t>
  </si>
  <si>
    <t>PrefixLength</t>
  </si>
  <si>
    <t>前缀长度</t>
  </si>
  <si>
    <t>unsignedInt[1:128]</t>
  </si>
  <si>
    <t>Device.Ethernet.Interface.{i}.IPv6Address.{i}.Origin</t>
  </si>
  <si>
    <t>Origin</t>
  </si>
  <si>
    <t>外部IP 来源</t>
  </si>
  <si>
    <t>"DHCPv6","Static"</t>
  </si>
  <si>
    <t>Device.Ethernet.Interface.{i}.IPv6Address.{i}.PortType</t>
  </si>
  <si>
    <t>（Ng, Xn, Ng/Xn, S1, X2, S1/X2, F1, E1, OAM,other）</t>
  </si>
  <si>
    <t>IPV6地址的用途</t>
  </si>
  <si>
    <t>Device.Ethernet.Interface.{i}.IPv6Address.{i}.DefaultGateway</t>
  </si>
  <si>
    <t>vlan子接口配置参数管理</t>
  </si>
  <si>
    <t>Device.Ethernet.Interface.{i}.VlanInterface.{i}.Name</t>
  </si>
  <si>
    <t>vlan子接口名称</t>
  </si>
  <si>
    <t>Device.Ethernet.Interface.{i}.VlanInterface.{i}.Id</t>
  </si>
  <si>
    <t>Id</t>
  </si>
  <si>
    <t>Vlan Id</t>
  </si>
  <si>
    <t>interger</t>
  </si>
  <si>
    <t>vlan id</t>
  </si>
  <si>
    <t>Device.Ethernet.Interface.{i}.VlanInterface.{i}.Enable</t>
  </si>
  <si>
    <t>(false:0,true:1)</t>
  </si>
  <si>
    <t>Device.Ethernet.Interface.{i}.VlanInterface.{i}.IPv4Address.{i}.IPAddress</t>
  </si>
  <si>
    <t>Device.Ethernet.Interface.{i}.VlanInterface.{i}.IPv4Address.{i}.SubnetMask</t>
  </si>
  <si>
    <r>
      <rPr>
        <sz val="9"/>
        <rFont val="宋体"/>
        <charset val="134"/>
        <scheme val="minor"/>
      </rPr>
      <t>v</t>
    </r>
    <r>
      <rPr>
        <sz val="9"/>
        <color indexed="8"/>
        <rFont val="宋体"/>
        <charset val="134"/>
      </rPr>
      <t>lan子接口的子网掩码</t>
    </r>
  </si>
  <si>
    <t>Device.Ethernet.Interface.{i}.VlanInterface.{i}.IPv4Address.{i}.AddressingType</t>
  </si>
  <si>
    <t>Device.Ethernet.Interface.{i}.VlanInterface.{i}.IPv4Address.{i}.DefaultGateway</t>
  </si>
  <si>
    <r>
      <rPr>
        <sz val="9"/>
        <rFont val="宋体"/>
        <charset val="134"/>
        <scheme val="minor"/>
      </rPr>
      <t>v</t>
    </r>
    <r>
      <rPr>
        <sz val="9"/>
        <color indexed="8"/>
        <rFont val="宋体"/>
        <charset val="134"/>
      </rPr>
      <t>lan子接口的默认网关</t>
    </r>
  </si>
  <si>
    <t>Device.Ethernet.Interface.{i}.VlanInterface.{i}.IPv4Address.{i}.PortType</t>
  </si>
  <si>
    <t>Device.Ethernet.Interface.{i}.VlanInterface.{i}.IPv6Address.{i}.IPAddress</t>
  </si>
  <si>
    <t>Device.Ethernet.Interface.{i}.VlanInterface.{i}.IPv6Address.{i}.PrefixLength</t>
  </si>
  <si>
    <t>Device.Ethernet.Interface.{i}.VlanInterface.{i}.IPv6Address.{i}.Origin</t>
  </si>
  <si>
    <t>Device.Ethernet.Interface.{i}.VlanInterface.{i}.IPv6Address.{i}.DefaultGateway</t>
  </si>
  <si>
    <t>Device.Ethernet.Interface.{i}.VlanInterface.{i}.IPv6Address.{i}.PortType</t>
  </si>
  <si>
    <t>（Ng, Xn, Ng/Xn, S1, X2, S1/X2, F1, E1, IR,other）</t>
  </si>
  <si>
    <t>本地路由配置参数管理</t>
  </si>
  <si>
    <t>Device.Ethernet.IpRoute.{i}.IpVer</t>
  </si>
  <si>
    <t>IpVer</t>
  </si>
  <si>
    <t>IP地址版本</t>
  </si>
  <si>
    <t>1:IPv4
2:IPv6</t>
  </si>
  <si>
    <t>Device.Ethernet.IpRoute.{i}.DstIpNetwork</t>
  </si>
  <si>
    <t>DstIpNetwork</t>
  </si>
  <si>
    <t>目的网段</t>
  </si>
  <si>
    <t>Device.Ethernet.IpRoute.{i}.PrefixLength</t>
  </si>
  <si>
    <t>unsignedInt[0:128]</t>
  </si>
  <si>
    <t>Device.Ethernet.IpRoute.{i}.GatewayIpAddress</t>
  </si>
  <si>
    <t>GatewayIpAddress</t>
  </si>
  <si>
    <t>网关地址</t>
  </si>
  <si>
    <t>Device.Ethernet.IpRoute.{i}.InterfaceName</t>
  </si>
  <si>
    <t>InterfaceName</t>
  </si>
  <si>
    <t>Device.Time.Enable</t>
  </si>
  <si>
    <t>NTP使能开关</t>
  </si>
  <si>
    <t>(0:false,true:1)</t>
  </si>
  <si>
    <t>Device.Time.NTPServer1</t>
  </si>
  <si>
    <t>NTPServer1</t>
  </si>
  <si>
    <t>NTP服务器1</t>
  </si>
  <si>
    <t>Device.Time.NTPServer2</t>
  </si>
  <si>
    <t>NTPServer2</t>
  </si>
  <si>
    <t>NTP服务器2</t>
  </si>
  <si>
    <t>Device.Time.NTPServer3</t>
  </si>
  <si>
    <t>NTPServer3</t>
  </si>
  <si>
    <t>NTP服务器3</t>
  </si>
  <si>
    <t>Device.Time.NTPServer4</t>
  </si>
  <si>
    <t>NTPServer4</t>
  </si>
  <si>
    <t>NTP服务器4</t>
  </si>
  <si>
    <t>Device.Time.NTPServer5</t>
  </si>
  <si>
    <t>NTPServer5</t>
  </si>
  <si>
    <t>NTP服务器5</t>
  </si>
  <si>
    <t>Device.Time.CurrentLocalTime</t>
  </si>
  <si>
    <t>CurrentLocalTime</t>
  </si>
  <si>
    <t>本地时间</t>
  </si>
  <si>
    <t>Device.Time.LocalTimeZone</t>
  </si>
  <si>
    <t>LocalTimeZone</t>
  </si>
  <si>
    <t>本地时区</t>
  </si>
  <si>
    <t>例如中国的时区为：GMT+8</t>
  </si>
  <si>
    <t>GPS 经纬度信息</t>
  </si>
  <si>
    <t>Device.FAP.GPS.LockedLatitude</t>
  </si>
  <si>
    <t>LockedLatitude</t>
  </si>
  <si>
    <t>纬度</t>
  </si>
  <si>
    <t>int[-90000000:90000000]</t>
  </si>
  <si>
    <t>Device.FAP.GPS.LockedLongitude</t>
  </si>
  <si>
    <t>LockedLongitude</t>
  </si>
  <si>
    <t>经度</t>
  </si>
  <si>
    <t>int[-180000000:180000000]</t>
  </si>
  <si>
    <t>Device.FAP.GPS.NumberOfSatellites</t>
  </si>
  <si>
    <t>NumberOfSatellites</t>
  </si>
  <si>
    <t>星个数</t>
  </si>
  <si>
    <t>Device.FAP.MRMgmt.Config.{i}.MrEnable</t>
  </si>
  <si>
    <t>MrEnable</t>
  </si>
  <si>
    <t>MR开关</t>
  </si>
  <si>
    <t>开启或关闭小站周期性上传MR数据文件到指定文件服务器的能力，(0=false,1=true)。</t>
  </si>
  <si>
    <t>Device.FAP.MRMgmt.Config.{i}.MrUrl</t>
  </si>
  <si>
    <t>MrUrl</t>
  </si>
  <si>
    <t>Url地址</t>
  </si>
  <si>
    <t>MRUrl详细说明了目标文件位置。该参数只用于详细描述目标文件位置，不用于指示任何要上载的本地文件的名字和位置。</t>
  </si>
  <si>
    <t>Device.FAP.MRMgmt.Config.{i}.MrUsername</t>
  </si>
  <si>
    <t>MrUsername</t>
  </si>
  <si>
    <t>用户名</t>
  </si>
  <si>
    <t>用户名用于小站到文件服务器的鉴权，如果不需要鉴权，此字符串为空</t>
  </si>
  <si>
    <t>Device.FAP.MRMgmt.Config.{i}.MrPassword</t>
  </si>
  <si>
    <t>MrPassword</t>
  </si>
  <si>
    <t>密码</t>
  </si>
  <si>
    <t>密码用于 小站到文件服务器的鉴权，如果不需要鉴权，此字符串为空当为读时，该参数返回一个空字符串，而不是一个实际的值。</t>
  </si>
  <si>
    <t>Device.FAP.MRMgmt.Config.{i}.MeasureType</t>
  </si>
  <si>
    <t>MeasureType</t>
  </si>
  <si>
    <t>MR文件类型</t>
  </si>
  <si>
    <r>
      <rPr>
        <sz val="9"/>
        <color theme="1"/>
        <rFont val="Times New Roman"/>
        <charset val="134"/>
      </rPr>
      <t>MR</t>
    </r>
    <r>
      <rPr>
        <sz val="9"/>
        <color theme="1"/>
        <rFont val="宋体"/>
        <charset val="134"/>
      </rPr>
      <t>文件类型，可以选择一种或多种，如开启多种测量类型，需要</t>
    </r>
    <r>
      <rPr>
        <sz val="9"/>
        <color theme="1"/>
        <rFont val="Times New Roman"/>
        <charset val="134"/>
      </rPr>
      <t>“,”</t>
    </r>
    <r>
      <rPr>
        <sz val="9"/>
        <color theme="1"/>
        <rFont val="宋体"/>
        <charset val="134"/>
      </rPr>
      <t>进行分隔（</t>
    </r>
    <r>
      <rPr>
        <sz val="9"/>
        <color theme="1"/>
        <rFont val="Times New Roman"/>
        <charset val="134"/>
      </rPr>
      <t>{MRO,MRE,MRS}</t>
    </r>
    <r>
      <rPr>
        <sz val="9"/>
        <color theme="1"/>
        <rFont val="宋体"/>
        <charset val="134"/>
      </rPr>
      <t>）。</t>
    </r>
    <r>
      <rPr>
        <sz val="9"/>
        <color theme="1"/>
        <rFont val="Times New Roman"/>
        <charset val="134"/>
      </rPr>
      <t xml:space="preserve"> </t>
    </r>
  </si>
  <si>
    <t>Device.FAP.MRMgmt.Config.{i}.OmcName</t>
  </si>
  <si>
    <t>OmcName</t>
  </si>
  <si>
    <t>OMC-R名称</t>
  </si>
  <si>
    <r>
      <rPr>
        <sz val="9"/>
        <color theme="1"/>
        <rFont val="Times New Roman"/>
        <charset val="134"/>
      </rPr>
      <t>OMC-R</t>
    </r>
    <r>
      <rPr>
        <sz val="9"/>
        <color theme="1"/>
        <rFont val="宋体"/>
        <charset val="134"/>
      </rPr>
      <t>名称，用与基站生成的</t>
    </r>
    <r>
      <rPr>
        <sz val="9"/>
        <color theme="1"/>
        <rFont val="Times New Roman"/>
        <charset val="134"/>
      </rPr>
      <t>MR</t>
    </r>
    <r>
      <rPr>
        <sz val="9"/>
        <color theme="1"/>
        <rFont val="宋体"/>
        <charset val="134"/>
      </rPr>
      <t>文件命名</t>
    </r>
  </si>
  <si>
    <t>Device.FAP.MRMgmt.Config.{i}.SamplePeriod</t>
  </si>
  <si>
    <t>SamplePeriod</t>
  </si>
  <si>
    <t>MR采样周期</t>
  </si>
  <si>
    <r>
      <rPr>
        <sz val="9"/>
        <color theme="1"/>
        <rFont val="Times New Roman"/>
        <charset val="134"/>
      </rPr>
      <t>MR</t>
    </r>
    <r>
      <rPr>
        <sz val="9"/>
        <color theme="1"/>
        <rFont val="宋体"/>
        <charset val="134"/>
      </rPr>
      <t>采样周期（</t>
    </r>
    <r>
      <rPr>
        <sz val="9"/>
        <color theme="1"/>
        <rFont val="Times New Roman"/>
        <charset val="134"/>
      </rPr>
      <t>[2048,5120,10240,60000,360000,720000,1800000,3600000],(</t>
    </r>
    <r>
      <rPr>
        <sz val="9"/>
        <color theme="1"/>
        <rFont val="宋体"/>
        <charset val="134"/>
      </rPr>
      <t>单位毫秒</t>
    </r>
    <r>
      <rPr>
        <sz val="9"/>
        <color theme="1"/>
        <rFont val="Times New Roman"/>
        <charset val="134"/>
      </rPr>
      <t>)</t>
    </r>
  </si>
  <si>
    <t>Device.FAP.MRMgmt.Config.{i}.UploadPeriod</t>
  </si>
  <si>
    <t>UploadPeriod</t>
  </si>
  <si>
    <t>MR采集周期</t>
  </si>
  <si>
    <r>
      <rPr>
        <sz val="9"/>
        <color theme="1"/>
        <rFont val="Times New Roman"/>
        <charset val="134"/>
      </rPr>
      <t>MR</t>
    </r>
    <r>
      <rPr>
        <sz val="9"/>
        <color theme="1"/>
        <rFont val="宋体"/>
        <charset val="134"/>
      </rPr>
      <t>采集周期</t>
    </r>
    <r>
      <rPr>
        <sz val="9"/>
        <color theme="1"/>
        <rFont val="Times New Roman"/>
        <charset val="134"/>
      </rPr>
      <t>[15:] (15</t>
    </r>
    <r>
      <rPr>
        <sz val="9"/>
        <color theme="1"/>
        <rFont val="宋体"/>
        <charset val="134"/>
      </rPr>
      <t>及</t>
    </r>
    <r>
      <rPr>
        <sz val="9"/>
        <color theme="1"/>
        <rFont val="Times New Roman"/>
        <charset val="134"/>
      </rPr>
      <t>15</t>
    </r>
    <r>
      <rPr>
        <sz val="9"/>
        <color theme="1"/>
        <rFont val="宋体"/>
        <charset val="134"/>
      </rPr>
      <t>的倍数，单位分钟</t>
    </r>
    <r>
      <rPr>
        <sz val="9"/>
        <color theme="1"/>
        <rFont val="Times New Roman"/>
        <charset val="134"/>
      </rPr>
      <t>)</t>
    </r>
  </si>
  <si>
    <t>Device.FAP.MRMgmt.Config.{i}.SampleBeginTime</t>
  </si>
  <si>
    <t>SampleBeginTime</t>
  </si>
  <si>
    <t>绝对时间参考</t>
  </si>
  <si>
    <t>是UTC中的一个绝对时间参考，用于决定小站何时开始测量任务，当任务开始后，将周期文件上载;参考时间，或未知的时间，值定义为0001-01-01T00:00:00Z，表明没有指定精确的时间参考。</t>
  </si>
  <si>
    <t>Device.FAP.MRMgmt.Config.{i}.SampleEndTime</t>
  </si>
  <si>
    <t>SampleEndTime</t>
  </si>
  <si>
    <t>是UTC中的一个绝对时间参考，用于决定小站何时结束测量任务，当结束后将不再上载MR文件;参考时间，或未知的时间，值定义为0001-01-01T00:00:00Z，表明没有指定精确的时间参考。</t>
  </si>
  <si>
    <t>Device.FAP.MRMgmt.Config.{i}.MRNCGIList</t>
  </si>
  <si>
    <t>MRNCGIList</t>
  </si>
  <si>
    <t>NCGI 列表</t>
  </si>
  <si>
    <t>表示哪些小区需要执行MR任务，all 代表基站下所有小区都采集,NCGI 由PLMN 和 NCI 组成，PLMN与NCI之间使用“-”分割，NCGI之间使用“,”分割，例
如，“46000-107909121，46000-107909122”</t>
  </si>
  <si>
    <t>Device.FAP.MRMgmt.Config.{i}.PrbNum</t>
  </si>
  <si>
    <t>PRB索引</t>
  </si>
  <si>
    <t>需要开启接收干扰功率测量的上行子帧的PRB 索引。可以选择
273个PRB中的任意多个，例 如{0..7,50,273}表示选择0号到7号，50号及273号共10个位置上的PRB，其中”..”表示连续区
间，“,”表示分隔。</t>
  </si>
  <si>
    <t>Device.FAP.MRMgmt.Config.{i}.SubFrameNum</t>
  </si>
  <si>
    <t>SubFrameNum</t>
  </si>
  <si>
    <t>上行子帧</t>
  </si>
  <si>
    <t>需要开启接收干扰功率测量的上行子帧。如选择多个，需要用“,”进行分隔；{2,3,4,7,8,9}</t>
  </si>
  <si>
    <t xml:space="preserve">Device.FAP.PerfMgmt.Config.{i}.Enable </t>
  </si>
  <si>
    <t xml:space="preserve">Enable </t>
  </si>
  <si>
    <t>文件周期上传使能开关</t>
  </si>
  <si>
    <t>Device.FAP.PerfMgmt.Config.{i}.Alias</t>
  </si>
  <si>
    <t>Alias</t>
  </si>
  <si>
    <t>别名</t>
  </si>
  <si>
    <t>网管用于识别实例</t>
  </si>
  <si>
    <t xml:space="preserve">Device.FAP.PerfMgmt.Config.{i}.URL </t>
  </si>
  <si>
    <t>文件管理URL</t>
  </si>
  <si>
    <t xml:space="preserve">Device.FAP.PerfMgmt.Config.{i}.Username </t>
  </si>
  <si>
    <t xml:space="preserve">Username </t>
  </si>
  <si>
    <t>文件管理用户名</t>
  </si>
  <si>
    <t xml:space="preserve">Device.FAP.PerfMgmt.Config.{i}.Password </t>
  </si>
  <si>
    <t xml:space="preserve">Password </t>
  </si>
  <si>
    <t>文件管理密码</t>
  </si>
  <si>
    <t xml:space="preserve">Device.FAP.PerfMgmt.Config.{i}.PeriodicUploadInterval </t>
  </si>
  <si>
    <t xml:space="preserve">PeriodicUploadInterval </t>
  </si>
  <si>
    <t>文件周期上传时间间隔</t>
  </si>
  <si>
    <t>(300,900,1800,3600)</t>
  </si>
  <si>
    <t>Device.FAP.PerfMgmt.Config.{i}.PeriodicUploadTime</t>
  </si>
  <si>
    <t>文件上传时间</t>
  </si>
  <si>
    <t>UTC时间格式，YYYY-MM-DDTHH:MM:SSZ,例如2012-12-11T09:15:00Z</t>
  </si>
  <si>
    <t>性能补采参数管理</t>
  </si>
  <si>
    <t>Device.FAP.PerfMgmt.Config.{i}.ReplenishEnable</t>
  </si>
  <si>
    <t>ReplenishEnable</t>
  </si>
  <si>
    <t>补采开关</t>
  </si>
  <si>
    <t>(0=false,1=true),若该开关置为true，则设备按照补采开始时间和结束时间进行性能文件重新上报操作。
当重新上报完成之后，设备应将该开关置为false</t>
  </si>
  <si>
    <t>Device.FAP.PerfMgmt.Config.{i}.ReplenishBeginTime</t>
  </si>
  <si>
    <t>ReplenishBeginTime</t>
  </si>
  <si>
    <t>补采开始时间</t>
  </si>
  <si>
    <t>本参数指定需要重新上传的性能数据文件的开始采集时间。举例说明：若OMC发现2021-05-01 10:15:00至2021-05-01 10:45:00的性能文件缺失，当前处于+8时区，该参数取值为：“2021-05-01T02:15:00Z”</t>
  </si>
  <si>
    <t>Device.FAP.PerfMgmt.Config.{i}.ReplenishEndTime</t>
  </si>
  <si>
    <t>ReplenishEndTime</t>
  </si>
  <si>
    <t>补采结束时间</t>
  </si>
  <si>
    <r>
      <rPr>
        <sz val="9"/>
        <rFont val="宋体"/>
        <charset val="134"/>
        <scheme val="minor"/>
      </rPr>
      <t>本参数指定需要重新上传的性能数据文件的结束采集时间。举例说明：若</t>
    </r>
    <r>
      <rPr>
        <sz val="9"/>
        <color indexed="8"/>
        <rFont val="宋体"/>
        <charset val="134"/>
      </rPr>
      <t>OMC发现</t>
    </r>
    <r>
      <rPr>
        <sz val="9"/>
        <color indexed="8"/>
        <rFont val="Times New Roman"/>
        <charset val="134"/>
      </rPr>
      <t>2021-05-01 10:15:00</t>
    </r>
    <r>
      <rPr>
        <sz val="9"/>
        <color indexed="8"/>
        <rFont val="宋体"/>
        <charset val="134"/>
      </rPr>
      <t>至2021-05-01 10:45:00的性能文件缺失，当前处于</t>
    </r>
    <r>
      <rPr>
        <sz val="9"/>
        <color indexed="8"/>
        <rFont val="Times New Roman"/>
        <charset val="134"/>
      </rPr>
      <t>+8</t>
    </r>
    <r>
      <rPr>
        <sz val="9"/>
        <color indexed="8"/>
        <rFont val="宋体"/>
        <charset val="134"/>
      </rPr>
      <t xml:space="preserve">时区，该参数取值为：“2021-05-01T02:45:00Z” </t>
    </r>
  </si>
  <si>
    <t>Device.Services.FAPService.{i}.CellConfig.{i}.NR.NGC.Max5QIEntries</t>
  </si>
  <si>
    <t>Max5QIEntries</t>
  </si>
  <si>
    <t>最大5QI参数条目数</t>
  </si>
  <si>
    <t>设备支持的最大5QI条目数</t>
  </si>
  <si>
    <t>Device.Services.FAPService.{i}.CellConfig.{i}.NR.NGC.5QINumberOfEntries</t>
  </si>
  <si>
    <t>5QINumberOfEntries</t>
  </si>
  <si>
    <t>5QI参数条目数</t>
  </si>
  <si>
    <t>设备已配置的最大5QI条目数</t>
  </si>
  <si>
    <t>Device.Services.FAPService.{i}.CellConfig.{i}.NR.NGC.Default5QI.PLMN.{i}.PLMNID</t>
  </si>
  <si>
    <t>Device.Services.FAPService.{i}.CellConfig.{i}.NR.NGC.Default5QI.PLMN.{i}.Default5QI</t>
  </si>
  <si>
    <t>Default5QI</t>
  </si>
  <si>
    <t>默认5QI</t>
  </si>
  <si>
    <t>Device.Services.FAPService.{i}.CellConfig.{i}.NR.NGC.QoS.{i}.FiveQI</t>
  </si>
  <si>
    <t>FiveQI</t>
  </si>
  <si>
    <t>unsignedInt[0…255]</t>
  </si>
  <si>
    <t>Device.Services.FAPService.{i}.CellConfig.{i}.NR.NGC.QoS.{i}.SNSSAI</t>
  </si>
  <si>
    <t>Device.Services.FAPService.{i}.CellConfig.{i}.NR.NGC.QoS.{i}.PLMNID</t>
  </si>
  <si>
    <t>Device.Services.FAPService.{i}.CellConfig.{i}.NR.NGC.QoS.{i}.RLC.Mode</t>
  </si>
  <si>
    <t>RLC模式</t>
  </si>
  <si>
    <t>enum</t>
  </si>
  <si>
    <t>{AM，UM}</t>
  </si>
  <si>
    <t>Device.Services.FAPService.{i}.CellConfig.{i}.NR.NGC.QoS.{i}.RLC.AM.TPollRetransmit</t>
  </si>
  <si>
    <t>TPollRetransmit</t>
  </si>
  <si>
    <t>轮询请求重传定时器</t>
  </si>
  <si>
    <t>{ ms5, ms10, ms15, ms20, ms25, ms30, ms35,ms40, ms45, ms50, ms55, ms60, ms65, ms70,ms75, ms80, ms85, ms90, ms95, ms100, ms105,ms110, ms115, ms120, ms125, ms130, ms135,ms140, ms145, ms150, ms155, ms160, ms165,ms170, ms175, ms180, ms185, ms190, ms195,ms200, ms205, ms210, ms215, ms220, ms225,ms230, ms235, ms240, ms245, ms250, ms300,ms350, ms400, ms450, ms500, ms800, ms1000,ms2000, ms4000,}</t>
  </si>
  <si>
    <t>Device.Services.FAPService.{i}.CellConfig.{i}.NR.NGC.QoS.{i}.RLC.AM.PollPDU</t>
  </si>
  <si>
    <t>PollPDU</t>
  </si>
  <si>
    <t>触发轮询请求的报文数</t>
  </si>
  <si>
    <t>{p4, p8, p16, p32, p64, p128, p256, p512, p1024, p2048, p4096, p6144, p8192, p12288, p16384, p20480,p24576, p28672, p32768, p40960, p49152, p57344, p65536, infinity}</t>
  </si>
  <si>
    <t>Device.Services.FAPService.{i}.CellConfig.{i}.NR.NGC.QoS.{i}.RLC.AM.PollByte</t>
  </si>
  <si>
    <t>PollByte</t>
  </si>
  <si>
    <t>触发轮询请求的字节数</t>
  </si>
  <si>
    <t>{kB1, kB2, kB5, kB8, kB10, kB15, kB25, kB50, kB75,kB100, kB125, kB250, kB375, kB500, kB750, kB1000,kB1250, kB1500, kB2000, kB3000, kB4000, kB4500,kB5000, kB5500, kB6000, kB6500, kB7000, kB7500,mB8, mB9, mB10, mB11, mB12, mB13, mB14, mB15,mB16, mB17, mB18, mB20, mB25, mB30, mB40, infinity}</t>
  </si>
  <si>
    <t>Device.Services.FAPService.{i}.CellConfig.{i}.NR.NGC.QoS.{i}.RLC.AM.MaxRetxThreshold</t>
  </si>
  <si>
    <t>MaxRetxThreshold</t>
  </si>
  <si>
    <t>{t1, t2, t3, t4, t6, t8, t16, t32}</t>
  </si>
  <si>
    <t>Device.Services.FAPService.{i}.CellConfig.{i}.NR.NGC.QoS.{i}.RLC.AM.TStatusProhibit</t>
  </si>
  <si>
    <t>TStatusProhibit</t>
  </si>
  <si>
    <t>状态报告禁用定时器</t>
  </si>
  <si>
    <t>{ms0, ms5, ms10, ms15, ms20, ms25, ms30, ms35,ms40, ms45, ms50, ms55, ms60, ms65, ms70,ms75, ms80, ms85, ms90, ms95, ms100, ms105,ms110, ms115, ms120, ms125, ms130, ms135,ms140, ms145, ms150, ms155, ms160, ms165,ms170, ms175, ms180, ms185, ms190, ms195,ms200, ms205, ms210, ms215, ms220, ms225,ms230, ms235, ms240, ms245, ms250, ms300,ms350, ms400, ms450, ms500, ms800, ms1000,ms1200, ms1600, ms2000, ms2400}</t>
  </si>
  <si>
    <t>Device.Services.FAPService.{i}.CellConfig.{i}.NR.NGC.QoS.{i}.RLC.AM.SNSize</t>
  </si>
  <si>
    <t>SNSize</t>
  </si>
  <si>
    <t>AM模式序号长度</t>
  </si>
  <si>
    <t>{12, 18}</t>
  </si>
  <si>
    <t>Device.Services.FAPService.{i}.CellConfig.{i}.NR.NGC.QoS.{i}.RLC.AM.TReassembly</t>
  </si>
  <si>
    <t>TReassembly</t>
  </si>
  <si>
    <t>组包计时器</t>
  </si>
  <si>
    <t>ms0, ms5, ms10, ms15, ms20, ms25, ms30, ms35,ms40, ms45, ms50, ms55, ms60, ms65, ms70,ms75, ms80, ms85, ms90, ms95, ms100, ms110,ms120, ms130, ms140, ms150, ms160, ms170,ms180, ms190, ms200</t>
  </si>
  <si>
    <t>Device.Services.FAPService.{i}.CellConfig.{i}.NR.NGC.QoS.{i}.RLC.UM.SNSize</t>
  </si>
  <si>
    <t>UM模式序号长度</t>
  </si>
  <si>
    <t>{6, 12}</t>
  </si>
  <si>
    <t>Device.Services.FAPService.{i}.CellConfig.{i}.NR.NGC.QoS.{i}.RLC.UM.TReassembly</t>
  </si>
  <si>
    <t>Device.Services.FAPService.{i}.CellConfig.{i}.NR.NGC.QoS.{i}.LCH.BucketSizeDuration</t>
  </si>
  <si>
    <t>BucketSizeDuration</t>
  </si>
  <si>
    <t>缓冲区大小</t>
  </si>
  <si>
    <t>{ms5, ms10, ms20, ms50, ms100, ms150, ms300, ms500, ms1000}</t>
  </si>
  <si>
    <t>Device.Services.FAPService.{i}.CellConfig.{i}.NR.NGC.QoS.{i}.LCH.LogicalChannelGroup</t>
  </si>
  <si>
    <t>LogicalChannelGroup</t>
  </si>
  <si>
    <t>逻辑信道组号</t>
  </si>
  <si>
    <t>unsignedLong[0..7]</t>
  </si>
  <si>
    <t>Device.Services.FAPService.{i}.CellConfig.{i}.NR.NGC.QoS.{i}.LCH.PrioritisedBitRate</t>
  </si>
  <si>
    <t>PrioritisedBitRate</t>
  </si>
  <si>
    <t>优先比特率</t>
  </si>
  <si>
    <t>{kBps0, kBps8, kBps16, kBps32, kBps64, kBps128, kBps256, kBps512, kBps1024, kBps2048, kBps4096, kBps8192, kBps16384, kBps32768, kBps65536, infinity}</t>
  </si>
  <si>
    <t>UE参数</t>
  </si>
  <si>
    <t>Device.Services.FAPService.{i}.CellConfig.{i}.NR.NGC.QoS.{i}.LCH.Priority</t>
  </si>
  <si>
    <t>Priority</t>
  </si>
  <si>
    <t>逻辑信道优先级</t>
  </si>
  <si>
    <t xml:space="preserve">[1-16]，逻辑信道优先级
</t>
  </si>
  <si>
    <t>Device.Services.FAPService.{i}.CellConfig.{i}.NR.NGC.QoS.{i}.PDCP.OutOfOrderDelivery</t>
  </si>
  <si>
    <t>OutOfOrderDelivery</t>
  </si>
  <si>
    <t>乱序提交</t>
  </si>
  <si>
    <t>Device.Services.FAPService.{i}.CellConfig.{i}.NR.NGC.QoS.{i}.PDCP.TReorderingUl</t>
  </si>
  <si>
    <t>TreorderingUl</t>
  </si>
  <si>
    <t>Up排序定时器</t>
  </si>
  <si>
    <t>毫秒</t>
  </si>
  <si>
    <t>Device.Services.FAPService.{i}.CellConfig.{i}.NR.NGC.QoS.{i}.PDCP.TReorderingDl</t>
  </si>
  <si>
    <t>TreorderingDl</t>
  </si>
  <si>
    <t>Dl排序定时器</t>
  </si>
  <si>
    <t>Device.Services.FAPService.{i}.CellConfig.{i}.NR.NGC.QoS.{i}.PDCP.SNSizeUL</t>
  </si>
  <si>
    <t>PdcpSnSizeUl</t>
  </si>
  <si>
    <t>上行PDCP序号位数</t>
  </si>
  <si>
    <t>enumeration {12,18}</t>
  </si>
  <si>
    <t>Device.Services.FAPService.{i}.CellConfig.{i}.NR.NGC.QoS.{i}.PDCP.SNSizeDL</t>
  </si>
  <si>
    <t>PdcpSnSizeDl</t>
  </si>
  <si>
    <t>下行PDCP序号位数</t>
  </si>
  <si>
    <t>Device.Services.FAPService.{i}.CellConfig.{i}.NR.NGC.QoS.{i}.PDCP.DiscardTimer</t>
  </si>
  <si>
    <t>DiscardTimer</t>
  </si>
  <si>
    <t>丢弃定时器</t>
  </si>
  <si>
    <t>unsignedInt{10,20,30,40,50,60,75,100,150,200,250,300,500,750,1500,0x0000FFFF}</t>
  </si>
  <si>
    <t xml:space="preserve">PDCP SDU的丢弃时间，参考TS38.331的 6.3.2节PDCP-Config： discardTimer参数
         取值范围: 
取值范围说明：List of structure 
{
  QCI: Integer,
  DiscardTimer: ENUMERATED 
}
DiscardTimer::= ENUMERATED {ms10, ms20, ms30, ms40, ms50, ms60, ms75, ms100, ms150, ms200,ms250, ms300, ms500, ms750, ms1500, infinity} </t>
  </si>
  <si>
    <t>Device.Services.FAPService.{i}.CellConfig.{i}.NR.NGC.QoS.{i}.PDCP.StatusReportRequired</t>
  </si>
  <si>
    <t>StatusReportRequired</t>
  </si>
  <si>
    <t>PDCD状态汇报使能</t>
  </si>
  <si>
    <t>只在AM生效，向PDCP层发送状态汇报</t>
  </si>
  <si>
    <t>Device.Services.FAPService.{i}.CellConfig.{i}.NR.NGC.QoS.{i}.PDCP.ROHC.Enable</t>
  </si>
  <si>
    <t>Rohc使能开关</t>
  </si>
  <si>
    <t>是否配置ROHC</t>
  </si>
  <si>
    <t>Device.Services.FAPService.{i}.CellConfig.{i}.NR.NGC.QoS.{i}.PDCP.ROHC.ContinueRohc</t>
  </si>
  <si>
    <t>ContinueRohc</t>
  </si>
  <si>
    <t>ContinueRohc开关</t>
  </si>
  <si>
    <t>是否ContinueRohc</t>
  </si>
  <si>
    <t>Device.Services.FAPService.{i}.CellConfig.{i}.NR.NGC.QoS.{i}.PDCP.ROHC.UplinkOnly</t>
  </si>
  <si>
    <t>UplinkOnly</t>
  </si>
  <si>
    <t>仅上行rohc</t>
  </si>
  <si>
    <t>是否仅上行rohc</t>
  </si>
  <si>
    <t>Device.Services.FAPService.{i}.CellConfig.{i}.NR.NGC.QoS.{i}.PDCP.ROHC.MaxCID</t>
  </si>
  <si>
    <t>MaxCID</t>
  </si>
  <si>
    <t>最大上下文ID</t>
  </si>
  <si>
    <t>unsignedInt[1…16383]</t>
  </si>
  <si>
    <t>多实例Object个数读写属性</t>
  </si>
  <si>
    <t>Device.DeviceInfo.MU.{i}</t>
  </si>
  <si>
    <t>MU实例节点</t>
  </si>
  <si>
    <t>添加实例，由基站端上报，不由网管下发。
基站端网元离线后，网管可以下发指令删除实例</t>
  </si>
  <si>
    <t>Device.DeviceInfo.MU.{i}.Slot.{i}</t>
  </si>
  <si>
    <t>Slot实例节点</t>
  </si>
  <si>
    <t>Device.DeviceInfo.MU.{i}.Slot.{i}.EU.{i}</t>
  </si>
  <si>
    <t>EU实例节点</t>
  </si>
  <si>
    <t>Device.DeviceInfo.MU.{i}.Slot.{i}.EU.{i}.RU.{i}</t>
  </si>
  <si>
    <t>RU实例节点</t>
  </si>
  <si>
    <t>Device.FaultMgmt.SupportedAlarm.{i}</t>
  </si>
  <si>
    <t>支持告警实例节点</t>
  </si>
  <si>
    <t>Device.FaultMgmt.CurrentAlarm.{i}.</t>
  </si>
  <si>
    <t>当前告警实例节点</t>
  </si>
  <si>
    <t>Device.FaultMgmt.HistoryEvent.{i}.</t>
  </si>
  <si>
    <t>历史告警实例节点</t>
  </si>
  <si>
    <t>Device.FaultMgmt.ExpeditedEvent.{i}.</t>
  </si>
  <si>
    <t>实时告警实例节点</t>
  </si>
  <si>
    <t>Device.FaultMgmt.QueuedEvent.{i}</t>
  </si>
  <si>
    <t>队列告警实例节点</t>
  </si>
  <si>
    <t>Device.FAP.MRMgmt.Config.{i}.</t>
  </si>
  <si>
    <t>MR实例节点</t>
  </si>
  <si>
    <t>Device.FAP.PerfMgmt.Config.{i}.</t>
  </si>
  <si>
    <t>PM实例节点</t>
  </si>
  <si>
    <t>Device.Services.FAPService.{i}.</t>
  </si>
  <si>
    <t>FAPService实例节点</t>
  </si>
  <si>
    <t>Device.Services.FAPService.{i}.Transport.SCTP.{i}.</t>
  </si>
  <si>
    <t>SCTP实例节点</t>
  </si>
  <si>
    <t>Device.Services.FAPService.{i}.FAPControl.NR.AMFPoolConfigParam.{i}.</t>
  </si>
  <si>
    <t>AMFPool实例节点</t>
  </si>
  <si>
    <t>Device.Services.FAPService.{i}.FAPControl.NR.XnIpAddrMapInfo.{i}.</t>
  </si>
  <si>
    <t>Xn实例节点</t>
  </si>
  <si>
    <t>Device.Services.FAPService.{i}.FAPControl.NR.X2IpAddrMapInfo.{i}.</t>
  </si>
  <si>
    <t>X2实例节点</t>
  </si>
  <si>
    <t>Device.Services.FAPService.{i}.CellConfig.{i}.</t>
  </si>
  <si>
    <t>NR小区实例节点</t>
  </si>
  <si>
    <t>Device.Services.FAPService.{i}.CellConfig.{i}.NR.VoNR.VoNRList.{i}.</t>
  </si>
  <si>
    <t>VONR实例节点</t>
  </si>
  <si>
    <t>Device.Services.FAPService.{i}.CellConfig.{i}.NR.VoNR.PdcpInitParam.{i}.</t>
  </si>
  <si>
    <t>VONR头压缩实例节点</t>
  </si>
  <si>
    <t>Device.Services.FAPService.{i}.CellConfig.{i}.NR.CN.TA.{i}.</t>
  </si>
  <si>
    <t>TA实例节点</t>
  </si>
  <si>
    <t>Device.Services.FAPService.{i}.CellConfig.{i}.NR.CN.TA.{i}.PLMNList.{i}.</t>
  </si>
  <si>
    <t>PLMNID实例节点</t>
  </si>
  <si>
    <t>Device.Services.FAPService.{i}.CellConfig.{i}.NR.CN.TA.{i}.PLMNList.{i}.SliceList.{i}.</t>
  </si>
  <si>
    <t>SliceList实例节点</t>
  </si>
  <si>
    <t>Device.Services.FAPService.{i}.CellConfig.{i}.NR.RAN.PHY.FrequencyInfoDLSIB.MultiFrequencyBandListNRSIB.{i}.</t>
  </si>
  <si>
    <t>MultiFrequencyBandListNRSIB实例节点</t>
  </si>
  <si>
    <t>Device.Services.FAPService.{i}.CellConfig.{i}.NR.RAN.PHY.FrequencyInfoDLSIB.ScsSpecificCarrierList.{i}.</t>
  </si>
  <si>
    <t>ScsSpecificCarrierList实例节点</t>
  </si>
  <si>
    <t>Device.Services.FAPService.{i}.CellConfig.{i}.NR.RAN.PHY.SiConfig.SchedulingInfoAllocationList.{i}.</t>
  </si>
  <si>
    <t>siSchedulingInfoAllocationList实例节点</t>
  </si>
  <si>
    <t>Device.Services.FAPService.{i}.CellConfig.{i}.NR.RAN.PHY.PDCCHConfig.SearchSpacesToAddModList.{i}.</t>
  </si>
  <si>
    <t>SearchSpacesToAddModList实例节点</t>
  </si>
  <si>
    <t>Device.Services.FAPService.{i}.CellConfig.{i}.NR.RAN.PHY.BWP.BWPUL.{i}.</t>
  </si>
  <si>
    <t>BWPUL实例节点</t>
  </si>
  <si>
    <t>Device.Services.FAPService.{i}.CellConfig.{i}.NR.RAN.PHY.BWP.BWPDL.{i}.</t>
  </si>
  <si>
    <t>BWPDL实例节点</t>
  </si>
  <si>
    <t>Device.Services.FAPService.{i}.CellConfig.{i}.NR.RAN.PHY.BWP.BWPUL.{i}.PUSCHConfig.FrequencyHoppingOffsetLists.{i}</t>
  </si>
  <si>
    <t>跳频偏移列表实例节点</t>
  </si>
  <si>
    <t>Device.Services.FAPService.{i}.CellConfig.{i}.NR.RAN.PHY.BWP.BWPDL.{i}.PDCCH..ControlResourceSetToAddModList.{i}.</t>
  </si>
  <si>
    <t>ControlResourceSetToAddModList实例节点</t>
  </si>
  <si>
    <t>Device.Services.FAPService.{i}.CellConfig.{i}.NR.RAN.PHY.BWP.BWPUL.{i}.SrsConfig.Config.{i}.</t>
  </si>
  <si>
    <t>SRS实例节点</t>
  </si>
  <si>
    <t>Device.Services.FAPService.{i}.CellConfig.{i}.NR.RAN.PHY.BWP.BWPUL.{i}.PUSCHTimeDomainAllocationList.{i}.</t>
  </si>
  <si>
    <t>PUSCHTimeDomainAllocationList实例节点</t>
  </si>
  <si>
    <t>Device.Services.FAPService.{i}.CellConfig.{i}.NR.RAN.PHY.BWP.BWPDL.{i}.PDCCH.CommonSearchSpaceList.{i}.</t>
  </si>
  <si>
    <t>搜索空间实例节点</t>
  </si>
  <si>
    <t>Device.Services.FAPService.{i}.CellConfig.{i}.NR.RAN.PHY.BWP.BWPDL.{i}.PDSCH.PDSCHTimeDomainResourceAllocationList.{i}.</t>
  </si>
  <si>
    <t>PDSCHTimeDomainResourceAllocationList实例节点</t>
  </si>
  <si>
    <t>Device.Services.FAPService.{i}.CellConfig.{i}.NR.RAN.Drx.{i}.</t>
  </si>
  <si>
    <t>Drx实例节点</t>
  </si>
  <si>
    <t>Device.Services.FAPService.{i}.CellConfig.{i}.NR.RAN.RadioBearParam.{i}.</t>
  </si>
  <si>
    <t>RadioBearParam实例节点</t>
  </si>
  <si>
    <t>Device.Services.FAPService.{i}.CellConfig.{i}.NR.RAN.NeighborList.NRCell.{i}.</t>
  </si>
  <si>
    <t>5G邻区实例节点</t>
  </si>
  <si>
    <t>Device.Services.FAPService.{i}.CellConfig.{i}.NR.RAN.NeighborList.LTECell.{i}.</t>
  </si>
  <si>
    <t>LTE邻区实例节点</t>
  </si>
  <si>
    <t>Device.Services.FAPService.{i}.CellConfig.{i}.NR.RAN.Mobility.ConnMode.NR.PeriodMeasCtrl.{i}.</t>
  </si>
  <si>
    <t>周期性测量实例节点</t>
  </si>
  <si>
    <t>Device.Services.FAPService.{i}.CellConfig.{i}.NR.RAN.Mobility.ConnMode.NR.A1MeasureCtrl.{i}.</t>
  </si>
  <si>
    <t>A1测量实例节点</t>
  </si>
  <si>
    <t>Device.Services.FAPService.{i}.CellConfig.{i}.NR.RAN.Mobility.ConnMode.NR.A2MeasureCtrl.{i}.</t>
  </si>
  <si>
    <t>A2测量实例节点</t>
  </si>
  <si>
    <t>Device.Services.FAPService.{i}.CellConfig.{i}.NR.RAN.Mobility.ConnMode.NR.A3MeasureCtrl.{i}.</t>
  </si>
  <si>
    <t>A3测量实例节点</t>
  </si>
  <si>
    <t>Device.Services.FAPService.{i}.CellConfig.{i}.NR.RAN.Mobility.ConnMode.NR.A4MeasureCtrl.{i}.</t>
  </si>
  <si>
    <t>A4测量实例节点</t>
  </si>
  <si>
    <t>Device.Services.FAPService.{i}.CellConfig.{i}.NR.RAN.Mobility.ConnMode.NR.A5MeasureCtrl.{i}.</t>
  </si>
  <si>
    <t>A5测量实例节点</t>
  </si>
  <si>
    <t>Device.Services.FAPService.{i}.CellConfig.{i}.NR.RAN.Mobility.ConnMode.IRAT.B1MeasureCtrl.{i}.</t>
  </si>
  <si>
    <t>B1测量实例节点</t>
  </si>
  <si>
    <t>Device.Services.FAPService.{i}.CellConfig.{i}.NR.RAN.Mobility.ConnMode.IRAT.B2MeasureCtrl.{i}.</t>
  </si>
  <si>
    <t>B2测量实例节点</t>
  </si>
  <si>
    <t>Device.Services.FAPService.{i}.CellConfig.{i}.NR.RAN.Mobility.ConnMode.NR.MeasureCtrl.InterRat.EutraMeasObj.{i}.</t>
  </si>
  <si>
    <t>异系统测量实例节点</t>
  </si>
  <si>
    <t>Device.Services.FAPService.{i}.CellConfig.{i}.NR.RAN.Mobility.IdleMode.InterFreq.Carrier.{i}.</t>
  </si>
  <si>
    <t>异频重选实例节点</t>
  </si>
  <si>
    <t>Device.Services.FAPService.{i}.CellConfig.{i}.NR.RAN.Mobility.IdleMode.EUTRA.Carrier.{i}.</t>
  </si>
  <si>
    <t>异系统重选实例节点</t>
  </si>
  <si>
    <t>Device.Services.FAPService.{i}.CellConfig.{i}.NR.NGC.Default5QI.PLMN.{i}.</t>
  </si>
  <si>
    <t>Qos配置中的PLMN节点</t>
  </si>
  <si>
    <t>Device.Services.FAPService.{i}.CellConfig.{i}.NR.NGC.QoS.{i}.</t>
  </si>
  <si>
    <t>Qos节点</t>
  </si>
  <si>
    <t>Device.Ethernet.Interface.{i}.</t>
  </si>
  <si>
    <t>Ethernet接口实例节点</t>
  </si>
  <si>
    <t>Device.Ethernet.Interface.{i}.IPv4Address.{i}.</t>
  </si>
  <si>
    <t>EthernetIPV4接口实例节点</t>
  </si>
  <si>
    <t>Device.Ethernet.Interface.{i}.IPv6Address.{i}.</t>
  </si>
  <si>
    <t>EthernetIPV6接口实例节点</t>
  </si>
  <si>
    <t>Device.Ethernet.Interface.{i}.VlanInterface.{i}.</t>
  </si>
  <si>
    <t>Vlan接口实例节点</t>
  </si>
  <si>
    <t>Device.Ethernet.Interface.{i}.VlanInterface.{i}.IPv4Address.{i}.</t>
  </si>
  <si>
    <t>VlanIPV4接口实例节点</t>
  </si>
  <si>
    <t>Device.Ethernet.Interface.{i}.VlanInterface.{i}.IPv6Address.{i}.</t>
  </si>
  <si>
    <t>VlanIPV6接口实例节点</t>
  </si>
</sst>
</file>

<file path=xl/styles.xml><?xml version="1.0" encoding="utf-8"?>
<styleSheet xmlns="http://schemas.openxmlformats.org/spreadsheetml/2006/main">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yyyy&quot;年&quot;m&quot;月&quot;d&quot;日&quot;;@"/>
  </numFmts>
  <fonts count="78">
    <font>
      <sz val="11"/>
      <color indexed="8"/>
      <name val="宋体"/>
      <charset val="134"/>
    </font>
    <font>
      <b/>
      <sz val="10"/>
      <color indexed="8"/>
      <name val="宋体"/>
      <charset val="134"/>
    </font>
    <font>
      <sz val="10"/>
      <color theme="1"/>
      <name val="宋体"/>
      <charset val="134"/>
      <scheme val="major"/>
    </font>
    <font>
      <sz val="10"/>
      <name val="宋体"/>
      <charset val="134"/>
      <scheme val="major"/>
    </font>
    <font>
      <sz val="10"/>
      <color indexed="8"/>
      <name val="宋体"/>
      <charset val="134"/>
      <scheme val="major"/>
    </font>
    <font>
      <sz val="10"/>
      <color indexed="8"/>
      <name val="宋体"/>
      <charset val="134"/>
    </font>
    <font>
      <b/>
      <sz val="9"/>
      <name val="宋体"/>
      <charset val="134"/>
      <scheme val="minor"/>
    </font>
    <font>
      <sz val="10"/>
      <color rgb="FF000000"/>
      <name val="宋体"/>
      <charset val="134"/>
      <scheme val="major"/>
    </font>
    <font>
      <sz val="10"/>
      <name val="宋体"/>
      <charset val="134"/>
    </font>
    <font>
      <b/>
      <sz val="9"/>
      <color indexed="8"/>
      <name val="宋体"/>
      <charset val="134"/>
    </font>
    <font>
      <sz val="9"/>
      <name val="宋体"/>
      <charset val="134"/>
    </font>
    <font>
      <sz val="9"/>
      <name val="宋体"/>
      <charset val="134"/>
      <scheme val="minor"/>
    </font>
    <font>
      <sz val="9"/>
      <color theme="1"/>
      <name val="宋体"/>
      <charset val="134"/>
    </font>
    <font>
      <sz val="9"/>
      <color indexed="8"/>
      <name val="宋体"/>
      <charset val="134"/>
    </font>
    <font>
      <sz val="9"/>
      <color theme="1"/>
      <name val="宋体"/>
      <charset val="134"/>
      <scheme val="minor"/>
    </font>
    <font>
      <sz val="11"/>
      <color theme="1"/>
      <name val="宋体"/>
      <charset val="134"/>
    </font>
    <font>
      <sz val="11"/>
      <color rgb="FFFF0000"/>
      <name val="宋体"/>
      <charset val="134"/>
    </font>
    <font>
      <sz val="11"/>
      <color indexed="8"/>
      <name val="宋体"/>
      <charset val="134"/>
    </font>
    <font>
      <b/>
      <sz val="9"/>
      <color theme="1"/>
      <name val="宋体"/>
      <charset val="134"/>
      <scheme val="minor"/>
    </font>
    <font>
      <sz val="9"/>
      <color theme="1"/>
      <name val="宋体"/>
      <charset val="134"/>
    </font>
    <font>
      <sz val="9"/>
      <color rgb="FF000000"/>
      <name val="宋体"/>
      <charset val="134"/>
      <scheme val="minor"/>
    </font>
    <font>
      <sz val="10"/>
      <color theme="1"/>
      <name val="宋体"/>
      <charset val="134"/>
    </font>
    <font>
      <sz val="10"/>
      <color rgb="FFFF0000"/>
      <name val="宋体"/>
      <charset val="134"/>
    </font>
    <font>
      <b/>
      <sz val="11"/>
      <color indexed="8"/>
      <name val="宋体"/>
      <charset val="134"/>
    </font>
    <font>
      <sz val="11"/>
      <name val="宋体"/>
      <charset val="134"/>
    </font>
    <font>
      <b/>
      <sz val="9"/>
      <name val="宋体"/>
      <charset val="134"/>
    </font>
    <font>
      <b/>
      <sz val="10"/>
      <color theme="1"/>
      <name val="宋体"/>
      <charset val="134"/>
    </font>
    <font>
      <b/>
      <sz val="11"/>
      <color theme="1"/>
      <name val="宋体"/>
      <charset val="134"/>
    </font>
    <font>
      <b/>
      <sz val="9"/>
      <color theme="1"/>
      <name val="宋体"/>
      <charset val="134"/>
    </font>
    <font>
      <sz val="9"/>
      <color theme="8"/>
      <name val="宋体"/>
      <charset val="134"/>
    </font>
    <font>
      <b/>
      <sz val="10"/>
      <name val="宋体"/>
      <charset val="134"/>
    </font>
    <font>
      <b/>
      <sz val="10"/>
      <name val="微软雅黑"/>
      <charset val="134"/>
    </font>
    <font>
      <sz val="11"/>
      <color theme="0"/>
      <name val="宋体"/>
      <charset val="134"/>
    </font>
    <font>
      <b/>
      <sz val="10"/>
      <color theme="1"/>
      <name val="宋体"/>
      <charset val="134"/>
      <scheme val="minor"/>
    </font>
    <font>
      <sz val="10"/>
      <name val="宋体"/>
      <charset val="134"/>
      <scheme val="minor"/>
    </font>
    <font>
      <b/>
      <sz val="20"/>
      <name val="黑体"/>
      <charset val="134"/>
    </font>
    <font>
      <sz val="10.5"/>
      <name val="宋体"/>
      <charset val="134"/>
    </font>
    <font>
      <sz val="10.5"/>
      <name val="Arial"/>
      <charset val="134"/>
    </font>
    <font>
      <sz val="10"/>
      <color indexed="10"/>
      <name val="宋体"/>
      <charset val="134"/>
    </font>
    <font>
      <b/>
      <sz val="18"/>
      <name val="楷体_GB2312"/>
      <charset val="134"/>
    </font>
    <font>
      <sz val="18"/>
      <name val="楷体_GB2312"/>
      <charset val="134"/>
    </font>
    <font>
      <sz val="18"/>
      <color indexed="8"/>
      <name val="微软雅黑"/>
      <charset val="134"/>
    </font>
    <font>
      <sz val="10"/>
      <color indexed="9"/>
      <name val="宋体"/>
      <charset val="134"/>
    </font>
    <font>
      <sz val="16"/>
      <color indexed="8"/>
      <name val="宋体"/>
      <charset val="134"/>
    </font>
    <font>
      <sz val="16"/>
      <name val="宋体"/>
      <charset val="134"/>
    </font>
    <font>
      <sz val="16"/>
      <color indexed="10"/>
      <name val="宋体"/>
      <charset val="134"/>
    </font>
    <font>
      <sz val="16"/>
      <color indexed="8"/>
      <name val="Times New Roman"/>
      <charset val="134"/>
    </font>
    <font>
      <sz val="10.5"/>
      <color indexed="8"/>
      <name val="Times New Roman"/>
      <charset val="134"/>
    </font>
    <font>
      <sz val="10.5"/>
      <color indexed="10"/>
      <name val="Times New Roman"/>
      <charset val="134"/>
    </font>
    <font>
      <sz val="16"/>
      <color indexed="8"/>
      <name val="楷体_GB2312"/>
      <charset val="134"/>
    </font>
    <font>
      <sz val="11"/>
      <color theme="1"/>
      <name val="宋体"/>
      <charset val="134"/>
      <scheme val="minor"/>
    </font>
    <font>
      <sz val="10"/>
      <name val="Arial"/>
      <charset val="134"/>
    </font>
    <font>
      <b/>
      <sz val="11"/>
      <color theme="1"/>
      <name val="宋体"/>
      <charset val="0"/>
      <scheme val="minor"/>
    </font>
    <font>
      <sz val="11"/>
      <color theme="0"/>
      <name val="宋体"/>
      <charset val="0"/>
      <scheme val="minor"/>
    </font>
    <font>
      <sz val="11"/>
      <color theme="1"/>
      <name val="宋体"/>
      <charset val="134"/>
      <scheme val="minor"/>
    </font>
    <font>
      <sz val="12"/>
      <name val="宋体"/>
      <charset val="134"/>
    </font>
    <font>
      <sz val="12"/>
      <name val="Times New Roman"/>
      <charset val="134"/>
    </font>
    <font>
      <sz val="11"/>
      <color theme="1"/>
      <name val="宋体"/>
      <charset val="0"/>
      <scheme val="minor"/>
    </font>
    <font>
      <b/>
      <sz val="15"/>
      <color theme="3"/>
      <name val="宋体"/>
      <charset val="134"/>
      <scheme val="minor"/>
    </font>
    <font>
      <sz val="11"/>
      <color rgb="FF3F3F76"/>
      <name val="宋体"/>
      <charset val="0"/>
      <scheme val="minor"/>
    </font>
    <font>
      <sz val="11"/>
      <color rgb="FF9C0006"/>
      <name val="宋体"/>
      <charset val="0"/>
      <scheme val="minor"/>
    </font>
    <font>
      <b/>
      <sz val="13"/>
      <color theme="3"/>
      <name val="宋体"/>
      <charset val="134"/>
      <scheme val="minor"/>
    </font>
    <font>
      <u/>
      <sz val="11"/>
      <color rgb="FF0000FF"/>
      <name val="宋体"/>
      <charset val="0"/>
      <scheme val="minor"/>
    </font>
    <font>
      <b/>
      <sz val="11"/>
      <color rgb="FFFA7D00"/>
      <name val="宋体"/>
      <charset val="0"/>
      <scheme val="minor"/>
    </font>
    <font>
      <b/>
      <sz val="11"/>
      <color rgb="FF3F3F3F"/>
      <name val="宋体"/>
      <charset val="0"/>
      <scheme val="minor"/>
    </font>
    <font>
      <sz val="11"/>
      <color rgb="FFFF0000"/>
      <name val="宋体"/>
      <charset val="0"/>
      <scheme val="minor"/>
    </font>
    <font>
      <u/>
      <sz val="11"/>
      <color rgb="FF800080"/>
      <name val="宋体"/>
      <charset val="0"/>
      <scheme val="minor"/>
    </font>
    <font>
      <b/>
      <sz val="11"/>
      <color rgb="FFFFFFFF"/>
      <name val="宋体"/>
      <charset val="0"/>
      <scheme val="minor"/>
    </font>
    <font>
      <b/>
      <sz val="11"/>
      <color theme="3"/>
      <name val="宋体"/>
      <charset val="134"/>
      <scheme val="minor"/>
    </font>
    <font>
      <i/>
      <sz val="11"/>
      <color rgb="FF7F7F7F"/>
      <name val="宋体"/>
      <charset val="0"/>
      <scheme val="minor"/>
    </font>
    <font>
      <sz val="11"/>
      <color rgb="FF006100"/>
      <name val="宋体"/>
      <charset val="0"/>
      <scheme val="minor"/>
    </font>
    <font>
      <b/>
      <sz val="18"/>
      <color theme="3"/>
      <name val="宋体"/>
      <charset val="134"/>
      <scheme val="minor"/>
    </font>
    <font>
      <sz val="11"/>
      <color rgb="FF9C6500"/>
      <name val="宋体"/>
      <charset val="0"/>
      <scheme val="minor"/>
    </font>
    <font>
      <sz val="11"/>
      <color rgb="FFFA7D00"/>
      <name val="宋体"/>
      <charset val="0"/>
      <scheme val="minor"/>
    </font>
    <font>
      <sz val="9"/>
      <color indexed="8"/>
      <name val="Times New Roman"/>
      <charset val="134"/>
    </font>
    <font>
      <sz val="9"/>
      <color theme="1"/>
      <name val="Times New Roman"/>
      <charset val="134"/>
    </font>
    <font>
      <sz val="9"/>
      <color rgb="FFFF0000"/>
      <name val="宋体"/>
      <charset val="134"/>
    </font>
    <font>
      <sz val="16"/>
      <name val="Times New Roman"/>
      <charset val="134"/>
    </font>
  </fonts>
  <fills count="38">
    <fill>
      <patternFill patternType="none"/>
    </fill>
    <fill>
      <patternFill patternType="gray125"/>
    </fill>
    <fill>
      <patternFill patternType="solid">
        <fgColor theme="0" tint="-0.149876400036622"/>
        <bgColor indexed="64"/>
      </patternFill>
    </fill>
    <fill>
      <patternFill patternType="solid">
        <fgColor theme="0"/>
        <bgColor indexed="64"/>
      </patternFill>
    </fill>
    <fill>
      <patternFill patternType="solid">
        <fgColor indexed="9"/>
        <bgColor indexed="64"/>
      </patternFill>
    </fill>
    <fill>
      <patternFill patternType="solid">
        <fgColor indexed="11"/>
        <bgColor indexed="64"/>
      </patternFill>
    </fill>
    <fill>
      <patternFill patternType="solid">
        <fgColor indexed="12"/>
        <bgColor indexed="64"/>
      </patternFill>
    </fill>
    <fill>
      <patternFill patternType="solid">
        <fgColor theme="5"/>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theme="9"/>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rgb="FFFFCC99"/>
        <bgColor indexed="64"/>
      </patternFill>
    </fill>
    <fill>
      <patternFill patternType="solid">
        <fgColor theme="5" tint="0.799981688894314"/>
        <bgColor indexed="64"/>
      </patternFill>
    </fill>
    <fill>
      <patternFill patternType="solid">
        <fgColor rgb="FFFFC7CE"/>
        <bgColor indexed="64"/>
      </patternFill>
    </fill>
    <fill>
      <patternFill patternType="solid">
        <fgColor theme="4"/>
        <bgColor indexed="64"/>
      </patternFill>
    </fill>
    <fill>
      <patternFill patternType="solid">
        <fgColor rgb="FFF2F2F2"/>
        <bgColor indexed="64"/>
      </patternFill>
    </fill>
    <fill>
      <patternFill patternType="solid">
        <fgColor rgb="FFA5A5A5"/>
        <bgColor indexed="64"/>
      </patternFill>
    </fill>
    <fill>
      <patternFill patternType="solid">
        <fgColor rgb="FFFFFFCC"/>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rgb="FFC6EFCE"/>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FEB9C"/>
        <bgColor indexed="64"/>
      </patternFill>
    </fill>
    <fill>
      <patternFill patternType="solid">
        <fgColor theme="8" tint="0.799981688894314"/>
        <bgColor indexed="64"/>
      </patternFill>
    </fill>
    <fill>
      <patternFill patternType="solid">
        <fgColor theme="7"/>
        <bgColor indexed="64"/>
      </patternFill>
    </fill>
    <fill>
      <patternFill patternType="solid">
        <fgColor theme="6"/>
        <bgColor indexed="64"/>
      </patternFill>
    </fill>
    <fill>
      <patternFill patternType="solid">
        <fgColor theme="8"/>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9" tint="0.399975585192419"/>
        <bgColor indexed="64"/>
      </patternFill>
    </fill>
    <fill>
      <patternFill patternType="solid">
        <fgColor theme="9" tint="0.599993896298105"/>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77">
    <xf numFmtId="0" fontId="0" fillId="0" borderId="0">
      <alignment vertical="center"/>
    </xf>
    <xf numFmtId="42" fontId="50" fillId="0" borderId="0" applyFont="0" applyFill="0" applyBorder="0" applyAlignment="0" applyProtection="0">
      <alignment vertical="center"/>
    </xf>
    <xf numFmtId="0" fontId="55" fillId="0" borderId="0"/>
    <xf numFmtId="0" fontId="57" fillId="14" borderId="0" applyNumberFormat="0" applyBorder="0" applyAlignment="0" applyProtection="0">
      <alignment vertical="center"/>
    </xf>
    <xf numFmtId="0" fontId="59" fillId="17" borderId="15" applyNumberFormat="0" applyAlignment="0" applyProtection="0">
      <alignment vertical="center"/>
    </xf>
    <xf numFmtId="44" fontId="50" fillId="0" borderId="0" applyFont="0" applyFill="0" applyBorder="0" applyAlignment="0" applyProtection="0">
      <alignment vertical="center"/>
    </xf>
    <xf numFmtId="41" fontId="50" fillId="0" borderId="0" applyFont="0" applyFill="0" applyBorder="0" applyAlignment="0" applyProtection="0">
      <alignment vertical="center"/>
    </xf>
    <xf numFmtId="0" fontId="57" fillId="10" borderId="0" applyNumberFormat="0" applyBorder="0" applyAlignment="0" applyProtection="0">
      <alignment vertical="center"/>
    </xf>
    <xf numFmtId="0" fontId="60" fillId="19" borderId="0" applyNumberFormat="0" applyBorder="0" applyAlignment="0" applyProtection="0">
      <alignment vertical="center"/>
    </xf>
    <xf numFmtId="43" fontId="50" fillId="0" borderId="0" applyFont="0" applyFill="0" applyBorder="0" applyAlignment="0" applyProtection="0">
      <alignment vertical="center"/>
    </xf>
    <xf numFmtId="0" fontId="53" fillId="13" borderId="0" applyNumberFormat="0" applyBorder="0" applyAlignment="0" applyProtection="0">
      <alignment vertical="center"/>
    </xf>
    <xf numFmtId="0" fontId="62" fillId="0" borderId="0" applyNumberFormat="0" applyFill="0" applyBorder="0" applyAlignment="0" applyProtection="0">
      <alignment vertical="center"/>
    </xf>
    <xf numFmtId="9" fontId="50" fillId="0" borderId="0" applyFont="0" applyFill="0" applyBorder="0" applyAlignment="0" applyProtection="0">
      <alignment vertical="center"/>
    </xf>
    <xf numFmtId="0" fontId="66" fillId="0" borderId="0" applyNumberFormat="0" applyFill="0" applyBorder="0" applyAlignment="0" applyProtection="0">
      <alignment vertical="center"/>
    </xf>
    <xf numFmtId="0" fontId="51" fillId="0" borderId="0" applyNumberFormat="0" applyFont="0" applyFill="0" applyBorder="0" applyAlignment="0" applyProtection="0"/>
    <xf numFmtId="0" fontId="50" fillId="23" borderId="19" applyNumberFormat="0" applyFont="0" applyAlignment="0" applyProtection="0">
      <alignment vertical="center"/>
    </xf>
    <xf numFmtId="0" fontId="53" fillId="25" borderId="0" applyNumberFormat="0" applyBorder="0" applyAlignment="0" applyProtection="0">
      <alignment vertical="center"/>
    </xf>
    <xf numFmtId="0" fontId="68"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55" fillId="0" borderId="0"/>
    <xf numFmtId="0" fontId="71" fillId="0" borderId="0" applyNumberFormat="0" applyFill="0" applyBorder="0" applyAlignment="0" applyProtection="0">
      <alignment vertical="center"/>
    </xf>
    <xf numFmtId="0" fontId="17" fillId="0" borderId="0">
      <alignment vertical="center"/>
    </xf>
    <xf numFmtId="0" fontId="69" fillId="0" borderId="0" applyNumberFormat="0" applyFill="0" applyBorder="0" applyAlignment="0" applyProtection="0">
      <alignment vertical="center"/>
    </xf>
    <xf numFmtId="0" fontId="58" fillId="0" borderId="14" applyNumberFormat="0" applyFill="0" applyAlignment="0" applyProtection="0">
      <alignment vertical="center"/>
    </xf>
    <xf numFmtId="0" fontId="61" fillId="0" borderId="14" applyNumberFormat="0" applyFill="0" applyAlignment="0" applyProtection="0">
      <alignment vertical="center"/>
    </xf>
    <xf numFmtId="0" fontId="55" fillId="0" borderId="0"/>
    <xf numFmtId="0" fontId="53" fillId="27" borderId="0" applyNumberFormat="0" applyBorder="0" applyAlignment="0" applyProtection="0">
      <alignment vertical="center"/>
    </xf>
    <xf numFmtId="0" fontId="68" fillId="0" borderId="18" applyNumberFormat="0" applyFill="0" applyAlignment="0" applyProtection="0">
      <alignment vertical="center"/>
    </xf>
    <xf numFmtId="0" fontId="53" fillId="28" borderId="0" applyNumberFormat="0" applyBorder="0" applyAlignment="0" applyProtection="0">
      <alignment vertical="center"/>
    </xf>
    <xf numFmtId="0" fontId="64" fillId="21" borderId="16" applyNumberFormat="0" applyAlignment="0" applyProtection="0">
      <alignment vertical="center"/>
    </xf>
    <xf numFmtId="0" fontId="63" fillId="21" borderId="15" applyNumberFormat="0" applyAlignment="0" applyProtection="0">
      <alignment vertical="center"/>
    </xf>
    <xf numFmtId="0" fontId="67" fillId="22" borderId="17" applyNumberFormat="0" applyAlignment="0" applyProtection="0">
      <alignment vertical="center"/>
    </xf>
    <xf numFmtId="0" fontId="55" fillId="0" borderId="0"/>
    <xf numFmtId="0" fontId="57" fillId="24" borderId="0" applyNumberFormat="0" applyBorder="0" applyAlignment="0" applyProtection="0">
      <alignment vertical="center"/>
    </xf>
    <xf numFmtId="0" fontId="53" fillId="7" borderId="0" applyNumberFormat="0" applyBorder="0" applyAlignment="0" applyProtection="0">
      <alignment vertical="center"/>
    </xf>
    <xf numFmtId="0" fontId="73" fillId="0" borderId="20" applyNumberFormat="0" applyFill="0" applyAlignment="0" applyProtection="0">
      <alignment vertical="center"/>
    </xf>
    <xf numFmtId="0" fontId="52" fillId="0" borderId="13" applyNumberFormat="0" applyFill="0" applyAlignment="0" applyProtection="0">
      <alignment vertical="center"/>
    </xf>
    <xf numFmtId="0" fontId="70" fillId="26" borderId="0" applyNumberFormat="0" applyBorder="0" applyAlignment="0" applyProtection="0">
      <alignment vertical="center"/>
    </xf>
    <xf numFmtId="0" fontId="72" fillId="29" borderId="0" applyNumberFormat="0" applyBorder="0" applyAlignment="0" applyProtection="0">
      <alignment vertical="center"/>
    </xf>
    <xf numFmtId="0" fontId="57" fillId="30" borderId="0" applyNumberFormat="0" applyBorder="0" applyAlignment="0" applyProtection="0">
      <alignment vertical="center"/>
    </xf>
    <xf numFmtId="0" fontId="53" fillId="20" borderId="0" applyNumberFormat="0" applyBorder="0" applyAlignment="0" applyProtection="0">
      <alignment vertical="center"/>
    </xf>
    <xf numFmtId="0" fontId="17" fillId="0" borderId="0">
      <alignment vertical="center"/>
    </xf>
    <xf numFmtId="0" fontId="57" fillId="16" borderId="0" applyNumberFormat="0" applyBorder="0" applyAlignment="0" applyProtection="0">
      <alignment vertical="center"/>
    </xf>
    <xf numFmtId="0" fontId="57" fillId="15" borderId="0" applyNumberFormat="0" applyBorder="0" applyAlignment="0" applyProtection="0">
      <alignment vertical="center"/>
    </xf>
    <xf numFmtId="0" fontId="55" fillId="0" borderId="0"/>
    <xf numFmtId="0" fontId="57" fillId="18" borderId="0" applyNumberFormat="0" applyBorder="0" applyAlignment="0" applyProtection="0">
      <alignment vertical="center"/>
    </xf>
    <xf numFmtId="0" fontId="57" fillId="12" borderId="0" applyNumberFormat="0" applyBorder="0" applyAlignment="0" applyProtection="0">
      <alignment vertical="center"/>
    </xf>
    <xf numFmtId="0" fontId="53" fillId="32" borderId="0" applyNumberFormat="0" applyBorder="0" applyAlignment="0" applyProtection="0">
      <alignment vertical="center"/>
    </xf>
    <xf numFmtId="0" fontId="17" fillId="0" borderId="0">
      <alignment vertical="center"/>
    </xf>
    <xf numFmtId="0" fontId="53" fillId="31" borderId="0" applyNumberFormat="0" applyBorder="0" applyAlignment="0" applyProtection="0">
      <alignment vertical="center"/>
    </xf>
    <xf numFmtId="0" fontId="57" fillId="9" borderId="0" applyNumberFormat="0" applyBorder="0" applyAlignment="0" applyProtection="0">
      <alignment vertical="center"/>
    </xf>
    <xf numFmtId="0" fontId="55" fillId="0" borderId="0">
      <alignment vertical="center"/>
    </xf>
    <xf numFmtId="0" fontId="57" fillId="34" borderId="0" applyNumberFormat="0" applyBorder="0" applyAlignment="0" applyProtection="0">
      <alignment vertical="center"/>
    </xf>
    <xf numFmtId="0" fontId="55" fillId="0" borderId="0">
      <alignment vertical="center"/>
    </xf>
    <xf numFmtId="0" fontId="53" fillId="33" borderId="0" applyNumberFormat="0" applyBorder="0" applyAlignment="0" applyProtection="0">
      <alignment vertical="center"/>
    </xf>
    <xf numFmtId="0" fontId="17" fillId="0" borderId="0">
      <alignment vertical="center"/>
    </xf>
    <xf numFmtId="0" fontId="57" fillId="35" borderId="0" applyNumberFormat="0" applyBorder="0" applyAlignment="0" applyProtection="0">
      <alignment vertical="center"/>
    </xf>
    <xf numFmtId="0" fontId="53" fillId="8" borderId="0" applyNumberFormat="0" applyBorder="0" applyAlignment="0" applyProtection="0">
      <alignment vertical="center"/>
    </xf>
    <xf numFmtId="0" fontId="53" fillId="11" borderId="0" applyNumberFormat="0" applyBorder="0" applyAlignment="0" applyProtection="0">
      <alignment vertical="center"/>
    </xf>
    <xf numFmtId="0" fontId="51" fillId="0" borderId="0"/>
    <xf numFmtId="0" fontId="57" fillId="37" borderId="0" applyNumberFormat="0" applyBorder="0" applyAlignment="0" applyProtection="0">
      <alignment vertical="center"/>
    </xf>
    <xf numFmtId="0" fontId="53" fillId="36" borderId="0" applyNumberFormat="0" applyBorder="0" applyAlignment="0" applyProtection="0">
      <alignment vertical="center"/>
    </xf>
    <xf numFmtId="0" fontId="56"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55" fillId="0" borderId="0"/>
    <xf numFmtId="0" fontId="55" fillId="0" borderId="0"/>
    <xf numFmtId="0" fontId="54" fillId="0" borderId="0"/>
    <xf numFmtId="0" fontId="56" fillId="0" borderId="0"/>
    <xf numFmtId="44" fontId="17" fillId="0" borderId="0" applyFont="0" applyFill="0" applyBorder="0" applyAlignment="0" applyProtection="0">
      <alignment vertical="center"/>
    </xf>
    <xf numFmtId="44" fontId="17" fillId="0" borderId="0" applyFont="0" applyFill="0" applyBorder="0" applyAlignment="0" applyProtection="0">
      <alignment vertical="center"/>
    </xf>
    <xf numFmtId="44" fontId="17" fillId="0" borderId="0" applyFont="0" applyFill="0" applyBorder="0" applyAlignment="0" applyProtection="0">
      <alignment vertical="center"/>
    </xf>
    <xf numFmtId="0" fontId="56" fillId="0" borderId="0">
      <alignment vertical="center"/>
    </xf>
    <xf numFmtId="0" fontId="56" fillId="0" borderId="0"/>
  </cellStyleXfs>
  <cellXfs count="433">
    <xf numFmtId="0" fontId="0" fillId="0" borderId="0" xfId="0">
      <alignment vertical="center"/>
    </xf>
    <xf numFmtId="0" fontId="1" fillId="0" borderId="0" xfId="0" applyFont="1" applyFill="1" applyBorder="1" applyAlignment="1">
      <alignment horizontal="center" vertical="center" wrapText="1"/>
    </xf>
    <xf numFmtId="0" fontId="2" fillId="0" borderId="0" xfId="0" applyFont="1" applyFill="1" applyAlignment="1">
      <alignment vertical="center" wrapText="1"/>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xf>
    <xf numFmtId="0" fontId="3" fillId="0" borderId="0" xfId="63" applyFont="1" applyFill="1" applyBorder="1" applyAlignment="1">
      <alignment horizontal="left" vertical="center" wrapText="1"/>
    </xf>
    <xf numFmtId="0" fontId="4" fillId="0" borderId="0" xfId="0" applyFont="1" applyAlignment="1">
      <alignment vertical="center" wrapText="1"/>
    </xf>
    <xf numFmtId="0" fontId="2" fillId="0" borderId="0" xfId="0" applyFont="1" applyFill="1">
      <alignment vertical="center"/>
    </xf>
    <xf numFmtId="0" fontId="5" fillId="0" borderId="0" xfId="0" applyFont="1" applyAlignment="1">
      <alignment vertical="center" wrapText="1"/>
    </xf>
    <xf numFmtId="0" fontId="5" fillId="0" borderId="0" xfId="0" applyFont="1" applyAlignment="1">
      <alignment horizontal="left" vertical="center" wrapText="1"/>
    </xf>
    <xf numFmtId="0" fontId="5" fillId="0" borderId="0" xfId="0" applyFont="1" applyAlignment="1">
      <alignment horizontal="center" vertical="center" wrapText="1"/>
    </xf>
    <xf numFmtId="0" fontId="6" fillId="2"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7"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3" fillId="0" borderId="1" xfId="63" applyFont="1" applyFill="1" applyBorder="1" applyAlignment="1">
      <alignment horizontal="left" vertical="center" wrapText="1"/>
    </xf>
    <xf numFmtId="0" fontId="3" fillId="0" borderId="1" xfId="63" applyFont="1" applyFill="1" applyBorder="1" applyAlignment="1">
      <alignment vertical="center" wrapText="1"/>
    </xf>
    <xf numFmtId="0" fontId="3" fillId="0" borderId="1" xfId="63" applyFont="1" applyFill="1" applyBorder="1" applyAlignment="1">
      <alignment horizontal="center" vertical="center" wrapText="1"/>
    </xf>
    <xf numFmtId="0" fontId="3" fillId="0" borderId="0" xfId="63" applyFont="1" applyFill="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8" fillId="0" borderId="0" xfId="0" applyFont="1" applyFill="1" applyBorder="1" applyAlignment="1">
      <alignment horizontal="left" vertical="center" wrapText="1"/>
    </xf>
    <xf numFmtId="0" fontId="2" fillId="0" borderId="0" xfId="0" applyFont="1" applyFill="1" applyBorder="1" applyAlignment="1">
      <alignment vertical="center" wrapText="1"/>
    </xf>
    <xf numFmtId="0" fontId="9" fillId="0" borderId="0" xfId="0" applyFont="1" applyFill="1" applyBorder="1" applyAlignment="1">
      <alignment horizontal="center" vertical="center"/>
    </xf>
    <xf numFmtId="0" fontId="8" fillId="0" borderId="0" xfId="0" applyFont="1" applyFill="1" applyBorder="1" applyAlignment="1">
      <alignment horizontal="left" vertical="center"/>
    </xf>
    <xf numFmtId="0" fontId="0" fillId="0" borderId="0" xfId="0" applyBorder="1">
      <alignment vertical="center"/>
    </xf>
    <xf numFmtId="0" fontId="0" fillId="0" borderId="0" xfId="0" applyAlignment="1">
      <alignment horizontal="center" vertical="center"/>
    </xf>
    <xf numFmtId="0" fontId="6" fillId="2" borderId="1" xfId="0" applyFont="1" applyFill="1" applyBorder="1" applyAlignment="1">
      <alignment vertical="center" wrapText="1"/>
    </xf>
    <xf numFmtId="0" fontId="6" fillId="0" borderId="1" xfId="0" applyFont="1" applyFill="1" applyBorder="1" applyAlignment="1">
      <alignment horizontal="center" vertical="center" wrapText="1"/>
    </xf>
    <xf numFmtId="0" fontId="10" fillId="3" borderId="1" xfId="63" applyFont="1" applyFill="1" applyBorder="1" applyAlignment="1">
      <alignment horizontal="left" vertical="center" wrapText="1"/>
    </xf>
    <xf numFmtId="0" fontId="10" fillId="3" borderId="1" xfId="63" applyFont="1" applyFill="1" applyBorder="1" applyAlignment="1">
      <alignment horizontal="left" vertical="center"/>
    </xf>
    <xf numFmtId="0" fontId="10" fillId="3" borderId="1" xfId="63" applyFont="1" applyFill="1" applyBorder="1" applyAlignment="1" applyProtection="1">
      <alignment horizontal="left" vertical="center"/>
      <protection locked="0"/>
    </xf>
    <xf numFmtId="0" fontId="11" fillId="0" borderId="1" xfId="0" applyFont="1" applyFill="1" applyBorder="1" applyAlignment="1">
      <alignment horizontal="center" vertical="center" wrapText="1"/>
    </xf>
    <xf numFmtId="0" fontId="10" fillId="3" borderId="1" xfId="63" applyFont="1" applyFill="1" applyBorder="1" applyAlignment="1">
      <alignment horizontal="center" vertical="center" wrapText="1"/>
    </xf>
    <xf numFmtId="0" fontId="11" fillId="3" borderId="1" xfId="0" applyFont="1" applyFill="1" applyBorder="1" applyAlignment="1">
      <alignment horizontal="left" vertical="center" wrapText="1"/>
    </xf>
    <xf numFmtId="49" fontId="12" fillId="3" borderId="1" xfId="63" applyNumberFormat="1" applyFont="1" applyFill="1" applyBorder="1" applyAlignment="1">
      <alignment horizontal="left" vertical="center" wrapText="1"/>
    </xf>
    <xf numFmtId="0" fontId="10" fillId="3" borderId="1" xfId="63" applyFont="1" applyFill="1" applyBorder="1" applyProtection="1">
      <alignment vertical="center"/>
      <protection locked="0"/>
    </xf>
    <xf numFmtId="0" fontId="10" fillId="3" borderId="1" xfId="63" applyFont="1" applyFill="1" applyBorder="1" applyAlignment="1" applyProtection="1">
      <alignment horizontal="center" vertical="center"/>
      <protection locked="0"/>
    </xf>
    <xf numFmtId="49" fontId="10" fillId="3" borderId="1" xfId="63" applyNumberFormat="1" applyFont="1" applyFill="1" applyBorder="1" applyAlignment="1" applyProtection="1">
      <alignment horizontal="left" vertical="center" wrapText="1"/>
      <protection locked="0"/>
    </xf>
    <xf numFmtId="49" fontId="12" fillId="3" borderId="1" xfId="63" applyNumberFormat="1" applyFont="1" applyFill="1" applyBorder="1" applyAlignment="1">
      <alignment horizontal="left" vertical="center"/>
    </xf>
    <xf numFmtId="0" fontId="13" fillId="3" borderId="1" xfId="0" applyFont="1" applyFill="1" applyBorder="1" applyAlignment="1">
      <alignment horizontal="left" vertical="center" wrapText="1"/>
    </xf>
    <xf numFmtId="0" fontId="10" fillId="3" borderId="1" xfId="65" applyFont="1" applyFill="1" applyBorder="1" applyAlignment="1">
      <alignment horizontal="left" vertical="center" wrapText="1"/>
    </xf>
    <xf numFmtId="0" fontId="13" fillId="0" borderId="0" xfId="0" applyFont="1" applyAlignment="1">
      <alignment horizontal="center" vertical="center"/>
    </xf>
    <xf numFmtId="0" fontId="11" fillId="3" borderId="1" xfId="0" applyFont="1" applyFill="1" applyBorder="1" applyAlignment="1">
      <alignment horizontal="left" vertical="center"/>
    </xf>
    <xf numFmtId="0" fontId="11" fillId="3" borderId="1" xfId="0" applyFont="1" applyFill="1" applyBorder="1" applyAlignment="1">
      <alignment horizontal="center" vertical="center" wrapText="1"/>
    </xf>
    <xf numFmtId="49" fontId="11" fillId="3" borderId="1" xfId="0" applyNumberFormat="1" applyFont="1" applyFill="1" applyBorder="1" applyAlignment="1">
      <alignment horizontal="left" vertical="center" wrapText="1"/>
    </xf>
    <xf numFmtId="0" fontId="8" fillId="0" borderId="1" xfId="0" applyFont="1" applyFill="1" applyBorder="1" applyAlignment="1">
      <alignment horizontal="left" vertical="center"/>
    </xf>
    <xf numFmtId="0" fontId="0" fillId="0" borderId="1" xfId="0" applyBorder="1">
      <alignment vertical="center"/>
    </xf>
    <xf numFmtId="0" fontId="11" fillId="0" borderId="1" xfId="0" applyFont="1" applyFill="1" applyBorder="1" applyAlignment="1">
      <alignment horizontal="left" vertical="center" wrapText="1"/>
    </xf>
    <xf numFmtId="0" fontId="11" fillId="0" borderId="1" xfId="0" applyFont="1" applyFill="1" applyBorder="1" applyAlignment="1">
      <alignment horizontal="left" vertical="center"/>
    </xf>
    <xf numFmtId="49" fontId="11" fillId="0" borderId="1" xfId="0" applyNumberFormat="1" applyFont="1" applyFill="1" applyBorder="1" applyAlignment="1">
      <alignment horizontal="left" vertical="center" wrapText="1"/>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0" fillId="0" borderId="0" xfId="0" applyFont="1" applyBorder="1">
      <alignment vertical="center"/>
    </xf>
    <xf numFmtId="0" fontId="14" fillId="4" borderId="0" xfId="0" applyFont="1" applyFill="1" applyBorder="1" applyAlignment="1">
      <alignment vertical="center" wrapText="1"/>
    </xf>
    <xf numFmtId="0" fontId="11" fillId="4" borderId="0" xfId="0" applyFont="1" applyFill="1" applyBorder="1" applyAlignment="1">
      <alignment vertical="center" wrapText="1"/>
    </xf>
    <xf numFmtId="0" fontId="0" fillId="0" borderId="0" xfId="0" applyBorder="1" applyAlignment="1">
      <alignment horizontal="center" vertical="center"/>
    </xf>
    <xf numFmtId="0" fontId="11" fillId="0" borderId="1" xfId="0" applyFont="1" applyFill="1" applyBorder="1" applyAlignment="1">
      <alignment horizontal="center" vertical="center"/>
    </xf>
    <xf numFmtId="0" fontId="9" fillId="0" borderId="0" xfId="63" applyFont="1" applyFill="1" applyBorder="1" applyAlignment="1">
      <alignment horizontal="center" vertical="center"/>
    </xf>
    <xf numFmtId="0" fontId="15" fillId="0" borderId="0" xfId="63" applyFont="1" applyFill="1" applyBorder="1">
      <alignment vertical="center"/>
    </xf>
    <xf numFmtId="0" fontId="16" fillId="0" borderId="0" xfId="63" applyFont="1">
      <alignment vertical="center"/>
    </xf>
    <xf numFmtId="0" fontId="17" fillId="0" borderId="0" xfId="63">
      <alignment vertical="center"/>
    </xf>
    <xf numFmtId="0" fontId="17" fillId="0" borderId="0" xfId="63" applyAlignment="1">
      <alignment horizontal="left" vertical="center"/>
    </xf>
    <xf numFmtId="0" fontId="17" fillId="0" borderId="0" xfId="63" applyAlignment="1">
      <alignment horizontal="center" vertical="center"/>
    </xf>
    <xf numFmtId="0" fontId="18" fillId="0" borderId="1" xfId="63" applyFont="1" applyFill="1" applyBorder="1" applyAlignment="1">
      <alignment horizontal="center" vertical="center" wrapText="1"/>
    </xf>
    <xf numFmtId="0" fontId="14" fillId="0" borderId="1" xfId="63" applyFont="1" applyFill="1" applyBorder="1" applyAlignment="1">
      <alignment horizontal="left" vertical="center" wrapText="1"/>
    </xf>
    <xf numFmtId="0" fontId="14" fillId="0" borderId="1" xfId="63" applyFont="1" applyFill="1" applyBorder="1" applyAlignment="1">
      <alignment horizontal="center" vertical="center" wrapText="1"/>
    </xf>
    <xf numFmtId="0" fontId="12" fillId="0" borderId="1" xfId="63" applyFont="1" applyFill="1" applyBorder="1" applyAlignment="1">
      <alignment horizontal="left" vertical="center" wrapText="1"/>
    </xf>
    <xf numFmtId="0" fontId="19" fillId="0" borderId="1" xfId="63" applyFont="1" applyFill="1" applyBorder="1" applyAlignment="1">
      <alignment horizontal="left" vertical="center" wrapText="1"/>
    </xf>
    <xf numFmtId="0" fontId="13" fillId="3" borderId="1" xfId="63" applyFont="1" applyFill="1" applyBorder="1" applyAlignment="1">
      <alignment horizontal="left" vertical="center" wrapText="1"/>
    </xf>
    <xf numFmtId="0" fontId="13" fillId="3" borderId="1" xfId="63" applyFont="1" applyFill="1" applyBorder="1" applyAlignment="1">
      <alignment horizontal="center" vertical="center"/>
    </xf>
    <xf numFmtId="0" fontId="14" fillId="3" borderId="1" xfId="63" applyFont="1" applyFill="1" applyBorder="1" applyAlignment="1">
      <alignment horizontal="left" vertical="center" wrapText="1"/>
    </xf>
    <xf numFmtId="0" fontId="20" fillId="3" borderId="1" xfId="63" applyFont="1" applyFill="1" applyBorder="1" applyAlignment="1">
      <alignment horizontal="left" vertical="center" wrapText="1"/>
    </xf>
    <xf numFmtId="0" fontId="13" fillId="3" borderId="1" xfId="63" applyFont="1" applyFill="1" applyBorder="1" applyAlignment="1">
      <alignment horizontal="left" vertical="center"/>
    </xf>
    <xf numFmtId="0" fontId="8" fillId="0" borderId="0" xfId="63" applyFont="1" applyFill="1" applyBorder="1" applyAlignment="1">
      <alignment horizontal="left" vertical="center"/>
    </xf>
    <xf numFmtId="0" fontId="21" fillId="0" borderId="1" xfId="63" applyFont="1" applyFill="1" applyBorder="1" applyAlignment="1">
      <alignment horizontal="left" vertical="center"/>
    </xf>
    <xf numFmtId="0" fontId="22" fillId="4" borderId="1" xfId="63" applyFont="1" applyFill="1" applyBorder="1" applyAlignment="1">
      <alignment horizontal="left" vertical="center"/>
    </xf>
    <xf numFmtId="0" fontId="17" fillId="0" borderId="1" xfId="63" applyBorder="1">
      <alignment vertical="center"/>
    </xf>
    <xf numFmtId="0" fontId="0" fillId="0" borderId="0" xfId="0" applyFill="1" applyBorder="1">
      <alignment vertical="center"/>
    </xf>
    <xf numFmtId="0" fontId="0" fillId="0" borderId="0" xfId="0" applyFill="1" applyBorder="1" applyAlignment="1">
      <alignment horizontal="center" vertical="center"/>
    </xf>
    <xf numFmtId="0" fontId="21" fillId="0" borderId="0" xfId="0" applyFont="1" applyFill="1" applyBorder="1" applyAlignment="1">
      <alignment horizontal="left" vertical="center"/>
    </xf>
    <xf numFmtId="0" fontId="15" fillId="0" borderId="0" xfId="0" applyFont="1" applyFill="1" applyBorder="1">
      <alignment vertical="center"/>
    </xf>
    <xf numFmtId="0" fontId="18" fillId="0" borderId="1" xfId="0" applyFont="1" applyFill="1" applyBorder="1" applyAlignment="1">
      <alignment horizontal="center" vertical="center" wrapText="1"/>
    </xf>
    <xf numFmtId="0" fontId="14" fillId="0" borderId="1" xfId="0" applyFont="1" applyFill="1" applyBorder="1" applyAlignment="1">
      <alignment horizontal="left" vertical="center" wrapText="1"/>
    </xf>
    <xf numFmtId="0" fontId="14" fillId="0" borderId="1" xfId="0" applyFont="1" applyFill="1" applyBorder="1" applyAlignment="1">
      <alignment horizontal="center" vertical="center" wrapText="1"/>
    </xf>
    <xf numFmtId="0" fontId="14" fillId="0" borderId="1" xfId="0" applyFont="1" applyFill="1" applyBorder="1" applyAlignment="1">
      <alignment horizontal="center" vertical="center"/>
    </xf>
    <xf numFmtId="0" fontId="14" fillId="0" borderId="1" xfId="0" applyFont="1" applyFill="1" applyBorder="1" applyAlignment="1">
      <alignment horizontal="left" vertical="center"/>
    </xf>
    <xf numFmtId="0" fontId="21" fillId="0" borderId="1" xfId="0" applyFont="1" applyFill="1" applyBorder="1" applyAlignment="1">
      <alignment horizontal="left" vertical="center"/>
    </xf>
    <xf numFmtId="0" fontId="12" fillId="0" borderId="0" xfId="0" applyFont="1" applyFill="1" applyBorder="1" applyAlignment="1">
      <alignment horizontal="left" vertical="center"/>
    </xf>
    <xf numFmtId="0" fontId="23" fillId="0" borderId="0" xfId="0" applyFont="1">
      <alignment vertical="center"/>
    </xf>
    <xf numFmtId="0" fontId="24" fillId="0" borderId="0" xfId="0" applyFont="1" applyFill="1">
      <alignment vertical="center"/>
    </xf>
    <xf numFmtId="0" fontId="24" fillId="0" borderId="0" xfId="0" applyFont="1" applyFill="1" applyAlignment="1">
      <alignment horizontal="center" vertical="center"/>
    </xf>
    <xf numFmtId="0" fontId="0" fillId="0" borderId="0" xfId="0" applyAlignment="1">
      <alignment horizontal="left" vertical="center"/>
    </xf>
    <xf numFmtId="0" fontId="6" fillId="0" borderId="5" xfId="63" applyFont="1" applyFill="1" applyBorder="1" applyAlignment="1">
      <alignment horizontal="center" vertical="center" wrapText="1"/>
    </xf>
    <xf numFmtId="0" fontId="11" fillId="0" borderId="1" xfId="63" applyFont="1" applyFill="1" applyBorder="1" applyAlignment="1">
      <alignment horizontal="left" vertical="center" wrapText="1"/>
    </xf>
    <xf numFmtId="0" fontId="11" fillId="0" borderId="1" xfId="63" applyFont="1" applyFill="1" applyBorder="1" applyAlignment="1">
      <alignment horizontal="center" vertical="center" wrapText="1"/>
    </xf>
    <xf numFmtId="0" fontId="6" fillId="0" borderId="6" xfId="63" applyFont="1" applyFill="1" applyBorder="1" applyAlignment="1">
      <alignment horizontal="center" vertical="center" wrapText="1"/>
    </xf>
    <xf numFmtId="0" fontId="11" fillId="0" borderId="2" xfId="63" applyFont="1" applyFill="1" applyBorder="1" applyAlignment="1">
      <alignment horizontal="center" vertical="center" wrapText="1"/>
    </xf>
    <xf numFmtId="0" fontId="11" fillId="0" borderId="1" xfId="63" applyFont="1" applyBorder="1" applyAlignment="1">
      <alignment horizontal="left" vertical="center" wrapText="1"/>
    </xf>
    <xf numFmtId="0" fontId="13" fillId="0" borderId="1" xfId="63" applyFont="1" applyBorder="1" applyAlignment="1">
      <alignment horizontal="center" vertical="center"/>
    </xf>
    <xf numFmtId="0" fontId="6" fillId="0" borderId="1" xfId="63" applyFont="1" applyFill="1" applyBorder="1" applyAlignment="1">
      <alignment horizontal="center" vertical="center" wrapText="1"/>
    </xf>
    <xf numFmtId="0" fontId="11" fillId="0" borderId="1" xfId="63" applyFont="1" applyBorder="1" applyAlignment="1">
      <alignment horizontal="center" vertical="center" wrapText="1"/>
    </xf>
    <xf numFmtId="0" fontId="11" fillId="0" borderId="1" xfId="63" applyFont="1" applyBorder="1" applyAlignment="1">
      <alignment horizontal="left" vertical="center"/>
    </xf>
    <xf numFmtId="0" fontId="11" fillId="0" borderId="2" xfId="63" applyFont="1" applyBorder="1" applyAlignment="1">
      <alignment horizontal="center" vertical="center" wrapText="1"/>
    </xf>
    <xf numFmtId="0" fontId="13" fillId="0" borderId="1" xfId="0" applyFont="1" applyBorder="1" applyAlignment="1">
      <alignment horizontal="left" vertical="center"/>
    </xf>
    <xf numFmtId="0" fontId="13" fillId="0" borderId="1" xfId="0" applyFont="1" applyBorder="1" applyAlignment="1">
      <alignment horizontal="center" vertical="center"/>
    </xf>
    <xf numFmtId="0" fontId="24" fillId="0" borderId="1" xfId="0" applyFont="1" applyFill="1" applyBorder="1">
      <alignment vertical="center"/>
    </xf>
    <xf numFmtId="0" fontId="10" fillId="0" borderId="1" xfId="0" applyFont="1" applyFill="1" applyBorder="1">
      <alignment vertical="center"/>
    </xf>
    <xf numFmtId="0" fontId="10" fillId="0" borderId="1" xfId="0" applyFont="1" applyFill="1" applyBorder="1" applyAlignment="1">
      <alignment horizontal="left" vertical="center"/>
    </xf>
    <xf numFmtId="0" fontId="13" fillId="0" borderId="1" xfId="0" applyFont="1" applyBorder="1">
      <alignment vertical="center"/>
    </xf>
    <xf numFmtId="0" fontId="9" fillId="0" borderId="0" xfId="63" applyFont="1" applyFill="1" applyAlignment="1">
      <alignment horizontal="center" vertical="center"/>
    </xf>
    <xf numFmtId="0" fontId="10" fillId="0" borderId="0" xfId="63" applyFont="1" applyFill="1">
      <alignment vertical="center"/>
    </xf>
    <xf numFmtId="0" fontId="13" fillId="0" borderId="0" xfId="63" applyFont="1">
      <alignment vertical="center"/>
    </xf>
    <xf numFmtId="0" fontId="13" fillId="0" borderId="0" xfId="63" applyFont="1" applyAlignment="1">
      <alignment horizontal="center" vertical="center"/>
    </xf>
    <xf numFmtId="0" fontId="25" fillId="0" borderId="1" xfId="63" applyFont="1" applyFill="1" applyBorder="1" applyAlignment="1">
      <alignment horizontal="center" vertical="center" wrapText="1"/>
    </xf>
    <xf numFmtId="0" fontId="10" fillId="0" borderId="1" xfId="63" applyFont="1" applyFill="1" applyBorder="1" applyAlignment="1">
      <alignment horizontal="left" vertical="center" wrapText="1"/>
    </xf>
    <xf numFmtId="0" fontId="10" fillId="0" borderId="1" xfId="63" applyFont="1" applyFill="1" applyBorder="1" applyAlignment="1">
      <alignment horizontal="center" vertical="center" wrapText="1"/>
    </xf>
    <xf numFmtId="0" fontId="10" fillId="0" borderId="1" xfId="63" applyFont="1" applyFill="1" applyBorder="1" applyAlignment="1">
      <alignment horizontal="center" vertical="top" wrapText="1"/>
    </xf>
    <xf numFmtId="0" fontId="10" fillId="0" borderId="1" xfId="63" applyFont="1" applyFill="1" applyBorder="1" applyAlignment="1">
      <alignment horizontal="left" vertical="center"/>
    </xf>
    <xf numFmtId="0" fontId="17" fillId="0" borderId="1" xfId="63" applyBorder="1" applyAlignment="1">
      <alignment vertical="center" wrapText="1"/>
    </xf>
    <xf numFmtId="0" fontId="10" fillId="0" borderId="1" xfId="63" applyFont="1" applyFill="1" applyBorder="1">
      <alignment vertical="center"/>
    </xf>
    <xf numFmtId="0" fontId="26" fillId="0" borderId="0" xfId="0" applyFont="1" applyFill="1" applyBorder="1" applyAlignment="1">
      <alignment horizontal="center" vertical="center"/>
    </xf>
    <xf numFmtId="0" fontId="27" fillId="0" borderId="0" xfId="0"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Font="1" applyFill="1" applyBorder="1" applyAlignment="1">
      <alignment horizontal="center" vertical="center"/>
    </xf>
    <xf numFmtId="0" fontId="12" fillId="0" borderId="1" xfId="0" applyFont="1" applyBorder="1" applyAlignment="1">
      <alignment horizontal="center" vertical="center"/>
    </xf>
    <xf numFmtId="0" fontId="11" fillId="3" borderId="1" xfId="0" applyFont="1" applyFill="1" applyBorder="1" applyAlignment="1">
      <alignment horizontal="center" vertical="center"/>
    </xf>
    <xf numFmtId="0" fontId="11" fillId="3" borderId="1" xfId="0" applyFont="1" applyFill="1" applyBorder="1" applyAlignment="1">
      <alignment vertical="center" wrapText="1"/>
    </xf>
    <xf numFmtId="0" fontId="11" fillId="3" borderId="2"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1" fillId="3" borderId="7" xfId="0" applyFont="1" applyFill="1" applyBorder="1" applyAlignment="1">
      <alignment horizontal="left" vertical="center" wrapText="1"/>
    </xf>
    <xf numFmtId="0" fontId="11" fillId="3" borderId="1" xfId="71" applyFont="1" applyFill="1" applyBorder="1" applyAlignment="1">
      <alignment horizontal="left" vertical="center" wrapText="1"/>
    </xf>
    <xf numFmtId="0" fontId="11" fillId="3" borderId="1" xfId="71" applyFont="1" applyFill="1" applyBorder="1" applyAlignment="1">
      <alignment vertical="center" wrapText="1"/>
    </xf>
    <xf numFmtId="0" fontId="14" fillId="3" borderId="1" xfId="0" applyFont="1" applyFill="1" applyBorder="1" applyAlignment="1">
      <alignment horizontal="left" vertical="center" wrapText="1"/>
    </xf>
    <xf numFmtId="0" fontId="14" fillId="3" borderId="1" xfId="0" applyFont="1" applyFill="1" applyBorder="1" applyAlignment="1">
      <alignment horizontal="left" vertical="center"/>
    </xf>
    <xf numFmtId="0" fontId="11" fillId="3" borderId="1" xfId="41" applyFont="1" applyFill="1" applyBorder="1" applyAlignment="1">
      <alignment horizontal="center" vertical="center"/>
    </xf>
    <xf numFmtId="0" fontId="14" fillId="3" borderId="1" xfId="0" applyFont="1" applyFill="1" applyBorder="1" applyAlignment="1">
      <alignment vertical="center" wrapText="1"/>
    </xf>
    <xf numFmtId="0" fontId="14" fillId="3" borderId="1" xfId="0" applyFont="1" applyFill="1" applyBorder="1" applyAlignment="1">
      <alignment horizontal="center" vertical="center"/>
    </xf>
    <xf numFmtId="0" fontId="11" fillId="3" borderId="1" xfId="67" applyFont="1" applyFill="1" applyBorder="1" applyProtection="1">
      <alignment vertical="center"/>
      <protection locked="0"/>
    </xf>
    <xf numFmtId="0" fontId="11" fillId="3" borderId="1" xfId="70" applyFont="1" applyFill="1" applyBorder="1" applyAlignment="1">
      <alignment horizontal="left" vertical="center" wrapText="1"/>
    </xf>
    <xf numFmtId="0" fontId="10" fillId="3" borderId="1" xfId="63" applyFont="1" applyFill="1" applyBorder="1" applyAlignment="1" applyProtection="1">
      <alignment vertical="center" wrapText="1"/>
      <protection locked="0"/>
    </xf>
    <xf numFmtId="49" fontId="11" fillId="3" borderId="1" xfId="0" applyNumberFormat="1" applyFont="1" applyFill="1" applyBorder="1" applyAlignment="1">
      <alignment vertical="center" wrapText="1"/>
    </xf>
    <xf numFmtId="0" fontId="11" fillId="3" borderId="1" xfId="67" applyFont="1" applyFill="1" applyBorder="1" applyAlignment="1" applyProtection="1">
      <alignment horizontal="left" vertical="center"/>
      <protection locked="0"/>
    </xf>
    <xf numFmtId="0" fontId="11" fillId="3" borderId="1" xfId="71" applyFont="1" applyFill="1" applyBorder="1" applyAlignment="1">
      <alignment horizontal="left" vertical="center"/>
    </xf>
    <xf numFmtId="0" fontId="11" fillId="3" borderId="3" xfId="0" applyFont="1" applyFill="1" applyBorder="1" applyAlignment="1">
      <alignment horizontal="left" vertical="center" wrapText="1"/>
    </xf>
    <xf numFmtId="0" fontId="14" fillId="3" borderId="1" xfId="71" applyFont="1" applyFill="1" applyBorder="1" applyAlignment="1">
      <alignment horizontal="left" vertical="center"/>
    </xf>
    <xf numFmtId="0" fontId="11" fillId="3" borderId="1" xfId="41" applyFont="1" applyFill="1" applyBorder="1" applyAlignment="1">
      <alignment vertical="center" wrapText="1"/>
    </xf>
    <xf numFmtId="0" fontId="28" fillId="0" borderId="0" xfId="0" applyFont="1" applyFill="1" applyBorder="1" applyAlignment="1">
      <alignment horizontal="center" vertical="center"/>
    </xf>
    <xf numFmtId="0" fontId="28" fillId="0" borderId="0" xfId="0" applyFont="1" applyFill="1" applyBorder="1" applyAlignment="1">
      <alignment horizontal="left" vertical="center"/>
    </xf>
    <xf numFmtId="0" fontId="26" fillId="0" borderId="0" xfId="0" applyFont="1" applyFill="1" applyAlignment="1">
      <alignment horizontal="left" vertical="center"/>
    </xf>
    <xf numFmtId="0" fontId="21" fillId="0" borderId="0" xfId="0" applyFont="1" applyFill="1" applyAlignment="1">
      <alignment horizontal="left" vertical="center"/>
    </xf>
    <xf numFmtId="0" fontId="21" fillId="0" borderId="0" xfId="0" applyFont="1" applyFill="1" applyAlignment="1">
      <alignment horizontal="center" vertical="center"/>
    </xf>
    <xf numFmtId="49" fontId="14" fillId="0" borderId="1" xfId="0" applyNumberFormat="1" applyFont="1" applyFill="1" applyBorder="1" applyAlignment="1">
      <alignment horizontal="left" vertical="center" wrapText="1"/>
    </xf>
    <xf numFmtId="0" fontId="14" fillId="0" borderId="1" xfId="41" applyFont="1" applyFill="1" applyBorder="1" applyAlignment="1">
      <alignment horizontal="left" vertical="center"/>
    </xf>
    <xf numFmtId="0" fontId="14" fillId="0" borderId="1" xfId="71" applyFont="1" applyFill="1" applyBorder="1" applyAlignment="1">
      <alignment horizontal="left" vertical="center" wrapText="1"/>
    </xf>
    <xf numFmtId="49" fontId="11" fillId="0" borderId="1" xfId="0" applyNumberFormat="1" applyFont="1" applyBorder="1" applyAlignment="1">
      <alignment horizontal="left" vertical="center" wrapText="1"/>
    </xf>
    <xf numFmtId="0" fontId="11" fillId="0" borderId="1" xfId="0" applyFont="1" applyBorder="1" applyAlignment="1">
      <alignment horizontal="left" vertical="center" wrapText="1"/>
    </xf>
    <xf numFmtId="0" fontId="14" fillId="0" borderId="1" xfId="0" applyFont="1" applyBorder="1" applyAlignment="1">
      <alignment horizontal="center" vertical="center" wrapText="1"/>
    </xf>
    <xf numFmtId="0" fontId="14" fillId="0" borderId="2" xfId="0" applyFont="1" applyFill="1" applyBorder="1" applyAlignment="1">
      <alignment horizontal="left" vertical="center" wrapText="1"/>
    </xf>
    <xf numFmtId="49" fontId="14" fillId="0" borderId="1" xfId="0" applyNumberFormat="1" applyFont="1" applyFill="1" applyBorder="1" applyAlignment="1">
      <alignment horizontal="center" vertical="center" wrapText="1"/>
    </xf>
    <xf numFmtId="0" fontId="12" fillId="0" borderId="1" xfId="0" applyFont="1" applyFill="1" applyBorder="1" applyAlignment="1">
      <alignment horizontal="left" vertical="center"/>
    </xf>
    <xf numFmtId="0" fontId="21" fillId="0" borderId="0" xfId="0" applyFont="1" applyFill="1" applyBorder="1" applyAlignment="1">
      <alignment horizontal="center" vertical="center"/>
    </xf>
    <xf numFmtId="0" fontId="18" fillId="0" borderId="1" xfId="0" applyFont="1" applyFill="1" applyBorder="1" applyAlignment="1">
      <alignment horizontal="left" vertical="center" wrapText="1"/>
    </xf>
    <xf numFmtId="0" fontId="1" fillId="0" borderId="0" xfId="0" applyFont="1" applyFill="1" applyAlignment="1">
      <alignment horizontal="center" vertical="center"/>
    </xf>
    <xf numFmtId="0" fontId="0" fillId="0" borderId="0" xfId="0" applyFill="1" applyAlignment="1">
      <alignment horizontal="center" vertical="center"/>
    </xf>
    <xf numFmtId="0" fontId="0" fillId="0" borderId="0" xfId="0" applyFill="1" applyAlignment="1">
      <alignment vertical="center" wrapText="1"/>
    </xf>
    <xf numFmtId="0" fontId="0" fillId="0" borderId="0" xfId="0" applyFill="1" applyAlignment="1">
      <alignment horizontal="left" vertical="center"/>
    </xf>
    <xf numFmtId="0" fontId="0" fillId="0" borderId="0" xfId="0" applyFill="1">
      <alignment vertical="center"/>
    </xf>
    <xf numFmtId="0" fontId="13" fillId="0" borderId="0" xfId="0" applyFont="1" applyFill="1">
      <alignment vertical="center"/>
    </xf>
    <xf numFmtId="0" fontId="6" fillId="0" borderId="1" xfId="67" applyFont="1" applyBorder="1" applyAlignment="1">
      <alignment horizontal="left" vertical="center" wrapText="1"/>
    </xf>
    <xf numFmtId="0" fontId="11" fillId="0" borderId="1" xfId="71" applyFont="1" applyBorder="1" applyAlignment="1">
      <alignment horizontal="left" vertical="center" wrapText="1"/>
    </xf>
    <xf numFmtId="0" fontId="11" fillId="0" borderId="8" xfId="71" applyFont="1" applyBorder="1" applyAlignment="1">
      <alignment horizontal="center" vertical="center"/>
    </xf>
    <xf numFmtId="0" fontId="11" fillId="0" borderId="1" xfId="67" applyFont="1" applyBorder="1" applyAlignment="1">
      <alignment horizontal="center" vertical="center"/>
    </xf>
    <xf numFmtId="0" fontId="11" fillId="0" borderId="1" xfId="41" applyFont="1" applyBorder="1" applyAlignment="1">
      <alignment horizontal="left" vertical="center"/>
    </xf>
    <xf numFmtId="0" fontId="11" fillId="0" borderId="1" xfId="41" applyFont="1" applyBorder="1" applyAlignment="1">
      <alignment horizontal="left" vertical="center" wrapText="1"/>
    </xf>
    <xf numFmtId="0" fontId="11" fillId="3" borderId="8" xfId="71" applyFont="1" applyFill="1" applyBorder="1" applyAlignment="1">
      <alignment horizontal="center" vertical="center"/>
    </xf>
    <xf numFmtId="0" fontId="11" fillId="0" borderId="1" xfId="0" applyFont="1" applyBorder="1" applyAlignment="1">
      <alignment horizontal="left" vertical="center"/>
    </xf>
    <xf numFmtId="0" fontId="11" fillId="0" borderId="1" xfId="67" applyFont="1" applyBorder="1" applyAlignment="1">
      <alignment horizontal="left" vertical="center" wrapText="1"/>
    </xf>
    <xf numFmtId="0" fontId="11" fillId="3" borderId="1" xfId="67" applyFont="1" applyFill="1" applyBorder="1" applyAlignment="1">
      <alignment horizontal="left" vertical="center" wrapText="1"/>
    </xf>
    <xf numFmtId="0" fontId="11" fillId="0" borderId="1" xfId="67" applyFont="1" applyBorder="1" applyAlignment="1">
      <alignment horizontal="left" vertical="center"/>
    </xf>
    <xf numFmtId="0" fontId="11" fillId="0" borderId="1" xfId="71" applyFont="1" applyBorder="1" applyAlignment="1">
      <alignment horizontal="left" vertical="center"/>
    </xf>
    <xf numFmtId="0" fontId="11" fillId="3" borderId="1" xfId="41" applyFont="1" applyFill="1" applyBorder="1" applyAlignment="1">
      <alignment horizontal="left" vertical="center" wrapText="1"/>
    </xf>
    <xf numFmtId="0" fontId="11" fillId="0" borderId="1" xfId="41" applyFont="1" applyBorder="1" applyAlignment="1">
      <alignment horizontal="center" vertical="center"/>
    </xf>
    <xf numFmtId="0" fontId="6" fillId="0" borderId="1" xfId="0" applyFont="1" applyBorder="1" applyAlignment="1">
      <alignment horizontal="left" vertical="center" wrapText="1"/>
    </xf>
    <xf numFmtId="0" fontId="14" fillId="0" borderId="1" xfId="67" applyFont="1" applyBorder="1" applyAlignment="1">
      <alignment horizontal="left" vertical="center" wrapText="1"/>
    </xf>
    <xf numFmtId="0" fontId="14" fillId="0" borderId="1" xfId="71" applyFont="1" applyBorder="1" applyAlignment="1">
      <alignment horizontal="left" vertical="center" wrapText="1"/>
    </xf>
    <xf numFmtId="0" fontId="14" fillId="0" borderId="1" xfId="67" applyFont="1" applyBorder="1" applyAlignment="1">
      <alignment horizontal="center" vertical="center"/>
    </xf>
    <xf numFmtId="0" fontId="14" fillId="0" borderId="1" xfId="67" applyFont="1" applyBorder="1" applyAlignment="1">
      <alignment horizontal="left" vertical="center"/>
    </xf>
    <xf numFmtId="0" fontId="14" fillId="0" borderId="1" xfId="67" applyFont="1" applyBorder="1" applyAlignment="1">
      <alignment vertical="center" wrapText="1"/>
    </xf>
    <xf numFmtId="0" fontId="14" fillId="3" borderId="1" xfId="67" applyFont="1" applyFill="1" applyBorder="1" applyAlignment="1">
      <alignment horizontal="left" vertical="center" wrapText="1"/>
    </xf>
    <xf numFmtId="0" fontId="6" fillId="0" borderId="1" xfId="41" applyFont="1" applyBorder="1" applyAlignment="1">
      <alignment horizontal="center" vertical="center" wrapText="1"/>
    </xf>
    <xf numFmtId="0" fontId="14" fillId="3" borderId="1" xfId="71" applyFont="1" applyFill="1" applyBorder="1" applyAlignment="1">
      <alignment horizontal="left" vertical="center" wrapText="1"/>
    </xf>
    <xf numFmtId="0" fontId="14" fillId="0" borderId="1" xfId="71" applyFont="1" applyBorder="1" applyAlignment="1">
      <alignment vertical="center" wrapText="1"/>
    </xf>
    <xf numFmtId="0" fontId="10" fillId="0" borderId="1" xfId="63" applyFont="1" applyBorder="1" applyAlignment="1" applyProtection="1">
      <alignment horizontal="left" vertical="center" wrapText="1"/>
      <protection locked="0"/>
    </xf>
    <xf numFmtId="0" fontId="14" fillId="0" borderId="1" xfId="0" applyFont="1" applyBorder="1" applyAlignment="1">
      <alignment vertical="center" wrapText="1"/>
    </xf>
    <xf numFmtId="0" fontId="14" fillId="0" borderId="1" xfId="0" applyFont="1" applyBorder="1" applyAlignment="1">
      <alignment horizontal="center" vertical="center"/>
    </xf>
    <xf numFmtId="0" fontId="14" fillId="0" borderId="1" xfId="0" applyFont="1" applyBorder="1">
      <alignment vertical="center"/>
    </xf>
    <xf numFmtId="0" fontId="11" fillId="0" borderId="8" xfId="41"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41" applyFont="1" applyBorder="1" applyAlignment="1">
      <alignment horizontal="center" vertical="center" wrapText="1"/>
    </xf>
    <xf numFmtId="0" fontId="14" fillId="0" borderId="1" xfId="71" applyFont="1" applyBorder="1" applyAlignment="1">
      <alignment horizontal="left" vertical="center"/>
    </xf>
    <xf numFmtId="0" fontId="14" fillId="0" borderId="1" xfId="41" applyFont="1" applyBorder="1" applyAlignment="1">
      <alignment horizontal="left" vertical="center" wrapText="1"/>
    </xf>
    <xf numFmtId="0" fontId="14" fillId="0" borderId="1" xfId="41" applyFont="1" applyBorder="1" applyAlignment="1">
      <alignment horizontal="left" vertical="center"/>
    </xf>
    <xf numFmtId="0" fontId="14" fillId="3" borderId="1" xfId="67" applyFont="1" applyFill="1" applyBorder="1" applyAlignment="1">
      <alignment horizontal="left" vertical="center"/>
    </xf>
    <xf numFmtId="0" fontId="14" fillId="0" borderId="1" xfId="41" applyFont="1" applyBorder="1" applyAlignment="1">
      <alignment vertical="center" wrapText="1"/>
    </xf>
    <xf numFmtId="0" fontId="14" fillId="3" borderId="1" xfId="41" applyFont="1" applyFill="1" applyBorder="1" applyAlignment="1">
      <alignment horizontal="left" vertical="center"/>
    </xf>
    <xf numFmtId="0" fontId="13" fillId="0" borderId="0" xfId="0" applyFont="1">
      <alignment vertical="center"/>
    </xf>
    <xf numFmtId="0" fontId="10" fillId="0" borderId="1" xfId="0" applyFont="1" applyBorder="1" applyAlignment="1">
      <alignment vertical="center" wrapText="1"/>
    </xf>
    <xf numFmtId="0" fontId="11" fillId="3" borderId="1" xfId="67" applyFont="1" applyFill="1" applyBorder="1" applyAlignment="1">
      <alignment horizontal="left" vertical="center"/>
    </xf>
    <xf numFmtId="0" fontId="11" fillId="0" borderId="1" xfId="71" applyFont="1" applyBorder="1" applyAlignment="1">
      <alignment vertical="center" wrapText="1"/>
    </xf>
    <xf numFmtId="0" fontId="6" fillId="0" borderId="1" xfId="41" applyFont="1" applyBorder="1" applyAlignment="1">
      <alignment horizontal="left" vertical="center" wrapText="1"/>
    </xf>
    <xf numFmtId="0" fontId="12" fillId="0" borderId="1" xfId="41" applyFont="1" applyBorder="1" applyAlignment="1">
      <alignment horizontal="left" vertical="center"/>
    </xf>
    <xf numFmtId="49" fontId="12" fillId="0" borderId="4" xfId="63" applyNumberFormat="1" applyFont="1" applyBorder="1" applyAlignment="1">
      <alignment horizontal="left" vertical="center"/>
    </xf>
    <xf numFmtId="0" fontId="12" fillId="0" borderId="4" xfId="63" applyFont="1" applyBorder="1" applyAlignment="1">
      <alignment vertical="center" wrapText="1"/>
    </xf>
    <xf numFmtId="0" fontId="9" fillId="0" borderId="1" xfId="0" applyFont="1" applyBorder="1" applyAlignment="1">
      <alignment horizontal="center" vertical="center" wrapText="1"/>
    </xf>
    <xf numFmtId="0" fontId="28" fillId="0" borderId="1" xfId="63" applyFont="1" applyBorder="1" applyAlignment="1">
      <alignment horizontal="center" vertical="center" wrapText="1"/>
    </xf>
    <xf numFmtId="49" fontId="12" fillId="0" borderId="1" xfId="63" applyNumberFormat="1" applyFont="1" applyBorder="1" applyAlignment="1">
      <alignment horizontal="left" vertical="center" wrapText="1"/>
    </xf>
    <xf numFmtId="0" fontId="12" fillId="0" borderId="1" xfId="63" applyFont="1" applyBorder="1" applyAlignment="1">
      <alignment horizontal="left" vertical="center" wrapText="1"/>
    </xf>
    <xf numFmtId="0" fontId="12" fillId="0" borderId="8" xfId="63" applyFont="1" applyBorder="1" applyAlignment="1">
      <alignment horizontal="center" vertical="center" wrapText="1"/>
    </xf>
    <xf numFmtId="49" fontId="12" fillId="0" borderId="1" xfId="63" applyNumberFormat="1" applyFont="1" applyBorder="1" applyAlignment="1">
      <alignment horizontal="left" vertical="center"/>
    </xf>
    <xf numFmtId="0" fontId="10" fillId="0" borderId="1" xfId="71" applyFont="1" applyBorder="1" applyAlignment="1">
      <alignment horizontal="left" vertical="center" wrapText="1"/>
    </xf>
    <xf numFmtId="0" fontId="26" fillId="0" borderId="1" xfId="63" applyFont="1" applyBorder="1" applyAlignment="1">
      <alignment horizontal="center" vertical="center" wrapText="1"/>
    </xf>
    <xf numFmtId="176" fontId="14" fillId="3" borderId="1" xfId="41" applyNumberFormat="1" applyFont="1" applyFill="1" applyBorder="1" applyAlignment="1">
      <alignment vertical="center" wrapText="1"/>
    </xf>
    <xf numFmtId="0" fontId="12" fillId="0" borderId="1" xfId="0" applyFont="1" applyBorder="1" applyAlignment="1">
      <alignment vertical="center" wrapText="1"/>
    </xf>
    <xf numFmtId="0" fontId="23" fillId="0" borderId="1" xfId="0" applyFont="1" applyBorder="1" applyAlignment="1">
      <alignment vertical="center" wrapText="1"/>
    </xf>
    <xf numFmtId="0" fontId="12" fillId="3" borderId="1" xfId="63" applyFont="1" applyFill="1" applyBorder="1" applyAlignment="1">
      <alignment horizontal="left" vertical="center" wrapText="1"/>
    </xf>
    <xf numFmtId="0" fontId="12" fillId="0" borderId="1" xfId="63" applyFont="1" applyBorder="1" applyAlignment="1">
      <alignment horizontal="left" vertical="center"/>
    </xf>
    <xf numFmtId="0" fontId="8" fillId="0" borderId="0" xfId="63" applyFont="1" applyFill="1">
      <alignment vertical="center"/>
    </xf>
    <xf numFmtId="0" fontId="26" fillId="0" borderId="0" xfId="63" applyFont="1" applyFill="1">
      <alignment vertical="center"/>
    </xf>
    <xf numFmtId="0" fontId="21" fillId="0" borderId="0" xfId="63" applyFont="1" applyFill="1" applyAlignment="1">
      <alignment vertical="center"/>
    </xf>
    <xf numFmtId="0" fontId="21" fillId="0" borderId="0" xfId="63" applyFont="1" applyFill="1" applyAlignment="1">
      <alignment horizontal="center" vertical="center"/>
    </xf>
    <xf numFmtId="0" fontId="21" fillId="0" borderId="0" xfId="63" applyFont="1" applyFill="1">
      <alignment vertical="center"/>
    </xf>
    <xf numFmtId="0" fontId="25" fillId="0" borderId="1" xfId="63" applyFont="1" applyBorder="1" applyAlignment="1" applyProtection="1">
      <alignment horizontal="center" vertical="center" wrapText="1"/>
      <protection locked="0"/>
    </xf>
    <xf numFmtId="0" fontId="10" fillId="0" borderId="1" xfId="63" applyFont="1" applyBorder="1" applyAlignment="1" applyProtection="1">
      <alignment vertical="center" wrapText="1"/>
      <protection locked="0"/>
    </xf>
    <xf numFmtId="0" fontId="12" fillId="0" borderId="1" xfId="63" applyFont="1" applyFill="1" applyBorder="1" applyAlignment="1">
      <alignment horizontal="center" vertical="center"/>
    </xf>
    <xf numFmtId="0" fontId="10" fillId="0" borderId="1" xfId="63" applyFont="1" applyBorder="1" applyAlignment="1" applyProtection="1">
      <alignment horizontal="center" vertical="center" wrapText="1"/>
      <protection locked="0"/>
    </xf>
    <xf numFmtId="49" fontId="10" fillId="0" borderId="1" xfId="63" applyNumberFormat="1" applyFont="1" applyBorder="1" applyAlignment="1" applyProtection="1">
      <alignment horizontal="left" vertical="center" wrapText="1"/>
      <protection locked="0"/>
    </xf>
    <xf numFmtId="0" fontId="10" fillId="0" borderId="1" xfId="63" applyFont="1" applyBorder="1" applyAlignment="1" applyProtection="1">
      <alignment horizontal="left" vertical="center"/>
      <protection locked="0"/>
    </xf>
    <xf numFmtId="0" fontId="10" fillId="3" borderId="1" xfId="63" applyFont="1" applyFill="1" applyBorder="1" applyAlignment="1" applyProtection="1">
      <alignment horizontal="left" vertical="center" wrapText="1"/>
      <protection locked="0"/>
    </xf>
    <xf numFmtId="49" fontId="10" fillId="0" borderId="1" xfId="63" applyNumberFormat="1" applyFont="1" applyBorder="1" applyAlignment="1" applyProtection="1">
      <alignment horizontal="left" vertical="center"/>
      <protection locked="0"/>
    </xf>
    <xf numFmtId="0" fontId="25" fillId="0" borderId="3" xfId="63" applyFont="1" applyBorder="1" applyAlignment="1" applyProtection="1">
      <alignment horizontal="center" vertical="center" wrapText="1"/>
      <protection locked="0"/>
    </xf>
    <xf numFmtId="0" fontId="10" fillId="0" borderId="1" xfId="63" applyFont="1" applyBorder="1" applyAlignment="1" applyProtection="1">
      <alignment horizontal="center" vertical="center"/>
      <protection locked="0"/>
    </xf>
    <xf numFmtId="0" fontId="10" fillId="0" borderId="1" xfId="63" applyFont="1" applyBorder="1" applyAlignment="1">
      <alignment horizontal="left" vertical="center" wrapText="1"/>
    </xf>
    <xf numFmtId="0" fontId="14" fillId="0" borderId="1" xfId="0" applyFont="1" applyBorder="1" applyAlignment="1">
      <alignment horizontal="left" vertical="center" wrapText="1"/>
    </xf>
    <xf numFmtId="49" fontId="14" fillId="0" borderId="1" xfId="0" applyNumberFormat="1" applyFont="1" applyBorder="1" applyAlignment="1">
      <alignment horizontal="left" vertical="center" wrapText="1"/>
    </xf>
    <xf numFmtId="0" fontId="11" fillId="0" borderId="1" xfId="67" applyFont="1" applyBorder="1" applyAlignment="1" applyProtection="1">
      <alignment horizontal="left" vertical="center" wrapText="1"/>
      <protection locked="0"/>
    </xf>
    <xf numFmtId="0" fontId="11" fillId="0" borderId="1" xfId="67" applyFont="1" applyBorder="1" applyAlignment="1" applyProtection="1">
      <alignment horizontal="left" vertical="center"/>
      <protection locked="0"/>
    </xf>
    <xf numFmtId="0" fontId="25" fillId="0" borderId="4" xfId="63" applyFont="1" applyBorder="1" applyAlignment="1" applyProtection="1">
      <alignment horizontal="center" vertical="center" wrapText="1"/>
      <protection locked="0"/>
    </xf>
    <xf numFmtId="0" fontId="25" fillId="0" borderId="1" xfId="63" applyFont="1" applyBorder="1" applyAlignment="1">
      <alignment horizontal="center" vertical="center" wrapText="1"/>
    </xf>
    <xf numFmtId="0" fontId="12" fillId="0" borderId="1" xfId="63" applyFont="1" applyBorder="1" applyAlignment="1">
      <alignment horizontal="center" vertical="center" wrapText="1"/>
    </xf>
    <xf numFmtId="0" fontId="10" fillId="0" borderId="1" xfId="0" applyFont="1" applyBorder="1" applyAlignment="1">
      <alignment horizontal="left" vertical="center" wrapText="1"/>
    </xf>
    <xf numFmtId="49" fontId="10" fillId="0" borderId="1" xfId="0" applyNumberFormat="1" applyFont="1" applyBorder="1" applyAlignment="1">
      <alignment horizontal="left" vertical="center" wrapText="1"/>
    </xf>
    <xf numFmtId="0" fontId="25" fillId="0" borderId="2" xfId="63" applyFont="1" applyBorder="1" applyAlignment="1">
      <alignment horizontal="center" vertical="center" wrapText="1"/>
    </xf>
    <xf numFmtId="0" fontId="10" fillId="0" borderId="1" xfId="63" applyFont="1" applyBorder="1" applyAlignment="1">
      <alignment vertical="center" wrapText="1"/>
    </xf>
    <xf numFmtId="0" fontId="10" fillId="0" borderId="1" xfId="63" applyFont="1" applyBorder="1" applyAlignment="1">
      <alignment horizontal="center" vertical="center" wrapText="1"/>
    </xf>
    <xf numFmtId="0" fontId="10" fillId="0" borderId="1" xfId="63" applyFont="1" applyBorder="1" applyAlignment="1">
      <alignment horizontal="left" vertical="center"/>
    </xf>
    <xf numFmtId="0" fontId="25" fillId="0" borderId="4" xfId="63" applyFont="1" applyBorder="1" applyAlignment="1">
      <alignment horizontal="center" vertical="center" wrapText="1"/>
    </xf>
    <xf numFmtId="0" fontId="29" fillId="0" borderId="1" xfId="63" applyFont="1" applyBorder="1" applyAlignment="1">
      <alignment horizontal="left" vertical="center" wrapText="1"/>
    </xf>
    <xf numFmtId="0" fontId="25" fillId="0" borderId="2" xfId="63" applyFont="1" applyBorder="1" applyAlignment="1" applyProtection="1">
      <alignment horizontal="center" vertical="center" wrapText="1"/>
      <protection locked="0"/>
    </xf>
    <xf numFmtId="49" fontId="10" fillId="0" borderId="1" xfId="63" applyNumberFormat="1" applyFont="1" applyBorder="1" applyAlignment="1">
      <alignment horizontal="left" vertical="center" wrapText="1"/>
    </xf>
    <xf numFmtId="0" fontId="11" fillId="3" borderId="7" xfId="67" applyFont="1" applyFill="1" applyBorder="1" applyAlignment="1">
      <alignment horizontal="left" vertical="center" wrapText="1"/>
    </xf>
    <xf numFmtId="0" fontId="11" fillId="0" borderId="1" xfId="63" applyFont="1" applyBorder="1" applyAlignment="1">
      <alignment horizontal="center" vertical="center"/>
    </xf>
    <xf numFmtId="0" fontId="28" fillId="0" borderId="4" xfId="63" applyFont="1" applyBorder="1" applyAlignment="1">
      <alignment horizontal="center" vertical="center" wrapText="1"/>
    </xf>
    <xf numFmtId="0" fontId="14" fillId="0" borderId="1" xfId="63" applyFont="1" applyBorder="1" applyAlignment="1">
      <alignment horizontal="left" vertical="center" wrapText="1"/>
    </xf>
    <xf numFmtId="0" fontId="14" fillId="0" borderId="1" xfId="63" applyFont="1" applyBorder="1" applyAlignment="1">
      <alignment horizontal="center" vertical="center" wrapText="1"/>
    </xf>
    <xf numFmtId="0" fontId="14" fillId="3" borderId="1" xfId="41" applyFont="1" applyFill="1" applyBorder="1" applyAlignment="1">
      <alignment horizontal="left" vertical="center" wrapText="1"/>
    </xf>
    <xf numFmtId="0" fontId="14" fillId="0" borderId="1" xfId="41" applyFont="1" applyBorder="1" applyAlignment="1">
      <alignment horizontal="center" vertical="center" wrapText="1"/>
    </xf>
    <xf numFmtId="0" fontId="25" fillId="0" borderId="3" xfId="63" applyFont="1" applyBorder="1" applyAlignment="1">
      <alignment horizontal="center" vertical="center" wrapText="1"/>
    </xf>
    <xf numFmtId="0" fontId="10" fillId="3" borderId="7" xfId="63" applyFont="1" applyFill="1" applyBorder="1" applyAlignment="1" applyProtection="1">
      <alignment horizontal="left" vertical="center" wrapText="1"/>
      <protection locked="0"/>
    </xf>
    <xf numFmtId="0" fontId="10" fillId="0" borderId="7" xfId="63" applyFont="1" applyBorder="1" applyAlignment="1" applyProtection="1">
      <alignment horizontal="left" vertical="center" wrapText="1"/>
      <protection locked="0"/>
    </xf>
    <xf numFmtId="0" fontId="28" fillId="0" borderId="5" xfId="63" applyFont="1" applyFill="1" applyBorder="1" applyAlignment="1">
      <alignment horizontal="center" vertical="center" wrapText="1"/>
    </xf>
    <xf numFmtId="0" fontId="12" fillId="0" borderId="1" xfId="0" applyFont="1" applyBorder="1" applyAlignment="1">
      <alignment horizontal="left" vertical="center" wrapText="1"/>
    </xf>
    <xf numFmtId="0" fontId="12" fillId="0" borderId="1" xfId="63" applyFont="1" applyFill="1" applyBorder="1" applyAlignment="1">
      <alignment horizontal="center" vertical="center" wrapText="1"/>
    </xf>
    <xf numFmtId="0" fontId="12" fillId="0" borderId="1" xfId="0" applyFont="1" applyBorder="1" applyAlignment="1">
      <alignment horizontal="center" vertical="center" wrapText="1"/>
    </xf>
    <xf numFmtId="0" fontId="28" fillId="0" borderId="6" xfId="63" applyFont="1" applyFill="1" applyBorder="1" applyAlignment="1">
      <alignment horizontal="center" vertical="center" wrapText="1"/>
    </xf>
    <xf numFmtId="0" fontId="12" fillId="0" borderId="1" xfId="63" applyFont="1" applyBorder="1" applyAlignment="1">
      <alignment horizontal="center" vertical="center"/>
    </xf>
    <xf numFmtId="0" fontId="28" fillId="0" borderId="9" xfId="63" applyFont="1" applyFill="1" applyBorder="1" applyAlignment="1">
      <alignment horizontal="center" vertical="center" wrapText="1"/>
    </xf>
    <xf numFmtId="0" fontId="28" fillId="0" borderId="1" xfId="63" applyFont="1" applyFill="1" applyBorder="1">
      <alignment vertical="center"/>
    </xf>
    <xf numFmtId="0" fontId="12" fillId="0" borderId="1" xfId="63" applyFont="1" applyFill="1" applyBorder="1" applyAlignment="1">
      <alignment vertical="center" wrapText="1"/>
    </xf>
    <xf numFmtId="0" fontId="12" fillId="0" borderId="1" xfId="63" applyFont="1" applyFill="1" applyBorder="1" applyAlignment="1">
      <alignment vertical="center"/>
    </xf>
    <xf numFmtId="0" fontId="12" fillId="0" borderId="1" xfId="63" applyFont="1" applyFill="1" applyBorder="1" applyAlignment="1">
      <alignment horizontal="left" vertical="center"/>
    </xf>
    <xf numFmtId="0" fontId="11" fillId="0" borderId="1" xfId="55" applyFont="1" applyBorder="1" applyAlignment="1">
      <alignment horizontal="left" vertical="center" wrapText="1"/>
    </xf>
    <xf numFmtId="0" fontId="12" fillId="0" borderId="1" xfId="63" applyFont="1" applyFill="1" applyBorder="1">
      <alignment vertical="center"/>
    </xf>
    <xf numFmtId="0" fontId="28" fillId="0" borderId="1" xfId="63" applyFont="1" applyFill="1" applyBorder="1" applyAlignment="1">
      <alignment horizontal="center" vertical="center" wrapText="1"/>
    </xf>
    <xf numFmtId="49" fontId="12" fillId="0" borderId="1" xfId="63" applyNumberFormat="1" applyFont="1" applyFill="1" applyBorder="1" applyAlignment="1">
      <alignment horizontal="left" vertical="center" wrapText="1"/>
    </xf>
    <xf numFmtId="0" fontId="25" fillId="0" borderId="6" xfId="63" applyFont="1" applyBorder="1" applyAlignment="1">
      <alignment horizontal="center" vertical="center" wrapText="1"/>
    </xf>
    <xf numFmtId="0" fontId="25" fillId="0" borderId="5" xfId="63" applyFont="1" applyBorder="1" applyAlignment="1">
      <alignment horizontal="center" vertical="center" wrapText="1"/>
    </xf>
    <xf numFmtId="0" fontId="13" fillId="0" borderId="1" xfId="0" applyFont="1" applyBorder="1" applyAlignment="1">
      <alignment horizontal="left" vertical="center" wrapText="1"/>
    </xf>
    <xf numFmtId="0" fontId="25" fillId="0" borderId="1" xfId="0" applyFont="1" applyBorder="1" applyAlignment="1">
      <alignment horizontal="center" vertical="center" wrapText="1"/>
    </xf>
    <xf numFmtId="0" fontId="9" fillId="5" borderId="0" xfId="0" applyFont="1" applyFill="1" applyAlignment="1">
      <alignment horizontal="center" vertical="center"/>
    </xf>
    <xf numFmtId="0" fontId="8" fillId="0" borderId="0" xfId="0" applyFont="1" applyFill="1" applyAlignment="1">
      <alignment horizontal="left" vertical="center"/>
    </xf>
    <xf numFmtId="0" fontId="8" fillId="4" borderId="0" xfId="0" applyFont="1" applyFill="1" applyAlignment="1">
      <alignment horizontal="left" vertical="center"/>
    </xf>
    <xf numFmtId="0" fontId="1" fillId="0" borderId="0" xfId="0" applyFont="1" applyFill="1" applyBorder="1" applyAlignment="1">
      <alignment horizontal="left" vertical="center"/>
    </xf>
    <xf numFmtId="0" fontId="10" fillId="0" borderId="0" xfId="0" applyFont="1" applyFill="1" applyBorder="1" applyAlignment="1">
      <alignment horizontal="left" vertical="center" wrapText="1"/>
    </xf>
    <xf numFmtId="0" fontId="10" fillId="3" borderId="0" xfId="0" applyFont="1" applyFill="1" applyBorder="1" applyAlignment="1">
      <alignment horizontal="left" vertical="center" wrapText="1"/>
    </xf>
    <xf numFmtId="0" fontId="12" fillId="0" borderId="0" xfId="0" applyFont="1" applyFill="1">
      <alignment vertical="center"/>
    </xf>
    <xf numFmtId="0" fontId="13" fillId="0" borderId="0" xfId="0" applyFont="1" applyFill="1" applyAlignment="1">
      <alignment horizontal="center" vertical="center"/>
    </xf>
    <xf numFmtId="0" fontId="12" fillId="0" borderId="0" xfId="0" applyFont="1" applyFill="1" applyAlignment="1">
      <alignment horizontal="center" vertical="center"/>
    </xf>
    <xf numFmtId="0" fontId="25" fillId="0" borderId="1"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10" fillId="0" borderId="1" xfId="0" applyFont="1" applyFill="1" applyBorder="1" applyAlignment="1">
      <alignment horizontal="center" vertical="center" wrapText="1"/>
    </xf>
    <xf numFmtId="0" fontId="10" fillId="3" borderId="1" xfId="0" applyFont="1" applyFill="1" applyBorder="1" applyAlignment="1">
      <alignment horizontal="left" vertical="center" wrapText="1"/>
    </xf>
    <xf numFmtId="0" fontId="10" fillId="0" borderId="0" xfId="0" applyFont="1" applyFill="1" applyBorder="1">
      <alignment vertical="center"/>
    </xf>
    <xf numFmtId="0" fontId="10" fillId="3" borderId="1" xfId="0" applyFont="1" applyFill="1" applyBorder="1">
      <alignment vertical="center"/>
    </xf>
    <xf numFmtId="0" fontId="10" fillId="3" borderId="0" xfId="0" applyFont="1" applyFill="1" applyBorder="1">
      <alignment vertical="center"/>
    </xf>
    <xf numFmtId="0" fontId="28" fillId="3" borderId="2" xfId="0" applyFont="1" applyFill="1" applyBorder="1" applyAlignment="1">
      <alignment vertical="center" wrapText="1"/>
    </xf>
    <xf numFmtId="0" fontId="28" fillId="3" borderId="3" xfId="0" applyFont="1" applyFill="1" applyBorder="1" applyAlignment="1">
      <alignment vertical="center" wrapText="1"/>
    </xf>
    <xf numFmtId="0" fontId="28" fillId="3" borderId="4" xfId="0" applyFont="1" applyFill="1" applyBorder="1" applyAlignment="1">
      <alignment vertical="center" wrapText="1"/>
    </xf>
    <xf numFmtId="0" fontId="30" fillId="0" borderId="0" xfId="0" applyFont="1" applyFill="1" applyBorder="1" applyAlignment="1">
      <alignment horizontal="left" vertical="center"/>
    </xf>
    <xf numFmtId="0" fontId="6" fillId="0" borderId="1" xfId="0" applyNumberFormat="1" applyFont="1" applyFill="1" applyBorder="1" applyAlignment="1">
      <alignment horizontal="center" vertical="center" wrapText="1"/>
    </xf>
    <xf numFmtId="0" fontId="11" fillId="0" borderId="1" xfId="0" applyFont="1" applyFill="1" applyBorder="1" applyAlignment="1">
      <alignment vertical="center"/>
    </xf>
    <xf numFmtId="0" fontId="30" fillId="0" borderId="0" xfId="0" applyFont="1" applyFill="1" applyAlignment="1">
      <alignment horizontal="left" vertical="center"/>
    </xf>
    <xf numFmtId="0" fontId="16" fillId="0" borderId="0" xfId="0" applyFont="1">
      <alignment vertical="center"/>
    </xf>
    <xf numFmtId="0" fontId="6" fillId="0" borderId="2" xfId="55" applyFont="1" applyFill="1" applyBorder="1" applyAlignment="1">
      <alignment horizontal="center" vertical="center" wrapText="1"/>
    </xf>
    <xf numFmtId="0" fontId="11" fillId="0" borderId="1" xfId="55" applyFont="1" applyFill="1" applyBorder="1" applyAlignment="1">
      <alignment horizontal="left" vertical="center" wrapText="1"/>
    </xf>
    <xf numFmtId="0" fontId="11" fillId="0" borderId="1" xfId="55" applyFont="1" applyFill="1" applyBorder="1" applyAlignment="1">
      <alignment horizontal="center" vertical="center" wrapText="1"/>
    </xf>
    <xf numFmtId="0" fontId="11" fillId="0" borderId="1" xfId="55" applyFont="1" applyFill="1" applyBorder="1" applyAlignment="1">
      <alignment horizontal="left" vertical="center"/>
    </xf>
    <xf numFmtId="0" fontId="6" fillId="0" borderId="3" xfId="55" applyFont="1" applyFill="1" applyBorder="1" applyAlignment="1">
      <alignment horizontal="center" vertical="center" wrapText="1"/>
    </xf>
    <xf numFmtId="0" fontId="6" fillId="0" borderId="4" xfId="55" applyFont="1" applyFill="1" applyBorder="1" applyAlignment="1">
      <alignment horizontal="center" vertical="center" wrapText="1"/>
    </xf>
    <xf numFmtId="0" fontId="17" fillId="0" borderId="0" xfId="0" applyFont="1">
      <alignment vertical="center"/>
    </xf>
    <xf numFmtId="0" fontId="30" fillId="4" borderId="1" xfId="0" applyFont="1" applyFill="1" applyBorder="1" applyAlignment="1">
      <alignment horizontal="center" vertical="center" wrapText="1"/>
    </xf>
    <xf numFmtId="0" fontId="11" fillId="0" borderId="1" xfId="0" applyFont="1" applyFill="1" applyBorder="1" applyAlignment="1">
      <alignment vertical="center" wrapText="1"/>
    </xf>
    <xf numFmtId="0" fontId="11" fillId="0" borderId="1" xfId="0" applyFont="1" applyBorder="1" applyAlignment="1">
      <alignment vertical="center" wrapText="1"/>
    </xf>
    <xf numFmtId="0" fontId="14" fillId="0" borderId="1" xfId="41" applyFont="1" applyFill="1" applyBorder="1" applyAlignment="1">
      <alignment horizontal="left" vertical="center" wrapText="1"/>
    </xf>
    <xf numFmtId="0" fontId="14" fillId="0" borderId="1" xfId="41" applyFont="1" applyFill="1" applyBorder="1" applyAlignment="1">
      <alignment horizontal="center" vertical="center" wrapText="1"/>
    </xf>
    <xf numFmtId="0" fontId="8" fillId="0"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30" fillId="0" borderId="0" xfId="0" applyFont="1" applyFill="1" applyBorder="1" applyAlignment="1">
      <alignment horizontal="left" vertical="center" wrapText="1"/>
    </xf>
    <xf numFmtId="0" fontId="8" fillId="3" borderId="0" xfId="0" applyFont="1" applyFill="1" applyBorder="1" applyAlignment="1">
      <alignment horizontal="left" vertical="center" wrapText="1"/>
    </xf>
    <xf numFmtId="0" fontId="15" fillId="3" borderId="0" xfId="63" applyFont="1" applyFill="1" applyBorder="1">
      <alignment vertical="center"/>
    </xf>
    <xf numFmtId="0" fontId="30" fillId="4" borderId="0" xfId="0" applyFont="1" applyFill="1" applyBorder="1" applyAlignment="1">
      <alignment horizontal="center" vertical="center" wrapText="1"/>
    </xf>
    <xf numFmtId="0" fontId="31" fillId="4" borderId="0" xfId="0" applyFont="1" applyFill="1" applyBorder="1" applyAlignment="1">
      <alignment horizontal="left" vertical="center" wrapText="1"/>
    </xf>
    <xf numFmtId="0" fontId="31" fillId="4" borderId="0" xfId="0" applyFont="1" applyFill="1" applyBorder="1" applyAlignment="1">
      <alignment vertical="center" wrapText="1"/>
    </xf>
    <xf numFmtId="0" fontId="8" fillId="4" borderId="0" xfId="0" applyFont="1" applyFill="1" applyBorder="1" applyAlignment="1">
      <alignment horizontal="center" vertical="center" wrapText="1"/>
    </xf>
    <xf numFmtId="0" fontId="8" fillId="4" borderId="0" xfId="0" applyFont="1" applyFill="1" applyBorder="1" applyAlignment="1">
      <alignment horizontal="left" vertical="center" wrapText="1"/>
    </xf>
    <xf numFmtId="0" fontId="30" fillId="4" borderId="2" xfId="0" applyFont="1" applyFill="1" applyBorder="1" applyAlignment="1">
      <alignment horizontal="center" vertical="center" wrapText="1"/>
    </xf>
    <xf numFmtId="0" fontId="30" fillId="4" borderId="3" xfId="0" applyFont="1" applyFill="1" applyBorder="1" applyAlignment="1">
      <alignment horizontal="center" vertical="center" wrapText="1"/>
    </xf>
    <xf numFmtId="0" fontId="11" fillId="0" borderId="1" xfId="0" applyFont="1" applyBorder="1" applyAlignment="1">
      <alignment horizontal="left" vertical="top" wrapText="1"/>
    </xf>
    <xf numFmtId="0" fontId="30" fillId="4" borderId="4" xfId="0" applyFont="1" applyFill="1" applyBorder="1" applyAlignment="1">
      <alignment horizontal="center" vertical="center" wrapText="1"/>
    </xf>
    <xf numFmtId="0" fontId="15" fillId="0" borderId="1" xfId="63" applyFont="1" applyFill="1" applyBorder="1">
      <alignment vertical="center"/>
    </xf>
    <xf numFmtId="0" fontId="8" fillId="0" borderId="1" xfId="0" applyFont="1" applyFill="1" applyBorder="1" applyAlignment="1">
      <alignment horizontal="center" vertical="center" wrapText="1"/>
    </xf>
    <xf numFmtId="0" fontId="14" fillId="0" borderId="1" xfId="41" applyFont="1" applyBorder="1" applyAlignment="1">
      <alignment horizontal="left" vertical="top" wrapText="1"/>
    </xf>
    <xf numFmtId="0" fontId="18" fillId="3" borderId="1" xfId="63" applyFont="1" applyFill="1" applyBorder="1" applyAlignment="1">
      <alignment horizontal="center" vertical="center" wrapText="1"/>
    </xf>
    <xf numFmtId="0" fontId="14" fillId="3" borderId="1" xfId="41" applyFont="1" applyFill="1" applyBorder="1" applyAlignment="1">
      <alignment horizontal="center" vertical="center" wrapText="1"/>
    </xf>
    <xf numFmtId="0" fontId="15" fillId="3" borderId="1" xfId="63" applyFont="1" applyFill="1" applyBorder="1">
      <alignment vertical="center"/>
    </xf>
    <xf numFmtId="0" fontId="32" fillId="0" borderId="0" xfId="0" applyFont="1" applyFill="1" applyAlignment="1">
      <alignment horizontal="center" vertical="center"/>
    </xf>
    <xf numFmtId="0" fontId="0" fillId="0" borderId="0" xfId="0" applyFill="1" applyAlignment="1">
      <alignment vertical="center"/>
    </xf>
    <xf numFmtId="0" fontId="33" fillId="2" borderId="1" xfId="0" applyFont="1" applyFill="1" applyBorder="1" applyAlignment="1">
      <alignment horizontal="center" vertical="center" wrapText="1"/>
    </xf>
    <xf numFmtId="0" fontId="34" fillId="0" borderId="1" xfId="25" applyFont="1" applyFill="1" applyBorder="1" applyAlignment="1">
      <alignment horizontal="center" vertical="center"/>
    </xf>
    <xf numFmtId="0" fontId="34" fillId="0" borderId="1" xfId="25" applyFont="1" applyFill="1" applyBorder="1" applyAlignment="1">
      <alignment horizontal="left" vertical="top" wrapText="1"/>
    </xf>
    <xf numFmtId="0" fontId="34" fillId="0" borderId="1" xfId="25" applyFont="1" applyFill="1" applyBorder="1" applyAlignment="1">
      <alignment horizontal="left" vertical="top"/>
    </xf>
    <xf numFmtId="0" fontId="34" fillId="0" borderId="1" xfId="25" applyFont="1" applyFill="1" applyBorder="1" applyAlignment="1">
      <alignment horizontal="center" vertical="top"/>
    </xf>
    <xf numFmtId="0" fontId="34" fillId="0" borderId="1" xfId="25" applyFont="1" applyFill="1" applyBorder="1" applyAlignment="1">
      <alignment horizontal="left" vertical="center" wrapText="1"/>
    </xf>
    <xf numFmtId="0" fontId="34" fillId="0" borderId="1" xfId="25" applyFont="1" applyFill="1" applyBorder="1" applyAlignment="1">
      <alignment horizontal="left" vertical="center"/>
    </xf>
    <xf numFmtId="0" fontId="34" fillId="0" borderId="1" xfId="25" applyFont="1" applyFill="1" applyBorder="1" applyAlignment="1">
      <alignment horizontal="center" vertical="top" wrapText="1"/>
    </xf>
    <xf numFmtId="0" fontId="34" fillId="0" borderId="3" xfId="25" applyFont="1" applyFill="1" applyBorder="1" applyAlignment="1">
      <alignment horizontal="center" vertical="top" wrapText="1"/>
    </xf>
    <xf numFmtId="0" fontId="34" fillId="0" borderId="3" xfId="25" applyFont="1" applyFill="1" applyBorder="1" applyAlignment="1">
      <alignment horizontal="left" vertical="top" wrapText="1"/>
    </xf>
    <xf numFmtId="0" fontId="34" fillId="0" borderId="3" xfId="25" applyFont="1" applyFill="1" applyBorder="1" applyAlignment="1">
      <alignment horizontal="left" vertical="top"/>
    </xf>
    <xf numFmtId="0" fontId="34" fillId="0" borderId="0" xfId="25" applyFont="1" applyFill="1" applyBorder="1" applyAlignment="1">
      <alignment horizontal="center" vertical="top" wrapText="1"/>
    </xf>
    <xf numFmtId="0" fontId="34" fillId="0" borderId="0" xfId="25" applyFont="1" applyFill="1" applyBorder="1" applyAlignment="1">
      <alignment horizontal="left" vertical="top" wrapText="1"/>
    </xf>
    <xf numFmtId="0" fontId="0" fillId="0" borderId="0" xfId="0" applyAlignment="1">
      <alignment vertical="center"/>
    </xf>
    <xf numFmtId="0" fontId="35" fillId="0" borderId="0" xfId="0" applyFont="1" applyAlignment="1">
      <alignment horizontal="center" vertical="top" wrapText="1"/>
    </xf>
    <xf numFmtId="0" fontId="35" fillId="0" borderId="0" xfId="0" applyFont="1" applyAlignment="1">
      <alignment vertical="top" wrapText="1"/>
    </xf>
    <xf numFmtId="0" fontId="30" fillId="0" borderId="10" xfId="0" applyFont="1" applyBorder="1" applyAlignment="1">
      <alignment horizontal="left" vertical="center"/>
    </xf>
    <xf numFmtId="0" fontId="36" fillId="0" borderId="1" xfId="0" applyFont="1" applyBorder="1" applyAlignment="1">
      <alignment horizontal="left" vertical="center" wrapText="1"/>
    </xf>
    <xf numFmtId="0" fontId="37" fillId="0" borderId="1" xfId="0" applyFont="1" applyBorder="1" applyAlignment="1">
      <alignment horizontal="left" vertical="center" wrapText="1"/>
    </xf>
    <xf numFmtId="0" fontId="1" fillId="0" borderId="8" xfId="0" applyFont="1" applyBorder="1" applyAlignment="1">
      <alignment horizontal="left" vertical="center"/>
    </xf>
    <xf numFmtId="0" fontId="1" fillId="0" borderId="7" xfId="0" applyFont="1" applyBorder="1" applyAlignment="1">
      <alignment horizontal="left" vertical="center"/>
    </xf>
    <xf numFmtId="0" fontId="5" fillId="0" borderId="8" xfId="0" applyFont="1" applyBorder="1" applyAlignment="1">
      <alignment horizontal="left" vertical="center"/>
    </xf>
    <xf numFmtId="0" fontId="5" fillId="0" borderId="11" xfId="0" applyFont="1" applyBorder="1" applyAlignment="1">
      <alignment horizontal="left" vertical="center"/>
    </xf>
    <xf numFmtId="0" fontId="37" fillId="0" borderId="0" xfId="0" applyFont="1" applyAlignment="1">
      <alignment horizontal="left" vertical="center" wrapText="1"/>
    </xf>
    <xf numFmtId="0" fontId="37" fillId="0" borderId="0" xfId="0" applyFont="1" applyAlignment="1">
      <alignment vertical="center" wrapText="1"/>
    </xf>
    <xf numFmtId="0" fontId="37" fillId="0" borderId="0" xfId="0" applyFont="1" applyAlignment="1">
      <alignment horizontal="center" vertical="center" wrapText="1"/>
    </xf>
    <xf numFmtId="0" fontId="1" fillId="0" borderId="8" xfId="0" applyFont="1" applyBorder="1" applyAlignment="1">
      <alignment vertical="center"/>
    </xf>
    <xf numFmtId="0" fontId="1" fillId="0" borderId="11" xfId="0" applyFont="1" applyBorder="1" applyAlignment="1">
      <alignment vertical="center"/>
    </xf>
    <xf numFmtId="0" fontId="1" fillId="0" borderId="1" xfId="0" applyFont="1" applyBorder="1" applyAlignment="1">
      <alignment horizontal="center" vertical="center"/>
    </xf>
    <xf numFmtId="0" fontId="1" fillId="0" borderId="8" xfId="0" applyFont="1" applyBorder="1" applyAlignment="1">
      <alignment horizontal="center" vertical="center"/>
    </xf>
    <xf numFmtId="0" fontId="13" fillId="0" borderId="8" xfId="0" applyFont="1" applyBorder="1" applyAlignment="1">
      <alignment horizontal="center" vertical="center" wrapText="1"/>
    </xf>
    <xf numFmtId="0" fontId="13" fillId="0" borderId="7" xfId="0" applyFont="1" applyBorder="1" applyAlignment="1">
      <alignment horizontal="center" vertical="center" wrapText="1"/>
    </xf>
    <xf numFmtId="0" fontId="5" fillId="0" borderId="1" xfId="0" applyFont="1" applyBorder="1" applyAlignment="1">
      <alignment horizontal="center" vertical="center"/>
    </xf>
    <xf numFmtId="0" fontId="5" fillId="0" borderId="8" xfId="0" applyFont="1" applyBorder="1" applyAlignment="1">
      <alignment vertical="center"/>
    </xf>
    <xf numFmtId="14" fontId="5" fillId="0" borderId="8" xfId="0" applyNumberFormat="1" applyFont="1" applyBorder="1" applyAlignment="1">
      <alignment horizontal="center" vertical="center"/>
    </xf>
    <xf numFmtId="14" fontId="5" fillId="0" borderId="8" xfId="0" applyNumberFormat="1" applyFont="1" applyBorder="1" applyAlignment="1">
      <alignment horizontal="left" vertical="center" wrapText="1"/>
    </xf>
    <xf numFmtId="0" fontId="38" fillId="0" borderId="8" xfId="0" applyFont="1" applyBorder="1" applyAlignment="1">
      <alignment horizontal="left" vertical="center"/>
    </xf>
    <xf numFmtId="0" fontId="39" fillId="0" borderId="0" xfId="0" applyFont="1" applyAlignment="1">
      <alignment horizontal="center" vertical="center"/>
    </xf>
    <xf numFmtId="0" fontId="39" fillId="0" borderId="0" xfId="0" applyFont="1" applyAlignment="1">
      <alignment vertical="center"/>
    </xf>
    <xf numFmtId="177" fontId="40" fillId="0" borderId="0" xfId="0" applyNumberFormat="1" applyFont="1" applyAlignment="1">
      <alignment horizontal="center" vertical="center"/>
    </xf>
    <xf numFmtId="0" fontId="5" fillId="0" borderId="7" xfId="0" applyFont="1" applyBorder="1" applyAlignment="1">
      <alignment horizontal="left" vertical="center"/>
    </xf>
    <xf numFmtId="0" fontId="0" fillId="0" borderId="7" xfId="0" applyBorder="1" applyAlignment="1">
      <alignment horizontal="left" vertical="center"/>
    </xf>
    <xf numFmtId="0" fontId="38" fillId="0" borderId="7" xfId="0" applyFont="1" applyBorder="1" applyAlignment="1">
      <alignment horizontal="left" vertical="center"/>
    </xf>
    <xf numFmtId="0" fontId="0" fillId="0" borderId="0" xfId="0" applyAlignment="1">
      <alignment vertical="center" wrapText="1"/>
    </xf>
    <xf numFmtId="0" fontId="41" fillId="0" borderId="0" xfId="0" applyFont="1" applyAlignment="1">
      <alignment vertical="center" wrapText="1"/>
    </xf>
    <xf numFmtId="0" fontId="42" fillId="6" borderId="1" xfId="0" applyFont="1" applyFill="1" applyBorder="1" applyAlignment="1">
      <alignment horizontal="center" wrapText="1"/>
    </xf>
    <xf numFmtId="0" fontId="8" fillId="0" borderId="1" xfId="25" applyFont="1" applyFill="1" applyBorder="1" applyAlignment="1">
      <alignment horizontal="center"/>
    </xf>
    <xf numFmtId="14" fontId="8" fillId="0" borderId="1" xfId="25" applyNumberFormat="1" applyFont="1" applyFill="1" applyBorder="1" applyAlignment="1">
      <alignment horizontal="center"/>
    </xf>
    <xf numFmtId="0" fontId="8" fillId="0" borderId="1" xfId="25" applyFont="1" applyFill="1" applyBorder="1" applyAlignment="1"/>
    <xf numFmtId="0" fontId="8" fillId="0" borderId="1" xfId="25" applyFont="1" applyBorder="1" applyAlignment="1">
      <alignment horizontal="center"/>
    </xf>
    <xf numFmtId="0" fontId="17" fillId="0" borderId="0" xfId="0" applyFont="1" applyAlignment="1">
      <alignment vertical="center" wrapText="1"/>
    </xf>
    <xf numFmtId="0" fontId="17" fillId="0" borderId="1" xfId="0" applyFont="1" applyBorder="1" applyAlignment="1">
      <alignment vertical="center" wrapText="1"/>
    </xf>
    <xf numFmtId="14" fontId="8" fillId="0" borderId="1" xfId="25" applyNumberFormat="1" applyFont="1" applyFill="1" applyBorder="1" applyAlignment="1">
      <alignment horizontal="center" wrapText="1"/>
    </xf>
    <xf numFmtId="0" fontId="43" fillId="0" borderId="0" xfId="0" applyFont="1">
      <alignment vertical="center"/>
    </xf>
    <xf numFmtId="0" fontId="43" fillId="0" borderId="0" xfId="0" applyFont="1" applyAlignment="1">
      <alignment vertical="center" wrapText="1"/>
    </xf>
    <xf numFmtId="0" fontId="43" fillId="4" borderId="0" xfId="0" applyFont="1" applyFill="1">
      <alignment vertical="center"/>
    </xf>
    <xf numFmtId="49" fontId="43" fillId="0" borderId="0" xfId="0" applyNumberFormat="1" applyFont="1">
      <alignment vertical="center"/>
    </xf>
    <xf numFmtId="49" fontId="44" fillId="4" borderId="1" xfId="0" applyNumberFormat="1" applyFont="1" applyFill="1" applyBorder="1" applyAlignment="1">
      <alignment horizontal="left" vertical="center" wrapText="1"/>
    </xf>
    <xf numFmtId="49" fontId="43" fillId="4" borderId="1" xfId="0" applyNumberFormat="1" applyFont="1" applyFill="1" applyBorder="1" applyAlignment="1">
      <alignment horizontal="left" vertical="center" wrapText="1"/>
    </xf>
    <xf numFmtId="0" fontId="45" fillId="4" borderId="1" xfId="0" applyFont="1" applyFill="1" applyBorder="1" applyAlignment="1">
      <alignment horizontal="left" vertical="center" wrapText="1"/>
    </xf>
    <xf numFmtId="0" fontId="43" fillId="0" borderId="1" xfId="0" applyFont="1" applyBorder="1" applyAlignment="1">
      <alignment vertical="center" wrapText="1"/>
    </xf>
    <xf numFmtId="0" fontId="46" fillId="4" borderId="1" xfId="0" applyFont="1" applyFill="1" applyBorder="1" applyAlignment="1">
      <alignment vertical="center" wrapText="1"/>
    </xf>
    <xf numFmtId="49" fontId="43" fillId="0" borderId="1" xfId="0" applyNumberFormat="1" applyFont="1" applyBorder="1">
      <alignment vertical="center"/>
    </xf>
    <xf numFmtId="0" fontId="43" fillId="0" borderId="1" xfId="0" applyFont="1" applyBorder="1">
      <alignment vertical="center"/>
    </xf>
    <xf numFmtId="0" fontId="43" fillId="4" borderId="1" xfId="0" applyFont="1" applyFill="1" applyBorder="1" applyAlignment="1">
      <alignment vertical="center" wrapText="1"/>
    </xf>
    <xf numFmtId="0" fontId="43" fillId="4" borderId="1" xfId="0" applyFont="1" applyFill="1" applyBorder="1">
      <alignment vertical="center"/>
    </xf>
    <xf numFmtId="0" fontId="47" fillId="4" borderId="12" xfId="0" applyFont="1" applyFill="1" applyBorder="1" applyAlignment="1">
      <alignment vertical="center" wrapText="1"/>
    </xf>
    <xf numFmtId="0" fontId="46" fillId="0" borderId="1" xfId="0" applyFont="1" applyBorder="1">
      <alignment vertical="center"/>
    </xf>
    <xf numFmtId="0" fontId="48" fillId="0" borderId="0" xfId="0" applyFont="1">
      <alignment vertical="center"/>
    </xf>
    <xf numFmtId="0" fontId="43" fillId="0" borderId="1" xfId="0" applyFont="1" applyBorder="1" applyAlignment="1">
      <alignment horizontal="left" wrapText="1"/>
    </xf>
    <xf numFmtId="0" fontId="46" fillId="0" borderId="1" xfId="0" applyFont="1" applyBorder="1" applyAlignment="1">
      <alignment horizontal="justify" vertical="center" wrapText="1"/>
    </xf>
    <xf numFmtId="0" fontId="46" fillId="0" borderId="1" xfId="0" applyFont="1" applyBorder="1" applyAlignment="1">
      <alignment vertical="center" wrapText="1"/>
    </xf>
    <xf numFmtId="0" fontId="49" fillId="0" borderId="1" xfId="0" applyFont="1" applyBorder="1" applyAlignment="1">
      <alignment vertical="center" wrapText="1"/>
    </xf>
    <xf numFmtId="0" fontId="49" fillId="0" borderId="1" xfId="0" applyFont="1" applyBorder="1">
      <alignment vertical="center"/>
    </xf>
    <xf numFmtId="0" fontId="49" fillId="4" borderId="1" xfId="0" applyFont="1" applyFill="1" applyBorder="1" applyAlignment="1">
      <alignment horizontal="justify" vertical="center" wrapText="1"/>
    </xf>
    <xf numFmtId="0" fontId="45" fillId="4" borderId="4" xfId="0" applyFont="1" applyFill="1" applyBorder="1" applyAlignment="1">
      <alignment horizontal="left" vertical="center" wrapText="1"/>
    </xf>
  </cellXfs>
  <cellStyles count="77">
    <cellStyle name="常规" xfId="0" builtinId="0"/>
    <cellStyle name="货币[0]" xfId="1" builtinId="7"/>
    <cellStyle name="常规 2 2 2 2" xfId="2"/>
    <cellStyle name="20% - 强调文字颜色 3" xfId="3" builtinId="38"/>
    <cellStyle name="输入" xfId="4" builtinId="20"/>
    <cellStyle name="货币" xfId="5" builtinId="4"/>
    <cellStyle name="千位分隔[0]" xfId="6" builtinId="6"/>
    <cellStyle name="40% - 强调文字颜色 3" xfId="7" builtinId="39"/>
    <cellStyle name="差" xfId="8" builtinId="27"/>
    <cellStyle name="千位分隔" xfId="9" builtinId="3"/>
    <cellStyle name="60% - 强调文字颜色 3" xfId="10" builtinId="40"/>
    <cellStyle name="超链接" xfId="11" builtinId="8"/>
    <cellStyle name="百分比" xfId="12" builtinId="5"/>
    <cellStyle name="已访问的超链接" xfId="13" builtinId="9"/>
    <cellStyle name="常规 6" xfId="14"/>
    <cellStyle name="注释" xfId="15" builtinId="10"/>
    <cellStyle name="60% - 强调文字颜色 2" xfId="16" builtinId="36"/>
    <cellStyle name="标题 4" xfId="17" builtinId="19"/>
    <cellStyle name="警告文本" xfId="18" builtinId="11"/>
    <cellStyle name="常规 5 2" xfId="19"/>
    <cellStyle name="标题" xfId="20" builtinId="15"/>
    <cellStyle name="常规 3 2 2" xfId="21"/>
    <cellStyle name="解释性文本" xfId="22" builtinId="53"/>
    <cellStyle name="标题 1" xfId="23" builtinId="16"/>
    <cellStyle name="标题 2" xfId="24" builtinId="17"/>
    <cellStyle name="0,0_x000d__x000a_NA_x000d__x000a_" xfId="25"/>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常规 2 2 2 2 9 2" xfId="32"/>
    <cellStyle name="20% - 强调文字颜色 6" xfId="33" builtinId="50"/>
    <cellStyle name="强调文字颜色 2" xfId="34" builtinId="33"/>
    <cellStyle name="链接单元格" xfId="35" builtinId="24"/>
    <cellStyle name="汇总" xfId="36" builtinId="25"/>
    <cellStyle name="好" xfId="37" builtinId="26"/>
    <cellStyle name="适中" xfId="38" builtinId="28"/>
    <cellStyle name="20% - 强调文字颜色 5" xfId="39" builtinId="46"/>
    <cellStyle name="强调文字颜色 1" xfId="40" builtinId="29"/>
    <cellStyle name="常规 2 2 2" xfId="41"/>
    <cellStyle name="20% - 强调文字颜色 1" xfId="42" builtinId="30"/>
    <cellStyle name="40% - 强调文字颜色 1" xfId="43" builtinId="31"/>
    <cellStyle name="常规 2 2 3" xfId="44"/>
    <cellStyle name="20% - 强调文字颜色 2" xfId="45" builtinId="34"/>
    <cellStyle name="40% - 强调文字颜色 2" xfId="46" builtinId="35"/>
    <cellStyle name="强调文字颜色 3" xfId="47" builtinId="37"/>
    <cellStyle name="常规 3 2" xfId="48"/>
    <cellStyle name="强调文字颜色 4" xfId="49" builtinId="41"/>
    <cellStyle name="20% - 强调文字颜色 4" xfId="50" builtinId="42"/>
    <cellStyle name="Normal 2" xfId="51"/>
    <cellStyle name="40% - 强调文字颜色 4" xfId="52" builtinId="43"/>
    <cellStyle name="常规 3 3" xfId="53"/>
    <cellStyle name="强调文字颜色 5" xfId="54" builtinId="45"/>
    <cellStyle name="常规 2 2" xfId="55"/>
    <cellStyle name="40% - 强调文字颜色 5" xfId="56" builtinId="47"/>
    <cellStyle name="60% - 强调文字颜色 5" xfId="57" builtinId="48"/>
    <cellStyle name="强调文字颜色 6" xfId="58" builtinId="49"/>
    <cellStyle name="常规 2 3" xfId="59"/>
    <cellStyle name="40% - 强调文字颜色 6" xfId="60" builtinId="51"/>
    <cellStyle name="60% - 强调文字颜色 6" xfId="61" builtinId="52"/>
    <cellStyle name="0,0_x000d__x000a_NA_x000d__x000a_ 2" xfId="62"/>
    <cellStyle name="常规 2" xfId="63"/>
    <cellStyle name="常规 3" xfId="64"/>
    <cellStyle name="常规 2 2 2 3 2" xfId="65"/>
    <cellStyle name="常规 4" xfId="66"/>
    <cellStyle name="常规 4 2" xfId="67"/>
    <cellStyle name="常规 4 3" xfId="68"/>
    <cellStyle name="常规 5" xfId="69"/>
    <cellStyle name="常规 7" xfId="70"/>
    <cellStyle name="常规_NRM-Mgw(v3.0.0)_20081219r1-中兴答复r1" xfId="71"/>
    <cellStyle name="货币 2" xfId="72"/>
    <cellStyle name="货币 2 2" xfId="73"/>
    <cellStyle name="货币 2 2 2" xfId="74"/>
    <cellStyle name="样式 1" xfId="75"/>
    <cellStyle name="样式 1 2" xfId="76"/>
  </cellStyles>
  <dxfs count="2">
    <dxf>
      <font>
        <b val="1"/>
        <i val="0"/>
      </font>
      <fill>
        <patternFill patternType="solid">
          <bgColor rgb="FFD7D7D7"/>
        </patternFill>
      </fill>
    </dxf>
    <dxf>
      <font>
        <b val="0"/>
        <i val="0"/>
      </font>
      <fill>
        <patternFill patternType="none"/>
      </fill>
    </dxf>
  </dxfs>
  <tableStyles count="1" defaultTableStyle="TableStyleMedium2" defaultPivotStyle="PivotStyleLight16">
    <tableStyle name="MySqlDefault" pivot="0" table="0" count="2">
      <tableStyleElement type="wholeTable" dxfId="1"/>
      <tableStyleElement type="headerRow" dxfId="0"/>
    </tableStyle>
  </tableStyles>
  <colors>
    <mruColors>
      <color rgb="000000FF"/>
      <color rgb="000066FF"/>
      <color rgb="00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schemas.openxmlformats.org/officeDocument/2006/relationships/sharedStrings" Target="sharedStrings.xml"/><Relationship Id="rId27" Type="http://schemas.openxmlformats.org/officeDocument/2006/relationships/styles" Target="styles.xml"/><Relationship Id="rId26" Type="http://schemas.openxmlformats.org/officeDocument/2006/relationships/theme" Target="theme/theme1.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dimension ref="A1:M72"/>
  <sheetViews>
    <sheetView workbookViewId="0">
      <selection activeCell="B28" sqref="B28"/>
    </sheetView>
  </sheetViews>
  <sheetFormatPr defaultColWidth="9" defaultRowHeight="20.25"/>
  <cols>
    <col min="1" max="1" width="9" style="410"/>
    <col min="2" max="2" width="15.25" style="411" customWidth="1"/>
    <col min="3" max="3" width="19.875" style="412" customWidth="1"/>
    <col min="4" max="4" width="15.875" style="411" customWidth="1"/>
    <col min="5" max="5" width="12.625" style="411" customWidth="1"/>
    <col min="6" max="6" width="9" style="413"/>
    <col min="7" max="7" width="13" style="410" customWidth="1"/>
    <col min="8" max="11" width="9" style="410"/>
    <col min="12" max="12" width="27.25" style="411" customWidth="1"/>
    <col min="13" max="16384" width="9" style="410"/>
  </cols>
  <sheetData>
    <row r="1" ht="65.25" customHeight="1" spans="1:13">
      <c r="A1" s="414" t="s">
        <v>0</v>
      </c>
      <c r="B1" s="414" t="s">
        <v>1</v>
      </c>
      <c r="C1" s="414" t="s">
        <v>2</v>
      </c>
      <c r="D1" s="414" t="s">
        <v>3</v>
      </c>
      <c r="E1" s="414" t="s">
        <v>4</v>
      </c>
      <c r="F1" s="415" t="s">
        <v>5</v>
      </c>
      <c r="G1" s="414" t="s">
        <v>6</v>
      </c>
      <c r="H1" s="414" t="s">
        <v>7</v>
      </c>
      <c r="I1" s="414" t="s">
        <v>8</v>
      </c>
      <c r="J1" s="414" t="s">
        <v>9</v>
      </c>
      <c r="K1" s="414" t="s">
        <v>10</v>
      </c>
      <c r="L1" s="414" t="s">
        <v>11</v>
      </c>
      <c r="M1" s="414" t="s">
        <v>12</v>
      </c>
    </row>
    <row r="2" ht="65.25" customHeight="1" spans="1:13">
      <c r="A2" s="414" t="s">
        <v>13</v>
      </c>
      <c r="B2" s="414" t="s">
        <v>14</v>
      </c>
      <c r="C2" s="414"/>
      <c r="D2" s="414"/>
      <c r="E2" s="414" t="s">
        <v>15</v>
      </c>
      <c r="F2" s="415"/>
      <c r="G2" s="414"/>
      <c r="H2" s="414" t="s">
        <v>16</v>
      </c>
      <c r="I2" s="414" t="s">
        <v>17</v>
      </c>
      <c r="J2" s="414" t="s">
        <v>18</v>
      </c>
      <c r="K2" s="414" t="s">
        <v>18</v>
      </c>
      <c r="L2" s="414" t="s">
        <v>19</v>
      </c>
      <c r="M2" s="414"/>
    </row>
    <row r="3" ht="65.25" customHeight="1" spans="1:13">
      <c r="A3" s="416"/>
      <c r="B3" s="417" t="s">
        <v>20</v>
      </c>
      <c r="C3" s="418" t="s">
        <v>21</v>
      </c>
      <c r="D3" s="418" t="s">
        <v>22</v>
      </c>
      <c r="E3" s="417"/>
      <c r="F3" s="419"/>
      <c r="G3" s="418" t="s">
        <v>23</v>
      </c>
      <c r="H3" s="420"/>
      <c r="I3" s="420" t="s">
        <v>24</v>
      </c>
      <c r="J3" s="420"/>
      <c r="K3" s="420"/>
      <c r="L3" s="427" t="s">
        <v>25</v>
      </c>
      <c r="M3" s="420"/>
    </row>
    <row r="4" ht="65.25" customHeight="1" spans="1:13">
      <c r="A4" s="420"/>
      <c r="B4" s="417" t="s">
        <v>20</v>
      </c>
      <c r="C4" s="418" t="s">
        <v>26</v>
      </c>
      <c r="D4" s="418" t="s">
        <v>27</v>
      </c>
      <c r="E4" s="417"/>
      <c r="F4" s="419"/>
      <c r="G4" s="418" t="s">
        <v>28</v>
      </c>
      <c r="H4" s="420"/>
      <c r="I4" s="420" t="s">
        <v>24</v>
      </c>
      <c r="J4" s="420"/>
      <c r="K4" s="420"/>
      <c r="L4" s="428" t="s">
        <v>29</v>
      </c>
      <c r="M4" s="420"/>
    </row>
    <row r="5" ht="65.25" hidden="1" customHeight="1" spans="1:13">
      <c r="A5" s="416" t="s">
        <v>30</v>
      </c>
      <c r="B5" s="417" t="s">
        <v>20</v>
      </c>
      <c r="C5" s="418" t="s">
        <v>31</v>
      </c>
      <c r="D5" s="418" t="s">
        <v>32</v>
      </c>
      <c r="E5" s="417"/>
      <c r="F5" s="419"/>
      <c r="G5" s="418" t="s">
        <v>33</v>
      </c>
      <c r="H5" s="420"/>
      <c r="I5" s="420"/>
      <c r="J5" s="420"/>
      <c r="K5" s="420"/>
      <c r="L5" s="428" t="s">
        <v>34</v>
      </c>
      <c r="M5" s="420"/>
    </row>
    <row r="6" ht="65.25" hidden="1" customHeight="1" spans="1:13">
      <c r="A6" s="416" t="s">
        <v>30</v>
      </c>
      <c r="B6" s="417" t="s">
        <v>20</v>
      </c>
      <c r="C6" s="418" t="s">
        <v>35</v>
      </c>
      <c r="D6" s="418" t="s">
        <v>36</v>
      </c>
      <c r="E6" s="417"/>
      <c r="F6" s="419"/>
      <c r="G6" s="418" t="s">
        <v>28</v>
      </c>
      <c r="H6" s="420"/>
      <c r="I6" s="420"/>
      <c r="J6" s="420"/>
      <c r="K6" s="420"/>
      <c r="L6" s="428" t="s">
        <v>37</v>
      </c>
      <c r="M6" s="420"/>
    </row>
    <row r="7" ht="65.25" customHeight="1" spans="1:13">
      <c r="A7" s="420"/>
      <c r="B7" s="417" t="s">
        <v>20</v>
      </c>
      <c r="C7" s="418" t="s">
        <v>38</v>
      </c>
      <c r="D7" s="418" t="s">
        <v>39</v>
      </c>
      <c r="E7" s="417"/>
      <c r="F7" s="419"/>
      <c r="G7" s="418" t="s">
        <v>23</v>
      </c>
      <c r="H7" s="420"/>
      <c r="I7" s="420" t="s">
        <v>24</v>
      </c>
      <c r="J7" s="420"/>
      <c r="K7" s="420"/>
      <c r="L7" s="428" t="s">
        <v>40</v>
      </c>
      <c r="M7" s="420"/>
    </row>
    <row r="8" ht="65.25" customHeight="1" spans="1:13">
      <c r="A8" s="420"/>
      <c r="B8" s="417" t="s">
        <v>20</v>
      </c>
      <c r="C8" s="418" t="s">
        <v>41</v>
      </c>
      <c r="D8" s="418" t="s">
        <v>39</v>
      </c>
      <c r="E8" s="417"/>
      <c r="F8" s="419"/>
      <c r="G8" s="418" t="s">
        <v>23</v>
      </c>
      <c r="H8" s="420"/>
      <c r="I8" s="420" t="s">
        <v>24</v>
      </c>
      <c r="J8" s="420"/>
      <c r="K8" s="420"/>
      <c r="L8" s="428" t="s">
        <v>42</v>
      </c>
      <c r="M8" s="420"/>
    </row>
    <row r="9" ht="65.25" hidden="1" customHeight="1" spans="1:13">
      <c r="A9" s="416" t="s">
        <v>30</v>
      </c>
      <c r="B9" s="417" t="s">
        <v>20</v>
      </c>
      <c r="C9" s="418" t="s">
        <v>43</v>
      </c>
      <c r="D9" s="418" t="s">
        <v>39</v>
      </c>
      <c r="E9" s="417"/>
      <c r="F9" s="419"/>
      <c r="G9" s="418" t="s">
        <v>33</v>
      </c>
      <c r="H9" s="420"/>
      <c r="I9" s="420"/>
      <c r="J9" s="420"/>
      <c r="K9" s="420"/>
      <c r="L9" s="428" t="s">
        <v>44</v>
      </c>
      <c r="M9" s="420"/>
    </row>
    <row r="10" ht="65.25" customHeight="1" spans="1:13">
      <c r="A10" s="420"/>
      <c r="B10" s="417" t="s">
        <v>20</v>
      </c>
      <c r="C10" s="418" t="s">
        <v>45</v>
      </c>
      <c r="D10" s="418" t="s">
        <v>46</v>
      </c>
      <c r="E10" s="417"/>
      <c r="F10" s="419"/>
      <c r="G10" s="418" t="s">
        <v>23</v>
      </c>
      <c r="H10" s="420"/>
      <c r="I10" s="420" t="s">
        <v>24</v>
      </c>
      <c r="J10" s="420"/>
      <c r="K10" s="420"/>
      <c r="L10" s="429" t="s">
        <v>47</v>
      </c>
      <c r="M10" s="420"/>
    </row>
    <row r="11" ht="65.25" customHeight="1" spans="1:13">
      <c r="A11" s="420"/>
      <c r="B11" s="417" t="s">
        <v>20</v>
      </c>
      <c r="C11" s="418" t="s">
        <v>48</v>
      </c>
      <c r="D11" s="418" t="s">
        <v>49</v>
      </c>
      <c r="E11" s="417"/>
      <c r="F11" s="419"/>
      <c r="G11" s="418" t="s">
        <v>23</v>
      </c>
      <c r="H11" s="420"/>
      <c r="I11" s="420" t="s">
        <v>24</v>
      </c>
      <c r="J11" s="420"/>
      <c r="K11" s="420"/>
      <c r="L11" s="429" t="s">
        <v>50</v>
      </c>
      <c r="M11" s="420"/>
    </row>
    <row r="12" ht="65.25" hidden="1" customHeight="1" spans="1:13">
      <c r="A12" s="416" t="s">
        <v>30</v>
      </c>
      <c r="B12" s="417" t="s">
        <v>20</v>
      </c>
      <c r="C12" s="418" t="s">
        <v>51</v>
      </c>
      <c r="D12" s="418" t="s">
        <v>52</v>
      </c>
      <c r="E12" s="417"/>
      <c r="F12" s="419"/>
      <c r="G12" s="418" t="s">
        <v>33</v>
      </c>
      <c r="H12" s="420"/>
      <c r="I12" s="420"/>
      <c r="J12" s="420"/>
      <c r="K12" s="420"/>
      <c r="L12" s="429" t="s">
        <v>53</v>
      </c>
      <c r="M12" s="420"/>
    </row>
    <row r="13" ht="65.25" customHeight="1" spans="1:13">
      <c r="A13" s="420"/>
      <c r="B13" s="417" t="s">
        <v>20</v>
      </c>
      <c r="C13" s="418" t="s">
        <v>54</v>
      </c>
      <c r="D13" s="418" t="s">
        <v>55</v>
      </c>
      <c r="E13" s="417"/>
      <c r="F13" s="419"/>
      <c r="G13" s="418" t="s">
        <v>56</v>
      </c>
      <c r="H13" s="420"/>
      <c r="I13" s="420" t="s">
        <v>57</v>
      </c>
      <c r="J13" s="420"/>
      <c r="K13" s="420"/>
      <c r="L13" s="429" t="s">
        <v>55</v>
      </c>
      <c r="M13" s="420"/>
    </row>
    <row r="14" ht="65.25" customHeight="1" spans="1:13">
      <c r="A14" s="420"/>
      <c r="B14" s="417" t="s">
        <v>20</v>
      </c>
      <c r="C14" s="418" t="s">
        <v>58</v>
      </c>
      <c r="D14" s="418" t="s">
        <v>59</v>
      </c>
      <c r="E14" s="417"/>
      <c r="F14" s="419"/>
      <c r="G14" s="418" t="s">
        <v>60</v>
      </c>
      <c r="H14" s="420"/>
      <c r="I14" s="420" t="s">
        <v>57</v>
      </c>
      <c r="J14" s="420"/>
      <c r="K14" s="420"/>
      <c r="L14" s="429" t="s">
        <v>61</v>
      </c>
      <c r="M14" s="420"/>
    </row>
    <row r="15" ht="65.25" customHeight="1" spans="1:13">
      <c r="A15" s="420"/>
      <c r="B15" s="417" t="s">
        <v>20</v>
      </c>
      <c r="C15" s="418" t="s">
        <v>62</v>
      </c>
      <c r="D15" s="418" t="s">
        <v>63</v>
      </c>
      <c r="E15" s="417" t="s">
        <v>64</v>
      </c>
      <c r="F15" s="419" t="s">
        <v>65</v>
      </c>
      <c r="G15" s="418" t="s">
        <v>28</v>
      </c>
      <c r="H15" s="420"/>
      <c r="I15" s="420" t="s">
        <v>24</v>
      </c>
      <c r="J15" s="420"/>
      <c r="K15" s="420"/>
      <c r="L15" s="428" t="s">
        <v>66</v>
      </c>
      <c r="M15" s="420"/>
    </row>
    <row r="16" ht="65.25" customHeight="1" spans="1:13">
      <c r="A16" s="420"/>
      <c r="B16" s="417" t="s">
        <v>20</v>
      </c>
      <c r="C16" s="418" t="s">
        <v>67</v>
      </c>
      <c r="D16" s="418" t="s">
        <v>68</v>
      </c>
      <c r="E16" s="417" t="s">
        <v>69</v>
      </c>
      <c r="F16" s="419" t="s">
        <v>70</v>
      </c>
      <c r="G16" s="418" t="s">
        <v>71</v>
      </c>
      <c r="H16" s="420"/>
      <c r="I16" s="420" t="s">
        <v>24</v>
      </c>
      <c r="J16" s="420"/>
      <c r="K16" s="420"/>
      <c r="L16" s="417" t="s">
        <v>72</v>
      </c>
      <c r="M16" s="420"/>
    </row>
    <row r="17" ht="65.25" customHeight="1" spans="1:13">
      <c r="A17" s="420"/>
      <c r="B17" s="417" t="s">
        <v>20</v>
      </c>
      <c r="C17" s="418" t="s">
        <v>73</v>
      </c>
      <c r="D17" s="418" t="s">
        <v>74</v>
      </c>
      <c r="E17" s="417" t="s">
        <v>75</v>
      </c>
      <c r="F17" s="419" t="s">
        <v>76</v>
      </c>
      <c r="G17" s="418" t="s">
        <v>28</v>
      </c>
      <c r="H17" s="420"/>
      <c r="I17" s="420" t="s">
        <v>24</v>
      </c>
      <c r="J17" s="420"/>
      <c r="K17" s="420"/>
      <c r="L17" s="424" t="s">
        <v>77</v>
      </c>
      <c r="M17" s="420"/>
    </row>
    <row r="18" ht="65.25" customHeight="1" spans="1:13">
      <c r="A18" s="420"/>
      <c r="B18" s="417" t="s">
        <v>20</v>
      </c>
      <c r="C18" s="418" t="s">
        <v>78</v>
      </c>
      <c r="D18" s="418" t="s">
        <v>79</v>
      </c>
      <c r="E18" s="417" t="s">
        <v>80</v>
      </c>
      <c r="F18" s="419" t="s">
        <v>81</v>
      </c>
      <c r="G18" s="418" t="s">
        <v>28</v>
      </c>
      <c r="H18" s="420"/>
      <c r="I18" s="420" t="s">
        <v>24</v>
      </c>
      <c r="J18" s="420"/>
      <c r="K18" s="420"/>
      <c r="L18" s="417" t="s">
        <v>82</v>
      </c>
      <c r="M18" s="420"/>
    </row>
    <row r="19" ht="65.25" customHeight="1" spans="1:13">
      <c r="A19" s="420"/>
      <c r="B19" s="417" t="s">
        <v>20</v>
      </c>
      <c r="C19" s="418" t="s">
        <v>83</v>
      </c>
      <c r="D19" s="418" t="s">
        <v>84</v>
      </c>
      <c r="E19" s="417"/>
      <c r="F19" s="419"/>
      <c r="G19" s="418" t="s">
        <v>28</v>
      </c>
      <c r="H19" s="420"/>
      <c r="I19" s="420" t="s">
        <v>24</v>
      </c>
      <c r="J19" s="420"/>
      <c r="K19" s="420"/>
      <c r="L19" s="424" t="s">
        <v>85</v>
      </c>
      <c r="M19" s="420"/>
    </row>
    <row r="20" ht="65.25" hidden="1" customHeight="1" spans="1:13">
      <c r="A20" s="416" t="s">
        <v>30</v>
      </c>
      <c r="B20" s="417" t="s">
        <v>20</v>
      </c>
      <c r="C20" s="418" t="s">
        <v>86</v>
      </c>
      <c r="D20" s="418" t="s">
        <v>87</v>
      </c>
      <c r="E20" s="417"/>
      <c r="F20" s="419"/>
      <c r="G20" s="418" t="s">
        <v>33</v>
      </c>
      <c r="H20" s="420"/>
      <c r="I20" s="420"/>
      <c r="J20" s="420"/>
      <c r="K20" s="420"/>
      <c r="L20" s="430" t="s">
        <v>88</v>
      </c>
      <c r="M20" s="420"/>
    </row>
    <row r="21" ht="65.25" hidden="1" customHeight="1" spans="1:13">
      <c r="A21" s="416" t="s">
        <v>30</v>
      </c>
      <c r="B21" s="417" t="s">
        <v>20</v>
      </c>
      <c r="C21" s="418" t="s">
        <v>89</v>
      </c>
      <c r="D21" s="418" t="s">
        <v>90</v>
      </c>
      <c r="E21" s="417"/>
      <c r="F21" s="419"/>
      <c r="G21" s="418" t="s">
        <v>28</v>
      </c>
      <c r="H21" s="420"/>
      <c r="I21" s="420"/>
      <c r="J21" s="420"/>
      <c r="K21" s="420"/>
      <c r="L21" s="430" t="s">
        <v>91</v>
      </c>
      <c r="M21" s="420"/>
    </row>
    <row r="22" ht="65.25" customHeight="1" spans="1:13">
      <c r="A22" s="420"/>
      <c r="B22" s="417" t="s">
        <v>20</v>
      </c>
      <c r="C22" s="418" t="s">
        <v>92</v>
      </c>
      <c r="D22" s="418" t="s">
        <v>93</v>
      </c>
      <c r="E22" s="417"/>
      <c r="F22" s="419"/>
      <c r="G22" s="418" t="s">
        <v>33</v>
      </c>
      <c r="H22" s="420"/>
      <c r="I22" s="420" t="s">
        <v>57</v>
      </c>
      <c r="J22" s="420"/>
      <c r="K22" s="420"/>
      <c r="L22" s="431" t="s">
        <v>94</v>
      </c>
      <c r="M22" s="420"/>
    </row>
    <row r="23" ht="65.25" customHeight="1" spans="1:13">
      <c r="A23" s="420"/>
      <c r="B23" s="417" t="s">
        <v>20</v>
      </c>
      <c r="C23" s="418" t="s">
        <v>95</v>
      </c>
      <c r="D23" s="421" t="s">
        <v>96</v>
      </c>
      <c r="E23" s="417"/>
      <c r="F23" s="419"/>
      <c r="G23" s="418" t="s">
        <v>28</v>
      </c>
      <c r="H23" s="420"/>
      <c r="I23" s="420" t="s">
        <v>24</v>
      </c>
      <c r="J23" s="420"/>
      <c r="K23" s="420"/>
      <c r="L23" s="417" t="s">
        <v>97</v>
      </c>
      <c r="M23" s="420"/>
    </row>
    <row r="24" ht="65.25" customHeight="1" spans="1:13">
      <c r="A24" s="420"/>
      <c r="B24" s="417" t="s">
        <v>20</v>
      </c>
      <c r="C24" s="422" t="s">
        <v>98</v>
      </c>
      <c r="D24" s="418" t="s">
        <v>99</v>
      </c>
      <c r="E24" s="417" t="s">
        <v>100</v>
      </c>
      <c r="F24" s="419"/>
      <c r="G24" s="418" t="s">
        <v>101</v>
      </c>
      <c r="H24" s="420"/>
      <c r="I24" s="420" t="s">
        <v>24</v>
      </c>
      <c r="J24" s="420"/>
      <c r="K24" s="420"/>
      <c r="L24" s="428" t="s">
        <v>102</v>
      </c>
      <c r="M24" s="420"/>
    </row>
    <row r="25" ht="65.25" customHeight="1" spans="1:13">
      <c r="A25" s="420"/>
      <c r="B25" s="417" t="s">
        <v>103</v>
      </c>
      <c r="C25" s="418" t="s">
        <v>104</v>
      </c>
      <c r="D25" s="418" t="s">
        <v>105</v>
      </c>
      <c r="E25" s="417" t="s">
        <v>106</v>
      </c>
      <c r="F25" s="419"/>
      <c r="G25" s="423" t="s">
        <v>28</v>
      </c>
      <c r="H25" s="420"/>
      <c r="I25" s="420" t="s">
        <v>24</v>
      </c>
      <c r="J25" s="420"/>
      <c r="K25" s="420"/>
      <c r="L25" s="417" t="s">
        <v>107</v>
      </c>
      <c r="M25" s="420"/>
    </row>
    <row r="26" ht="90.75" customHeight="1" spans="1:13">
      <c r="A26" s="420"/>
      <c r="B26" s="417" t="s">
        <v>103</v>
      </c>
      <c r="C26" s="418" t="s">
        <v>108</v>
      </c>
      <c r="D26" s="418" t="s">
        <v>109</v>
      </c>
      <c r="E26" s="417" t="s">
        <v>69</v>
      </c>
      <c r="F26" s="419" t="s">
        <v>70</v>
      </c>
      <c r="G26" s="418" t="s">
        <v>71</v>
      </c>
      <c r="H26" s="420"/>
      <c r="I26" s="420" t="s">
        <v>24</v>
      </c>
      <c r="J26" s="420"/>
      <c r="K26" s="420"/>
      <c r="L26" s="417" t="s">
        <v>110</v>
      </c>
      <c r="M26" s="420"/>
    </row>
    <row r="27" ht="95.25" customHeight="1" spans="1:13">
      <c r="A27" s="420"/>
      <c r="B27" s="417" t="s">
        <v>103</v>
      </c>
      <c r="C27" s="418" t="s">
        <v>111</v>
      </c>
      <c r="D27" s="418" t="s">
        <v>112</v>
      </c>
      <c r="E27" s="417" t="s">
        <v>69</v>
      </c>
      <c r="F27" s="419" t="s">
        <v>70</v>
      </c>
      <c r="G27" s="418" t="s">
        <v>71</v>
      </c>
      <c r="H27" s="420"/>
      <c r="I27" s="420" t="s">
        <v>24</v>
      </c>
      <c r="J27" s="420"/>
      <c r="K27" s="420"/>
      <c r="L27" s="417" t="s">
        <v>113</v>
      </c>
      <c r="M27" s="420"/>
    </row>
    <row r="28" ht="86.25" customHeight="1" spans="1:13">
      <c r="A28" s="420"/>
      <c r="B28" s="417" t="s">
        <v>103</v>
      </c>
      <c r="C28" s="418" t="s">
        <v>114</v>
      </c>
      <c r="D28" s="418" t="s">
        <v>115</v>
      </c>
      <c r="E28" s="417" t="s">
        <v>69</v>
      </c>
      <c r="F28" s="419" t="s">
        <v>70</v>
      </c>
      <c r="G28" s="418" t="s">
        <v>71</v>
      </c>
      <c r="H28" s="420"/>
      <c r="I28" s="420" t="s">
        <v>24</v>
      </c>
      <c r="J28" s="420"/>
      <c r="K28" s="420"/>
      <c r="L28" s="417" t="s">
        <v>116</v>
      </c>
      <c r="M28" s="420"/>
    </row>
    <row r="29" ht="90.75" customHeight="1" spans="1:13">
      <c r="A29" s="420"/>
      <c r="B29" s="417" t="s">
        <v>103</v>
      </c>
      <c r="C29" s="418" t="s">
        <v>117</v>
      </c>
      <c r="D29" s="418" t="s">
        <v>118</v>
      </c>
      <c r="E29" s="417" t="s">
        <v>69</v>
      </c>
      <c r="F29" s="419" t="s">
        <v>70</v>
      </c>
      <c r="G29" s="418" t="s">
        <v>71</v>
      </c>
      <c r="H29" s="420"/>
      <c r="I29" s="420" t="s">
        <v>24</v>
      </c>
      <c r="J29" s="420"/>
      <c r="K29" s="420"/>
      <c r="L29" s="417" t="s">
        <v>119</v>
      </c>
      <c r="M29" s="420"/>
    </row>
    <row r="30" ht="93.75" customHeight="1" spans="1:13">
      <c r="A30" s="420"/>
      <c r="B30" s="417" t="s">
        <v>103</v>
      </c>
      <c r="C30" s="418" t="s">
        <v>120</v>
      </c>
      <c r="D30" s="418" t="s">
        <v>121</v>
      </c>
      <c r="E30" s="417" t="s">
        <v>69</v>
      </c>
      <c r="F30" s="419" t="s">
        <v>122</v>
      </c>
      <c r="G30" s="418" t="s">
        <v>71</v>
      </c>
      <c r="H30" s="420"/>
      <c r="I30" s="420" t="s">
        <v>24</v>
      </c>
      <c r="J30" s="420"/>
      <c r="K30" s="420"/>
      <c r="L30" s="417" t="s">
        <v>123</v>
      </c>
      <c r="M30" s="420"/>
    </row>
    <row r="31" ht="94.5" customHeight="1" spans="1:13">
      <c r="A31" s="420"/>
      <c r="B31" s="417" t="s">
        <v>103</v>
      </c>
      <c r="C31" s="418" t="s">
        <v>124</v>
      </c>
      <c r="D31" s="418" t="s">
        <v>125</v>
      </c>
      <c r="E31" s="417" t="s">
        <v>69</v>
      </c>
      <c r="F31" s="419" t="s">
        <v>122</v>
      </c>
      <c r="G31" s="418" t="s">
        <v>71</v>
      </c>
      <c r="H31" s="420"/>
      <c r="I31" s="420" t="s">
        <v>24</v>
      </c>
      <c r="J31" s="420"/>
      <c r="K31" s="420"/>
      <c r="L31" s="417" t="s">
        <v>126</v>
      </c>
      <c r="M31" s="420"/>
    </row>
    <row r="32" ht="93" customHeight="1" spans="1:13">
      <c r="A32" s="420"/>
      <c r="B32" s="417" t="s">
        <v>103</v>
      </c>
      <c r="C32" s="418" t="s">
        <v>127</v>
      </c>
      <c r="D32" s="418" t="s">
        <v>128</v>
      </c>
      <c r="E32" s="417" t="s">
        <v>69</v>
      </c>
      <c r="F32" s="419" t="s">
        <v>122</v>
      </c>
      <c r="G32" s="418" t="s">
        <v>71</v>
      </c>
      <c r="H32" s="420"/>
      <c r="I32" s="420" t="s">
        <v>24</v>
      </c>
      <c r="J32" s="420"/>
      <c r="K32" s="420"/>
      <c r="L32" s="417" t="s">
        <v>129</v>
      </c>
      <c r="M32" s="420"/>
    </row>
    <row r="33" ht="105.75" customHeight="1" spans="1:13">
      <c r="A33" s="420"/>
      <c r="B33" s="417" t="s">
        <v>103</v>
      </c>
      <c r="C33" s="418" t="s">
        <v>130</v>
      </c>
      <c r="D33" s="418" t="s">
        <v>131</v>
      </c>
      <c r="E33" s="417" t="s">
        <v>69</v>
      </c>
      <c r="F33" s="419" t="s">
        <v>122</v>
      </c>
      <c r="G33" s="418" t="s">
        <v>71</v>
      </c>
      <c r="H33" s="420"/>
      <c r="I33" s="420" t="s">
        <v>24</v>
      </c>
      <c r="J33" s="420"/>
      <c r="K33" s="420"/>
      <c r="L33" s="417" t="s">
        <v>132</v>
      </c>
      <c r="M33" s="420"/>
    </row>
    <row r="34" ht="65.25" hidden="1" customHeight="1" spans="1:13">
      <c r="A34" s="416" t="s">
        <v>30</v>
      </c>
      <c r="B34" s="417" t="s">
        <v>103</v>
      </c>
      <c r="C34" s="418" t="s">
        <v>133</v>
      </c>
      <c r="D34" s="418" t="s">
        <v>134</v>
      </c>
      <c r="E34" s="417"/>
      <c r="F34" s="419"/>
      <c r="G34" s="423" t="s">
        <v>28</v>
      </c>
      <c r="H34" s="420"/>
      <c r="I34" s="420"/>
      <c r="J34" s="420"/>
      <c r="K34" s="420"/>
      <c r="L34" s="417" t="s">
        <v>135</v>
      </c>
      <c r="M34" s="420"/>
    </row>
    <row r="35" ht="65.25" hidden="1" customHeight="1" spans="1:13">
      <c r="A35" s="416" t="s">
        <v>30</v>
      </c>
      <c r="B35" s="417" t="s">
        <v>103</v>
      </c>
      <c r="C35" s="418" t="s">
        <v>136</v>
      </c>
      <c r="D35" s="418" t="s">
        <v>137</v>
      </c>
      <c r="E35" s="417"/>
      <c r="F35" s="419"/>
      <c r="G35" s="423" t="s">
        <v>28</v>
      </c>
      <c r="H35" s="420"/>
      <c r="I35" s="420"/>
      <c r="J35" s="420"/>
      <c r="K35" s="420"/>
      <c r="L35" s="417" t="s">
        <v>138</v>
      </c>
      <c r="M35" s="420"/>
    </row>
    <row r="36" ht="65.25" customHeight="1" spans="1:13">
      <c r="A36" s="416"/>
      <c r="B36" s="417" t="s">
        <v>103</v>
      </c>
      <c r="C36" s="424" t="s">
        <v>139</v>
      </c>
      <c r="D36" s="418" t="s">
        <v>140</v>
      </c>
      <c r="E36" s="417" t="s">
        <v>141</v>
      </c>
      <c r="F36" s="419" t="s">
        <v>142</v>
      </c>
      <c r="G36" s="423" t="s">
        <v>28</v>
      </c>
      <c r="H36" s="420"/>
      <c r="I36" s="420" t="s">
        <v>24</v>
      </c>
      <c r="J36" s="420"/>
      <c r="K36" s="420"/>
      <c r="L36" s="417" t="s">
        <v>143</v>
      </c>
      <c r="M36" s="420"/>
    </row>
    <row r="37" ht="65.25" hidden="1" customHeight="1" spans="1:13">
      <c r="A37" s="416" t="s">
        <v>30</v>
      </c>
      <c r="B37" s="417" t="s">
        <v>103</v>
      </c>
      <c r="C37" s="418" t="s">
        <v>144</v>
      </c>
      <c r="D37" s="418" t="s">
        <v>145</v>
      </c>
      <c r="E37" s="417"/>
      <c r="F37" s="419"/>
      <c r="G37" s="423" t="s">
        <v>28</v>
      </c>
      <c r="H37" s="420"/>
      <c r="I37" s="420"/>
      <c r="J37" s="420"/>
      <c r="K37" s="420"/>
      <c r="L37" s="417" t="s">
        <v>146</v>
      </c>
      <c r="M37" s="420"/>
    </row>
    <row r="38" ht="158.25" customHeight="1" spans="1:13">
      <c r="A38" s="420"/>
      <c r="B38" s="417" t="s">
        <v>103</v>
      </c>
      <c r="C38" s="424" t="s">
        <v>147</v>
      </c>
      <c r="D38" s="418" t="s">
        <v>148</v>
      </c>
      <c r="E38" s="417" t="s">
        <v>149</v>
      </c>
      <c r="F38" s="419" t="s">
        <v>150</v>
      </c>
      <c r="G38" s="423" t="s">
        <v>28</v>
      </c>
      <c r="H38" s="420"/>
      <c r="I38" s="420" t="s">
        <v>24</v>
      </c>
      <c r="J38" s="420"/>
      <c r="K38" s="420"/>
      <c r="L38" s="417" t="s">
        <v>151</v>
      </c>
      <c r="M38" s="420"/>
    </row>
    <row r="39" ht="65.25" hidden="1" customHeight="1" spans="1:13">
      <c r="A39" s="416" t="s">
        <v>30</v>
      </c>
      <c r="B39" s="417" t="s">
        <v>103</v>
      </c>
      <c r="C39" s="418" t="s">
        <v>152</v>
      </c>
      <c r="D39" s="418" t="s">
        <v>153</v>
      </c>
      <c r="E39" s="417"/>
      <c r="F39" s="419"/>
      <c r="G39" s="420"/>
      <c r="H39" s="420"/>
      <c r="I39" s="420"/>
      <c r="J39" s="420"/>
      <c r="K39" s="420"/>
      <c r="L39" s="417" t="s">
        <v>154</v>
      </c>
      <c r="M39" s="420"/>
    </row>
    <row r="40" ht="87" hidden="1" customHeight="1" spans="1:13">
      <c r="A40" s="416" t="s">
        <v>30</v>
      </c>
      <c r="B40" s="417" t="s">
        <v>103</v>
      </c>
      <c r="C40" s="421" t="s">
        <v>155</v>
      </c>
      <c r="D40" s="418" t="s">
        <v>156</v>
      </c>
      <c r="E40" s="417" t="s">
        <v>157</v>
      </c>
      <c r="F40" s="419" t="s">
        <v>158</v>
      </c>
      <c r="G40" s="423" t="s">
        <v>28</v>
      </c>
      <c r="H40" s="420"/>
      <c r="I40" s="420"/>
      <c r="J40" s="420"/>
      <c r="K40" s="420"/>
      <c r="L40" s="417" t="s">
        <v>159</v>
      </c>
      <c r="M40" s="420"/>
    </row>
    <row r="41" ht="87" hidden="1" customHeight="1" spans="1:13">
      <c r="A41" s="416" t="s">
        <v>30</v>
      </c>
      <c r="B41" s="417" t="s">
        <v>103</v>
      </c>
      <c r="C41" s="425" t="s">
        <v>160</v>
      </c>
      <c r="D41" s="418" t="s">
        <v>161</v>
      </c>
      <c r="E41" s="417" t="s">
        <v>69</v>
      </c>
      <c r="F41" s="419" t="s">
        <v>122</v>
      </c>
      <c r="G41" s="423"/>
      <c r="H41" s="420"/>
      <c r="I41" s="420"/>
      <c r="J41" s="420"/>
      <c r="K41" s="420"/>
      <c r="L41" s="417" t="s">
        <v>162</v>
      </c>
      <c r="M41" s="420"/>
    </row>
    <row r="42" ht="153" customHeight="1" spans="1:13">
      <c r="A42" s="420"/>
      <c r="B42" s="417" t="s">
        <v>163</v>
      </c>
      <c r="C42" s="418" t="s">
        <v>164</v>
      </c>
      <c r="D42" s="421" t="s">
        <v>165</v>
      </c>
      <c r="E42" s="417" t="s">
        <v>100</v>
      </c>
      <c r="F42" s="419" t="s">
        <v>166</v>
      </c>
      <c r="G42" s="423" t="s">
        <v>28</v>
      </c>
      <c r="H42" s="420"/>
      <c r="I42" s="420" t="s">
        <v>24</v>
      </c>
      <c r="J42" s="420"/>
      <c r="K42" s="420"/>
      <c r="L42" s="417" t="s">
        <v>167</v>
      </c>
      <c r="M42" s="420"/>
    </row>
    <row r="43" ht="65.25" hidden="1" customHeight="1" spans="1:13">
      <c r="A43" s="416" t="s">
        <v>30</v>
      </c>
      <c r="B43" s="417" t="s">
        <v>163</v>
      </c>
      <c r="C43" s="418" t="s">
        <v>168</v>
      </c>
      <c r="D43" s="421" t="s">
        <v>169</v>
      </c>
      <c r="E43" s="417"/>
      <c r="F43" s="419"/>
      <c r="G43" s="420"/>
      <c r="H43" s="420"/>
      <c r="I43" s="420"/>
      <c r="J43" s="420"/>
      <c r="K43" s="420"/>
      <c r="L43" s="417"/>
      <c r="M43" s="420"/>
    </row>
    <row r="44" ht="65.25" hidden="1" customHeight="1" spans="1:13">
      <c r="A44" s="416" t="s">
        <v>30</v>
      </c>
      <c r="B44" s="417" t="s">
        <v>163</v>
      </c>
      <c r="C44" s="418" t="s">
        <v>170</v>
      </c>
      <c r="D44" s="421" t="s">
        <v>171</v>
      </c>
      <c r="E44" s="417"/>
      <c r="F44" s="419"/>
      <c r="G44" s="420"/>
      <c r="H44" s="420"/>
      <c r="I44" s="420"/>
      <c r="J44" s="420"/>
      <c r="K44" s="420"/>
      <c r="L44" s="417"/>
      <c r="M44" s="420"/>
    </row>
    <row r="45" ht="65.25" hidden="1" customHeight="1" spans="1:13">
      <c r="A45" s="416" t="s">
        <v>30</v>
      </c>
      <c r="B45" s="417" t="s">
        <v>163</v>
      </c>
      <c r="C45" s="418" t="s">
        <v>172</v>
      </c>
      <c r="D45" s="421" t="s">
        <v>173</v>
      </c>
      <c r="E45" s="417"/>
      <c r="F45" s="419"/>
      <c r="G45" s="420"/>
      <c r="H45" s="420"/>
      <c r="I45" s="420"/>
      <c r="J45" s="420"/>
      <c r="K45" s="420"/>
      <c r="L45" s="417"/>
      <c r="M45" s="420"/>
    </row>
    <row r="46" ht="65.25" hidden="1" customHeight="1" spans="1:13">
      <c r="A46" s="416" t="s">
        <v>30</v>
      </c>
      <c r="B46" s="417" t="s">
        <v>163</v>
      </c>
      <c r="C46" s="418" t="s">
        <v>174</v>
      </c>
      <c r="D46" s="421" t="s">
        <v>175</v>
      </c>
      <c r="E46" s="417"/>
      <c r="F46" s="419"/>
      <c r="G46" s="420"/>
      <c r="H46" s="420"/>
      <c r="I46" s="420"/>
      <c r="J46" s="420"/>
      <c r="K46" s="420"/>
      <c r="L46" s="417"/>
      <c r="M46" s="420"/>
    </row>
    <row r="47" ht="65.25" hidden="1" customHeight="1" spans="1:13">
      <c r="A47" s="416" t="s">
        <v>30</v>
      </c>
      <c r="B47" s="417" t="s">
        <v>163</v>
      </c>
      <c r="C47" s="418" t="s">
        <v>176</v>
      </c>
      <c r="D47" s="421" t="s">
        <v>177</v>
      </c>
      <c r="E47" s="417"/>
      <c r="F47" s="419"/>
      <c r="G47" s="420"/>
      <c r="H47" s="420"/>
      <c r="I47" s="420"/>
      <c r="J47" s="420"/>
      <c r="K47" s="420"/>
      <c r="L47" s="417"/>
      <c r="M47" s="420"/>
    </row>
    <row r="48" ht="65.25" hidden="1" customHeight="1" spans="1:13">
      <c r="A48" s="416" t="s">
        <v>30</v>
      </c>
      <c r="B48" s="417" t="s">
        <v>163</v>
      </c>
      <c r="C48" s="418" t="s">
        <v>178</v>
      </c>
      <c r="D48" s="421" t="s">
        <v>179</v>
      </c>
      <c r="E48" s="417"/>
      <c r="F48" s="419"/>
      <c r="G48" s="420"/>
      <c r="H48" s="420"/>
      <c r="I48" s="420"/>
      <c r="J48" s="420"/>
      <c r="K48" s="420"/>
      <c r="L48" s="417"/>
      <c r="M48" s="420"/>
    </row>
    <row r="49" ht="65.25" customHeight="1" spans="1:13">
      <c r="A49" s="420"/>
      <c r="B49" s="417" t="s">
        <v>163</v>
      </c>
      <c r="C49" s="418" t="s">
        <v>180</v>
      </c>
      <c r="D49" s="421" t="s">
        <v>181</v>
      </c>
      <c r="E49" s="417"/>
      <c r="F49" s="419"/>
      <c r="G49" s="418" t="s">
        <v>182</v>
      </c>
      <c r="H49" s="420"/>
      <c r="I49" s="420" t="s">
        <v>24</v>
      </c>
      <c r="J49" s="420"/>
      <c r="K49" s="420"/>
      <c r="L49" s="429" t="s">
        <v>183</v>
      </c>
      <c r="M49" s="420"/>
    </row>
    <row r="50" ht="65.25" hidden="1" customHeight="1" spans="1:13">
      <c r="A50" s="416" t="s">
        <v>30</v>
      </c>
      <c r="B50" s="417" t="s">
        <v>163</v>
      </c>
      <c r="C50" s="418" t="s">
        <v>184</v>
      </c>
      <c r="D50" s="421" t="s">
        <v>185</v>
      </c>
      <c r="E50" s="417"/>
      <c r="F50" s="419"/>
      <c r="G50" s="420"/>
      <c r="H50" s="420"/>
      <c r="I50" s="420"/>
      <c r="J50" s="420"/>
      <c r="K50" s="420"/>
      <c r="L50" s="417"/>
      <c r="M50" s="420"/>
    </row>
    <row r="51" ht="65.25" hidden="1" customHeight="1" spans="1:13">
      <c r="A51" s="416" t="s">
        <v>30</v>
      </c>
      <c r="B51" s="417" t="s">
        <v>163</v>
      </c>
      <c r="C51" s="418" t="s">
        <v>186</v>
      </c>
      <c r="D51" s="421" t="s">
        <v>187</v>
      </c>
      <c r="E51" s="417"/>
      <c r="F51" s="419"/>
      <c r="G51" s="420"/>
      <c r="H51" s="420"/>
      <c r="I51" s="420"/>
      <c r="J51" s="420"/>
      <c r="K51" s="420"/>
      <c r="L51" s="417"/>
      <c r="M51" s="420"/>
    </row>
    <row r="52" ht="65.25" hidden="1" customHeight="1" spans="1:13">
      <c r="A52" s="416" t="s">
        <v>30</v>
      </c>
      <c r="B52" s="417" t="s">
        <v>163</v>
      </c>
      <c r="C52" s="418" t="s">
        <v>188</v>
      </c>
      <c r="D52" s="421" t="s">
        <v>189</v>
      </c>
      <c r="E52" s="417"/>
      <c r="F52" s="419"/>
      <c r="G52" s="420"/>
      <c r="H52" s="420"/>
      <c r="I52" s="420"/>
      <c r="J52" s="420"/>
      <c r="K52" s="420"/>
      <c r="L52" s="417"/>
      <c r="M52" s="420"/>
    </row>
    <row r="53" ht="65.25" hidden="1" customHeight="1" spans="1:13">
      <c r="A53" s="416" t="s">
        <v>30</v>
      </c>
      <c r="B53" s="417" t="s">
        <v>190</v>
      </c>
      <c r="C53" s="418" t="s">
        <v>191</v>
      </c>
      <c r="D53" s="426" t="s">
        <v>192</v>
      </c>
      <c r="E53" s="417"/>
      <c r="F53" s="419"/>
      <c r="G53" s="420"/>
      <c r="H53" s="420"/>
      <c r="I53" s="420"/>
      <c r="J53" s="420"/>
      <c r="K53" s="420"/>
      <c r="L53" s="417"/>
      <c r="M53" s="420"/>
    </row>
    <row r="54" ht="65.25" hidden="1" customHeight="1" spans="1:13">
      <c r="A54" s="416" t="s">
        <v>30</v>
      </c>
      <c r="B54" s="417" t="s">
        <v>190</v>
      </c>
      <c r="C54" s="418" t="s">
        <v>193</v>
      </c>
      <c r="D54" s="426" t="s">
        <v>194</v>
      </c>
      <c r="E54" s="417"/>
      <c r="F54" s="419"/>
      <c r="G54" s="420"/>
      <c r="H54" s="420"/>
      <c r="I54" s="420"/>
      <c r="J54" s="420"/>
      <c r="K54" s="420"/>
      <c r="L54" s="417"/>
      <c r="M54" s="420"/>
    </row>
    <row r="55" ht="65.25" hidden="1" customHeight="1" spans="1:13">
      <c r="A55" s="416" t="s">
        <v>30</v>
      </c>
      <c r="B55" s="417" t="s">
        <v>190</v>
      </c>
      <c r="C55" s="418" t="s">
        <v>195</v>
      </c>
      <c r="D55" s="426" t="s">
        <v>196</v>
      </c>
      <c r="E55" s="417"/>
      <c r="F55" s="419"/>
      <c r="G55" s="420"/>
      <c r="H55" s="420"/>
      <c r="I55" s="420"/>
      <c r="J55" s="420"/>
      <c r="K55" s="420"/>
      <c r="L55" s="417"/>
      <c r="M55" s="420"/>
    </row>
    <row r="56" ht="65.25" hidden="1" customHeight="1" spans="1:13">
      <c r="A56" s="416" t="s">
        <v>30</v>
      </c>
      <c r="B56" s="417" t="s">
        <v>190</v>
      </c>
      <c r="C56" s="418" t="s">
        <v>197</v>
      </c>
      <c r="D56" s="426" t="s">
        <v>198</v>
      </c>
      <c r="E56" s="417"/>
      <c r="F56" s="419"/>
      <c r="G56" s="420"/>
      <c r="H56" s="420"/>
      <c r="I56" s="420"/>
      <c r="J56" s="420"/>
      <c r="K56" s="420"/>
      <c r="L56" s="417"/>
      <c r="M56" s="420"/>
    </row>
    <row r="57" ht="65.25" hidden="1" customHeight="1" spans="1:13">
      <c r="A57" s="416" t="s">
        <v>30</v>
      </c>
      <c r="B57" s="417" t="s">
        <v>190</v>
      </c>
      <c r="C57" s="418" t="s">
        <v>199</v>
      </c>
      <c r="D57" s="426" t="s">
        <v>200</v>
      </c>
      <c r="E57" s="417"/>
      <c r="F57" s="419"/>
      <c r="G57" s="420"/>
      <c r="H57" s="420"/>
      <c r="I57" s="420"/>
      <c r="J57" s="420"/>
      <c r="K57" s="420"/>
      <c r="L57" s="417"/>
      <c r="M57" s="420"/>
    </row>
    <row r="58" ht="65.25" hidden="1" customHeight="1" spans="1:13">
      <c r="A58" s="416" t="s">
        <v>30</v>
      </c>
      <c r="B58" s="417" t="s">
        <v>190</v>
      </c>
      <c r="C58" s="418" t="s">
        <v>201</v>
      </c>
      <c r="D58" s="426" t="s">
        <v>202</v>
      </c>
      <c r="E58" s="417"/>
      <c r="F58" s="419"/>
      <c r="G58" s="420"/>
      <c r="H58" s="420"/>
      <c r="I58" s="420"/>
      <c r="J58" s="420"/>
      <c r="K58" s="420"/>
      <c r="L58" s="417"/>
      <c r="M58" s="420"/>
    </row>
    <row r="59" ht="65.25" customHeight="1" spans="1:13">
      <c r="A59" s="420"/>
      <c r="B59" s="417" t="s">
        <v>190</v>
      </c>
      <c r="C59" s="418" t="s">
        <v>203</v>
      </c>
      <c r="D59" s="426" t="s">
        <v>204</v>
      </c>
      <c r="E59" s="417" t="s">
        <v>205</v>
      </c>
      <c r="F59" s="419" t="s">
        <v>206</v>
      </c>
      <c r="G59" s="423" t="s">
        <v>28</v>
      </c>
      <c r="H59" s="420"/>
      <c r="I59" s="420" t="s">
        <v>24</v>
      </c>
      <c r="J59" s="420"/>
      <c r="K59" s="420"/>
      <c r="L59" s="417" t="s">
        <v>207</v>
      </c>
      <c r="M59" s="420"/>
    </row>
    <row r="60" ht="145.5" customHeight="1" spans="1:13">
      <c r="A60" s="420"/>
      <c r="B60" s="417" t="s">
        <v>190</v>
      </c>
      <c r="C60" s="418" t="s">
        <v>208</v>
      </c>
      <c r="D60" s="426" t="s">
        <v>209</v>
      </c>
      <c r="E60" s="417" t="s">
        <v>69</v>
      </c>
      <c r="F60" s="419" t="s">
        <v>70</v>
      </c>
      <c r="G60" s="420" t="s">
        <v>71</v>
      </c>
      <c r="H60" s="420"/>
      <c r="I60" s="420" t="s">
        <v>24</v>
      </c>
      <c r="J60" s="420"/>
      <c r="K60" s="420"/>
      <c r="L60" s="417" t="s">
        <v>210</v>
      </c>
      <c r="M60" s="420"/>
    </row>
    <row r="61" ht="65.25" customHeight="1" spans="1:13">
      <c r="A61" s="420"/>
      <c r="B61" s="417" t="s">
        <v>190</v>
      </c>
      <c r="C61" s="418" t="s">
        <v>211</v>
      </c>
      <c r="D61" s="426" t="s">
        <v>212</v>
      </c>
      <c r="E61" s="417"/>
      <c r="F61" s="419"/>
      <c r="G61" s="418" t="s">
        <v>213</v>
      </c>
      <c r="H61" s="420"/>
      <c r="I61" s="420" t="s">
        <v>24</v>
      </c>
      <c r="J61" s="420"/>
      <c r="K61" s="420"/>
      <c r="L61" s="417" t="s">
        <v>214</v>
      </c>
      <c r="M61" s="420"/>
    </row>
    <row r="62" ht="65.25" customHeight="1" spans="1:13">
      <c r="A62" s="420"/>
      <c r="B62" s="417" t="s">
        <v>190</v>
      </c>
      <c r="C62" s="418" t="s">
        <v>215</v>
      </c>
      <c r="D62" s="426" t="s">
        <v>216</v>
      </c>
      <c r="E62" s="417"/>
      <c r="F62" s="419"/>
      <c r="G62" s="418" t="s">
        <v>217</v>
      </c>
      <c r="H62" s="420"/>
      <c r="I62" s="420" t="s">
        <v>24</v>
      </c>
      <c r="J62" s="420"/>
      <c r="K62" s="420"/>
      <c r="L62" s="417" t="s">
        <v>218</v>
      </c>
      <c r="M62" s="420"/>
    </row>
    <row r="63" ht="65.25" hidden="1" customHeight="1" spans="1:13">
      <c r="A63" s="416" t="s">
        <v>30</v>
      </c>
      <c r="B63" s="417" t="s">
        <v>190</v>
      </c>
      <c r="C63" s="418" t="s">
        <v>172</v>
      </c>
      <c r="D63" s="426" t="s">
        <v>219</v>
      </c>
      <c r="E63" s="417"/>
      <c r="F63" s="419"/>
      <c r="G63" s="420"/>
      <c r="H63" s="420"/>
      <c r="I63" s="420"/>
      <c r="J63" s="420"/>
      <c r="K63" s="420"/>
      <c r="L63" s="417"/>
      <c r="M63" s="420"/>
    </row>
    <row r="64" ht="65.25" hidden="1" customHeight="1" spans="1:13">
      <c r="A64" s="416" t="s">
        <v>30</v>
      </c>
      <c r="B64" s="417" t="s">
        <v>190</v>
      </c>
      <c r="C64" s="418" t="s">
        <v>174</v>
      </c>
      <c r="D64" s="426" t="s">
        <v>220</v>
      </c>
      <c r="E64" s="417"/>
      <c r="F64" s="419"/>
      <c r="G64" s="420"/>
      <c r="H64" s="420"/>
      <c r="I64" s="420"/>
      <c r="J64" s="420"/>
      <c r="K64" s="420"/>
      <c r="L64" s="417"/>
      <c r="M64" s="420"/>
    </row>
    <row r="65" ht="65.25" hidden="1" customHeight="1" spans="1:13">
      <c r="A65" s="416" t="s">
        <v>30</v>
      </c>
      <c r="B65" s="417" t="s">
        <v>190</v>
      </c>
      <c r="C65" s="418" t="s">
        <v>176</v>
      </c>
      <c r="D65" s="426" t="s">
        <v>177</v>
      </c>
      <c r="E65" s="417"/>
      <c r="F65" s="419"/>
      <c r="G65" s="420"/>
      <c r="H65" s="420"/>
      <c r="I65" s="420"/>
      <c r="J65" s="420"/>
      <c r="K65" s="420"/>
      <c r="L65" s="417"/>
      <c r="M65" s="420"/>
    </row>
    <row r="66" ht="65.25" hidden="1" customHeight="1" spans="1:13">
      <c r="A66" s="416" t="s">
        <v>30</v>
      </c>
      <c r="B66" s="417" t="s">
        <v>190</v>
      </c>
      <c r="C66" s="418" t="s">
        <v>186</v>
      </c>
      <c r="D66" s="426" t="s">
        <v>187</v>
      </c>
      <c r="E66" s="417"/>
      <c r="F66" s="419"/>
      <c r="G66" s="420"/>
      <c r="H66" s="420"/>
      <c r="I66" s="420"/>
      <c r="J66" s="420"/>
      <c r="K66" s="420"/>
      <c r="L66" s="417"/>
      <c r="M66" s="420"/>
    </row>
    <row r="67" ht="65.25" hidden="1" customHeight="1" spans="1:13">
      <c r="A67" s="416" t="s">
        <v>30</v>
      </c>
      <c r="B67" s="417" t="s">
        <v>190</v>
      </c>
      <c r="C67" s="418" t="s">
        <v>188</v>
      </c>
      <c r="D67" s="426" t="s">
        <v>189</v>
      </c>
      <c r="E67" s="417"/>
      <c r="F67" s="419"/>
      <c r="G67" s="420"/>
      <c r="H67" s="420"/>
      <c r="I67" s="420"/>
      <c r="J67" s="420"/>
      <c r="K67" s="420"/>
      <c r="L67" s="417"/>
      <c r="M67" s="420"/>
    </row>
    <row r="68" ht="101.25" hidden="1" spans="1:2">
      <c r="A68" s="432" t="s">
        <v>221</v>
      </c>
      <c r="B68" s="411" t="s">
        <v>222</v>
      </c>
    </row>
    <row r="69" ht="101.25" hidden="1" spans="1:2">
      <c r="A69" s="416" t="s">
        <v>221</v>
      </c>
      <c r="B69" s="411" t="s">
        <v>223</v>
      </c>
    </row>
    <row r="70" ht="101.25" hidden="1" spans="1:2">
      <c r="A70" s="416" t="s">
        <v>221</v>
      </c>
      <c r="B70" s="411" t="s">
        <v>224</v>
      </c>
    </row>
    <row r="71" ht="101.25" hidden="1" spans="1:2">
      <c r="A71" s="416" t="s">
        <v>221</v>
      </c>
      <c r="B71" s="411" t="s">
        <v>225</v>
      </c>
    </row>
    <row r="72" ht="101.25" hidden="1" spans="1:2">
      <c r="A72" s="416" t="s">
        <v>221</v>
      </c>
      <c r="B72" s="411" t="s">
        <v>226</v>
      </c>
    </row>
  </sheetData>
  <autoFilter ref="A2:M72">
    <filterColumn colId="0">
      <filters blank="1"/>
    </filterColumn>
    <extLst/>
  </autoFilter>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2:J15"/>
  <sheetViews>
    <sheetView zoomScale="80" zoomScaleNormal="80" topLeftCell="A13" workbookViewId="0">
      <selection activeCell="C15" sqref="C15"/>
    </sheetView>
  </sheetViews>
  <sheetFormatPr defaultColWidth="9.25" defaultRowHeight="13.5"/>
  <cols>
    <col min="1" max="1" width="9.25" style="400"/>
    <col min="2" max="2" width="12.25" style="400" customWidth="1"/>
    <col min="3" max="3" width="134.875" style="400" customWidth="1"/>
    <col min="4" max="16384" width="9.25" style="400"/>
  </cols>
  <sheetData>
    <row r="2" ht="24.75" spans="3:10">
      <c r="C2" s="401" t="s">
        <v>227</v>
      </c>
      <c r="D2" s="401"/>
      <c r="E2" s="401"/>
      <c r="F2" s="401"/>
      <c r="G2" s="401"/>
      <c r="H2" s="401"/>
      <c r="I2" s="401"/>
      <c r="J2" s="401"/>
    </row>
    <row r="3" ht="24.75" spans="3:10">
      <c r="C3" s="401"/>
      <c r="D3" s="401"/>
      <c r="E3" s="401"/>
      <c r="F3" s="401"/>
      <c r="G3" s="401"/>
      <c r="H3" s="401"/>
      <c r="I3" s="401"/>
      <c r="J3" s="401"/>
    </row>
    <row r="4" spans="1:4">
      <c r="A4" s="402" t="s">
        <v>228</v>
      </c>
      <c r="B4" s="402" t="s">
        <v>229</v>
      </c>
      <c r="C4" s="402" t="s">
        <v>230</v>
      </c>
      <c r="D4" s="402" t="s">
        <v>231</v>
      </c>
    </row>
    <row r="5" customFormat="1" spans="1:4">
      <c r="A5" s="403" t="s">
        <v>232</v>
      </c>
      <c r="B5" s="404">
        <v>44565</v>
      </c>
      <c r="C5" s="405" t="s">
        <v>233</v>
      </c>
      <c r="D5" s="406" t="s">
        <v>234</v>
      </c>
    </row>
    <row r="6" spans="1:4">
      <c r="A6" s="403" t="s">
        <v>235</v>
      </c>
      <c r="B6" s="404">
        <v>44648</v>
      </c>
      <c r="C6" s="405" t="s">
        <v>236</v>
      </c>
      <c r="D6" s="406" t="s">
        <v>234</v>
      </c>
    </row>
    <row r="7" ht="216" spans="1:4">
      <c r="A7" s="403" t="s">
        <v>237</v>
      </c>
      <c r="B7" s="404">
        <v>44650</v>
      </c>
      <c r="C7" s="407" t="s">
        <v>238</v>
      </c>
      <c r="D7" s="406" t="s">
        <v>234</v>
      </c>
    </row>
    <row r="8" ht="238.9" customHeight="1" spans="1:4">
      <c r="A8" s="403" t="s">
        <v>239</v>
      </c>
      <c r="B8" s="404">
        <v>44672</v>
      </c>
      <c r="C8" s="408" t="s">
        <v>240</v>
      </c>
      <c r="D8" s="406" t="s">
        <v>234</v>
      </c>
    </row>
    <row r="9" ht="286.9" customHeight="1" spans="1:4">
      <c r="A9" s="403" t="s">
        <v>241</v>
      </c>
      <c r="B9" s="404">
        <v>44673</v>
      </c>
      <c r="C9" s="408" t="s">
        <v>242</v>
      </c>
      <c r="D9" s="406" t="s">
        <v>234</v>
      </c>
    </row>
    <row r="10" ht="175.5" spans="1:4">
      <c r="A10" s="403" t="s">
        <v>243</v>
      </c>
      <c r="B10" s="404">
        <v>44673</v>
      </c>
      <c r="C10" s="408" t="s">
        <v>244</v>
      </c>
      <c r="D10" s="406" t="s">
        <v>234</v>
      </c>
    </row>
    <row r="11" ht="54" spans="1:4">
      <c r="A11" s="403" t="s">
        <v>245</v>
      </c>
      <c r="B11" s="404">
        <v>44675</v>
      </c>
      <c r="C11" s="408" t="s">
        <v>246</v>
      </c>
      <c r="D11" s="406" t="s">
        <v>234</v>
      </c>
    </row>
    <row r="12" ht="40.5" spans="1:4">
      <c r="A12" s="403" t="s">
        <v>247</v>
      </c>
      <c r="B12" s="404">
        <v>44685</v>
      </c>
      <c r="C12" s="408" t="s">
        <v>248</v>
      </c>
      <c r="D12" s="406" t="s">
        <v>234</v>
      </c>
    </row>
    <row r="13" ht="27" spans="1:4">
      <c r="A13" s="403" t="s">
        <v>249</v>
      </c>
      <c r="B13" s="404">
        <v>44687</v>
      </c>
      <c r="C13" s="408" t="s">
        <v>250</v>
      </c>
      <c r="D13" s="406" t="s">
        <v>234</v>
      </c>
    </row>
    <row r="14" ht="67.5" spans="1:4">
      <c r="A14" s="403" t="s">
        <v>251</v>
      </c>
      <c r="B14" s="409">
        <v>44698</v>
      </c>
      <c r="C14" s="408" t="s">
        <v>252</v>
      </c>
      <c r="D14" s="406" t="s">
        <v>234</v>
      </c>
    </row>
    <row r="15" ht="409.5" customHeight="1" spans="1:4">
      <c r="A15" s="403" t="s">
        <v>253</v>
      </c>
      <c r="B15" s="409">
        <v>44703</v>
      </c>
      <c r="C15" s="408" t="s">
        <v>254</v>
      </c>
      <c r="D15" s="406" t="s">
        <v>234</v>
      </c>
    </row>
  </sheetData>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2:J16"/>
  <sheetViews>
    <sheetView topLeftCell="B1" workbookViewId="0">
      <selection activeCell="B28" sqref="B28"/>
    </sheetView>
  </sheetViews>
  <sheetFormatPr defaultColWidth="9" defaultRowHeight="13.5"/>
  <cols>
    <col min="2" max="2" width="11.5" customWidth="1"/>
    <col min="3" max="3" width="3.5" customWidth="1"/>
    <col min="4" max="4" width="13.875" customWidth="1"/>
    <col min="5" max="5" width="16.625" style="370" customWidth="1"/>
    <col min="6" max="6" width="15.5" style="32" customWidth="1"/>
    <col min="7" max="7" width="74.875" customWidth="1"/>
    <col min="8" max="8" width="24.875" customWidth="1"/>
    <col min="9" max="9" width="20.625" customWidth="1"/>
  </cols>
  <sheetData>
    <row r="2" spans="1:9">
      <c r="A2" s="370"/>
      <c r="B2" s="370"/>
      <c r="C2" s="370"/>
      <c r="D2" s="370"/>
      <c r="G2" s="370"/>
      <c r="H2" s="370"/>
      <c r="I2" s="370"/>
    </row>
    <row r="3" ht="25.5" spans="1:9">
      <c r="A3" s="370"/>
      <c r="B3" s="371" t="s">
        <v>255</v>
      </c>
      <c r="C3" s="371"/>
      <c r="D3" s="371"/>
      <c r="E3" s="371"/>
      <c r="F3" s="371"/>
      <c r="G3" s="371"/>
      <c r="H3" s="371"/>
      <c r="I3" s="371"/>
    </row>
    <row r="4" ht="25.5" spans="1:9">
      <c r="A4" s="370"/>
      <c r="B4" s="371"/>
      <c r="C4" s="371"/>
      <c r="D4" s="371"/>
      <c r="E4" s="372"/>
      <c r="F4" s="371"/>
      <c r="G4" s="371"/>
      <c r="H4" s="371"/>
      <c r="I4" s="371"/>
    </row>
    <row r="5" spans="1:9">
      <c r="A5" s="370"/>
      <c r="B5" s="373" t="s">
        <v>256</v>
      </c>
      <c r="C5" s="373"/>
      <c r="D5" s="373"/>
      <c r="E5" s="373"/>
      <c r="F5" s="373"/>
      <c r="G5" s="373"/>
      <c r="H5" s="373"/>
      <c r="I5" s="373"/>
    </row>
    <row r="6" ht="29.25" customHeight="1" spans="1:9">
      <c r="A6" s="370"/>
      <c r="B6" s="374" t="s">
        <v>255</v>
      </c>
      <c r="C6" s="375"/>
      <c r="D6" s="375"/>
      <c r="E6" s="375"/>
      <c r="F6" s="375"/>
      <c r="G6" s="375"/>
      <c r="H6" s="375"/>
      <c r="I6" s="375"/>
    </row>
    <row r="7" ht="36.75" customHeight="1" spans="1:9">
      <c r="A7" s="370"/>
      <c r="B7" s="376" t="s">
        <v>257</v>
      </c>
      <c r="C7" s="377"/>
      <c r="D7" s="378" t="s">
        <v>258</v>
      </c>
      <c r="E7" s="379"/>
      <c r="F7" s="379"/>
      <c r="G7" s="379"/>
      <c r="H7" s="379"/>
      <c r="I7" s="397"/>
    </row>
    <row r="8" spans="1:9">
      <c r="A8" s="370"/>
      <c r="B8" s="380"/>
      <c r="C8" s="380"/>
      <c r="D8" s="380"/>
      <c r="E8" s="381"/>
      <c r="F8" s="382"/>
      <c r="G8" s="380"/>
      <c r="H8" s="380"/>
      <c r="I8" s="380"/>
    </row>
    <row r="9" spans="1:9">
      <c r="A9" s="370"/>
      <c r="B9" s="380"/>
      <c r="C9" s="380"/>
      <c r="D9" s="380"/>
      <c r="E9" s="381"/>
      <c r="F9" s="382"/>
      <c r="G9" s="380"/>
      <c r="H9" s="380"/>
      <c r="I9" s="380"/>
    </row>
    <row r="10" spans="1:9">
      <c r="A10" s="370"/>
      <c r="B10" s="383" t="s">
        <v>259</v>
      </c>
      <c r="C10" s="384"/>
      <c r="D10" s="385" t="s">
        <v>228</v>
      </c>
      <c r="E10" s="383" t="s">
        <v>260</v>
      </c>
      <c r="F10" s="386" t="s">
        <v>261</v>
      </c>
      <c r="G10" s="386" t="s">
        <v>262</v>
      </c>
      <c r="H10" s="376" t="s">
        <v>263</v>
      </c>
      <c r="I10" s="398"/>
    </row>
    <row r="11" ht="24" customHeight="1" spans="1:9">
      <c r="A11" s="370"/>
      <c r="B11" s="387" t="s">
        <v>264</v>
      </c>
      <c r="C11" s="388"/>
      <c r="D11" s="389" t="s">
        <v>265</v>
      </c>
      <c r="E11" s="390" t="s">
        <v>266</v>
      </c>
      <c r="F11" s="391">
        <v>42535</v>
      </c>
      <c r="G11" s="392"/>
      <c r="H11" s="393"/>
      <c r="I11" s="399"/>
    </row>
    <row r="15" ht="22.5" spans="4:10">
      <c r="D15" s="394"/>
      <c r="E15" s="395"/>
      <c r="F15" s="394"/>
      <c r="G15" s="394" t="s">
        <v>267</v>
      </c>
      <c r="H15" s="394"/>
      <c r="I15" s="394"/>
      <c r="J15" s="394"/>
    </row>
    <row r="16" ht="22.5" spans="4:10">
      <c r="D16" s="396"/>
      <c r="E16" s="396"/>
      <c r="F16" s="396"/>
      <c r="G16" s="396"/>
      <c r="H16" s="396"/>
      <c r="I16" s="396"/>
      <c r="J16" s="396"/>
    </row>
  </sheetData>
  <mergeCells count="9">
    <mergeCell ref="B3:I3"/>
    <mergeCell ref="B5:I5"/>
    <mergeCell ref="B6:I6"/>
    <mergeCell ref="B7:C7"/>
    <mergeCell ref="D7:I7"/>
    <mergeCell ref="H10:I10"/>
    <mergeCell ref="B11:C11"/>
    <mergeCell ref="H11:I11"/>
    <mergeCell ref="D16:J16"/>
  </mergeCell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G23"/>
  <sheetViews>
    <sheetView workbookViewId="0">
      <selection activeCell="B11" sqref="B11"/>
    </sheetView>
  </sheetViews>
  <sheetFormatPr defaultColWidth="9" defaultRowHeight="13.5" outlineLevelCol="6"/>
  <cols>
    <col min="1" max="1" width="4.75" customWidth="1"/>
    <col min="2" max="2" width="63" customWidth="1"/>
    <col min="3" max="3" width="29.375" customWidth="1"/>
    <col min="4" max="6" width="10.375" customWidth="1"/>
    <col min="7" max="7" width="4.75" customWidth="1"/>
  </cols>
  <sheetData>
    <row r="1" s="355" customFormat="1" ht="24" customHeight="1" spans="1:7">
      <c r="A1" s="357" t="s">
        <v>268</v>
      </c>
      <c r="B1" s="357" t="s">
        <v>269</v>
      </c>
      <c r="C1" s="357" t="s">
        <v>270</v>
      </c>
      <c r="D1" s="357" t="s">
        <v>271</v>
      </c>
      <c r="E1" s="357" t="s">
        <v>272</v>
      </c>
      <c r="F1" s="357" t="s">
        <v>273</v>
      </c>
      <c r="G1" s="357" t="s">
        <v>274</v>
      </c>
    </row>
    <row r="2" s="176" customFormat="1" spans="1:7">
      <c r="A2" s="358" t="s">
        <v>275</v>
      </c>
      <c r="B2" s="359" t="s">
        <v>276</v>
      </c>
      <c r="C2" s="360" t="s">
        <v>277</v>
      </c>
      <c r="D2" s="361">
        <f>COUNTIF(SA!$E:$E,"M")</f>
        <v>56</v>
      </c>
      <c r="E2" s="361">
        <f>COUNTIF(SA!$E:$E,"MC")</f>
        <v>49</v>
      </c>
      <c r="F2" s="361">
        <f>COUNTIF(SA!$E:$E,"O")</f>
        <v>0</v>
      </c>
      <c r="G2" s="361">
        <f t="shared" ref="G2:G22" si="0">SUM($D2:$F2)</f>
        <v>105</v>
      </c>
    </row>
    <row r="3" s="176" customFormat="1" spans="1:7">
      <c r="A3" s="358" t="s">
        <v>278</v>
      </c>
      <c r="B3" s="359" t="s">
        <v>276</v>
      </c>
      <c r="C3" s="360" t="s">
        <v>279</v>
      </c>
      <c r="D3" s="361">
        <f>COUNTIF(SB!$E:$E,"M")</f>
        <v>20</v>
      </c>
      <c r="E3" s="361">
        <f>COUNTIF(SB!$E:$E,"MC")</f>
        <v>0</v>
      </c>
      <c r="F3" s="361">
        <f>COUNTIF(SB!$E:$E,"O")</f>
        <v>0</v>
      </c>
      <c r="G3" s="361">
        <f t="shared" si="0"/>
        <v>20</v>
      </c>
    </row>
    <row r="4" s="176" customFormat="1" spans="1:7">
      <c r="A4" s="358" t="s">
        <v>280</v>
      </c>
      <c r="B4" s="359" t="s">
        <v>281</v>
      </c>
      <c r="C4" s="360" t="s">
        <v>282</v>
      </c>
      <c r="D4" s="361">
        <f>COUNTIF(SC!$E:$E,"M")</f>
        <v>3</v>
      </c>
      <c r="E4" s="361">
        <f>COUNTIF(SC!$E:$E,"MC")</f>
        <v>0</v>
      </c>
      <c r="F4" s="361">
        <f>COUNTIF(SC!$E:$E,"O")</f>
        <v>2</v>
      </c>
      <c r="G4" s="361">
        <f t="shared" si="0"/>
        <v>5</v>
      </c>
    </row>
    <row r="5" s="176" customFormat="1" spans="1:7">
      <c r="A5" s="358" t="s">
        <v>283</v>
      </c>
      <c r="B5" s="359" t="s">
        <v>284</v>
      </c>
      <c r="C5" s="360" t="s">
        <v>285</v>
      </c>
      <c r="D5" s="361">
        <f>COUNTIF(SD!$E:$E,"M")</f>
        <v>10</v>
      </c>
      <c r="E5" s="361">
        <f>COUNTIF(SD!$E:$E,"MC")</f>
        <v>0</v>
      </c>
      <c r="F5" s="361">
        <f>COUNTIF(SD!$E:$E,"O")</f>
        <v>9</v>
      </c>
      <c r="G5" s="361">
        <f t="shared" si="0"/>
        <v>19</v>
      </c>
    </row>
    <row r="6" s="176" customFormat="1" spans="1:7">
      <c r="A6" s="358" t="s">
        <v>286</v>
      </c>
      <c r="B6" s="359" t="s">
        <v>287</v>
      </c>
      <c r="C6" s="360" t="s">
        <v>288</v>
      </c>
      <c r="D6" s="361">
        <f>COUNTIF(SE!$E:$E,"M")</f>
        <v>59</v>
      </c>
      <c r="E6" s="361">
        <f>COUNTIF(SE!$E:$E,"MC")</f>
        <v>0</v>
      </c>
      <c r="F6" s="361">
        <f>COUNTIF(SE!$E:$E,"O")</f>
        <v>0</v>
      </c>
      <c r="G6" s="361">
        <f t="shared" si="0"/>
        <v>59</v>
      </c>
    </row>
    <row r="7" s="176" customFormat="1" spans="1:7">
      <c r="A7" s="358" t="s">
        <v>289</v>
      </c>
      <c r="B7" s="359" t="s">
        <v>290</v>
      </c>
      <c r="C7" s="360" t="s">
        <v>291</v>
      </c>
      <c r="D7" s="361">
        <f>COUNTIF(SF!$E:$E,"M")</f>
        <v>5</v>
      </c>
      <c r="E7" s="361">
        <f>COUNTIF(SF!$E:$E,"MC")</f>
        <v>0</v>
      </c>
      <c r="F7" s="361">
        <f>COUNTIF(SF!$E:$E,"O")</f>
        <v>1</v>
      </c>
      <c r="G7" s="361">
        <f t="shared" si="0"/>
        <v>6</v>
      </c>
    </row>
    <row r="8" s="356" customFormat="1" spans="1:7">
      <c r="A8" s="358" t="s">
        <v>292</v>
      </c>
      <c r="B8" s="362" t="s">
        <v>293</v>
      </c>
      <c r="C8" s="363" t="s">
        <v>294</v>
      </c>
      <c r="D8" s="358">
        <f>COUNTIF(SG!$E:$E,"M")</f>
        <v>29</v>
      </c>
      <c r="E8" s="358">
        <f>COUNTIF(SG!$E:$E,"MC")</f>
        <v>0</v>
      </c>
      <c r="F8" s="358">
        <f>COUNTIF(SG!$E:$E,"O")</f>
        <v>16</v>
      </c>
      <c r="G8" s="361">
        <f t="shared" si="0"/>
        <v>45</v>
      </c>
    </row>
    <row r="9" s="356" customFormat="1" spans="1:7">
      <c r="A9" s="358" t="s">
        <v>295</v>
      </c>
      <c r="B9" s="362" t="s">
        <v>296</v>
      </c>
      <c r="C9" s="363" t="s">
        <v>297</v>
      </c>
      <c r="D9" s="358">
        <f>COUNTIF(SH!$E:$E,"M")</f>
        <v>1</v>
      </c>
      <c r="E9" s="358">
        <f>COUNTIF(SH!$E:$E,"MC")</f>
        <v>0</v>
      </c>
      <c r="F9" s="358">
        <f>COUNTIF(SH!$E:$E,"O")</f>
        <v>0</v>
      </c>
      <c r="G9" s="361">
        <f t="shared" si="0"/>
        <v>1</v>
      </c>
    </row>
    <row r="10" s="356" customFormat="1" spans="1:7">
      <c r="A10" s="358" t="s">
        <v>298</v>
      </c>
      <c r="B10" s="362" t="s">
        <v>299</v>
      </c>
      <c r="C10" s="363" t="s">
        <v>300</v>
      </c>
      <c r="D10" s="358">
        <f>COUNTIF(SI!$E:$E,"M")</f>
        <v>3</v>
      </c>
      <c r="E10" s="358">
        <f>COUNTIF(SI!$E:$E,"MC")</f>
        <v>17</v>
      </c>
      <c r="F10" s="358">
        <f>COUNTIF(SI!$E:$E,"O")</f>
        <v>17</v>
      </c>
      <c r="G10" s="361">
        <f t="shared" si="0"/>
        <v>37</v>
      </c>
    </row>
    <row r="11" s="176" customFormat="1" spans="1:7">
      <c r="A11" s="364" t="s">
        <v>301</v>
      </c>
      <c r="B11" s="359" t="s">
        <v>302</v>
      </c>
      <c r="C11" s="360" t="s">
        <v>303</v>
      </c>
      <c r="D11" s="361">
        <f>COUNTIF(SJ!$E:$E,"M")</f>
        <v>39</v>
      </c>
      <c r="E11" s="361">
        <f>COUNTIF(SJ!$E:$E,"MC")</f>
        <v>0</v>
      </c>
      <c r="F11" s="361">
        <f>COUNTIF(SJ!$E:$E,"O")</f>
        <v>34</v>
      </c>
      <c r="G11" s="361">
        <f t="shared" si="0"/>
        <v>73</v>
      </c>
    </row>
    <row r="12" s="176" customFormat="1" spans="1:7">
      <c r="A12" s="358" t="s">
        <v>304</v>
      </c>
      <c r="B12" s="359" t="s">
        <v>305</v>
      </c>
      <c r="C12" s="360" t="s">
        <v>306</v>
      </c>
      <c r="D12" s="361">
        <f>COUNTIF(SK!$E:$E,"M")</f>
        <v>120</v>
      </c>
      <c r="E12" s="361">
        <f>COUNTIF(SK!$E:$E,"MC")</f>
        <v>130</v>
      </c>
      <c r="F12" s="361">
        <f>COUNTIF(SK!$E:$E,"O")</f>
        <v>15</v>
      </c>
      <c r="G12" s="361">
        <f t="shared" si="0"/>
        <v>265</v>
      </c>
    </row>
    <row r="13" s="176" customFormat="1" spans="1:7">
      <c r="A13" s="358" t="s">
        <v>307</v>
      </c>
      <c r="B13" s="359" t="s">
        <v>308</v>
      </c>
      <c r="C13" s="360" t="s">
        <v>309</v>
      </c>
      <c r="D13" s="361">
        <f>COUNTIF(SL!$E:$E,"M")</f>
        <v>24</v>
      </c>
      <c r="E13" s="361">
        <f>COUNTIF(SL!$E:$E,"MC")</f>
        <v>8</v>
      </c>
      <c r="F13" s="361">
        <f>COUNTIF(SL!$E:$E,"O")</f>
        <v>0</v>
      </c>
      <c r="G13" s="361">
        <f t="shared" si="0"/>
        <v>32</v>
      </c>
    </row>
    <row r="14" s="176" customFormat="1" spans="1:7">
      <c r="A14" s="358" t="s">
        <v>310</v>
      </c>
      <c r="B14" s="359" t="s">
        <v>311</v>
      </c>
      <c r="C14" s="360" t="s">
        <v>312</v>
      </c>
      <c r="D14" s="361">
        <f>COUNTIF(SM!$E:$E,"M")</f>
        <v>128</v>
      </c>
      <c r="E14" s="361">
        <f>COUNTIF(SM!$E:$E,"MC")</f>
        <v>59</v>
      </c>
      <c r="F14" s="361">
        <f>COUNTIF(SM!$E:$E,"O")</f>
        <v>63</v>
      </c>
      <c r="G14" s="361">
        <f t="shared" si="0"/>
        <v>250</v>
      </c>
    </row>
    <row r="15" s="176" customFormat="1" spans="1:7">
      <c r="A15" s="364" t="s">
        <v>313</v>
      </c>
      <c r="B15" s="359" t="s">
        <v>314</v>
      </c>
      <c r="C15" s="360" t="s">
        <v>315</v>
      </c>
      <c r="D15" s="361">
        <f>COUNTIF(SN!$E:$E,"M")</f>
        <v>9</v>
      </c>
      <c r="E15" s="361">
        <f>COUNTIF(SN!$E:$E,"MC")</f>
        <v>0</v>
      </c>
      <c r="F15" s="361">
        <f>COUNTIF(SN!$E:$E,"O")</f>
        <v>0</v>
      </c>
      <c r="G15" s="361">
        <f t="shared" si="0"/>
        <v>9</v>
      </c>
    </row>
    <row r="16" s="176" customFormat="1" spans="1:7">
      <c r="A16" s="358" t="s">
        <v>316</v>
      </c>
      <c r="B16" s="359" t="s">
        <v>317</v>
      </c>
      <c r="C16" s="360" t="s">
        <v>318</v>
      </c>
      <c r="D16" s="361">
        <f>COUNTIF(SO!$E:$E,"M")</f>
        <v>20</v>
      </c>
      <c r="E16" s="361">
        <f>COUNTIF(SO!$E:$E,"MC")</f>
        <v>11</v>
      </c>
      <c r="F16" s="361">
        <f>COUNTIF(SO!$E:$E,"O")</f>
        <v>5</v>
      </c>
      <c r="G16" s="361">
        <f t="shared" si="0"/>
        <v>36</v>
      </c>
    </row>
    <row r="17" s="176" customFormat="1" spans="1:7">
      <c r="A17" s="364" t="s">
        <v>319</v>
      </c>
      <c r="B17" s="359" t="s">
        <v>320</v>
      </c>
      <c r="C17" s="360" t="s">
        <v>321</v>
      </c>
      <c r="D17" s="361">
        <f>COUNTIF(SP!$E:$E,"M")</f>
        <v>5</v>
      </c>
      <c r="E17" s="361">
        <f>COUNTIF(SP!$E:$E,"MC")</f>
        <v>0</v>
      </c>
      <c r="F17" s="361">
        <f>COUNTIF(SP!$E:$E,"O")</f>
        <v>3</v>
      </c>
      <c r="G17" s="361">
        <f t="shared" si="0"/>
        <v>8</v>
      </c>
    </row>
    <row r="18" s="176" customFormat="1" spans="1:7">
      <c r="A18" s="364" t="s">
        <v>322</v>
      </c>
      <c r="B18" s="359" t="s">
        <v>323</v>
      </c>
      <c r="C18" s="360" t="s">
        <v>324</v>
      </c>
      <c r="D18" s="361">
        <f>COUNTIF(SQ!$E:$E,"M")</f>
        <v>0</v>
      </c>
      <c r="E18" s="361">
        <f>COUNTIF(SQ!$E:$E,"MC")</f>
        <v>0</v>
      </c>
      <c r="F18" s="361">
        <f>COUNTIF(SQ!$E:$E,"O")</f>
        <v>3</v>
      </c>
      <c r="G18" s="361">
        <f t="shared" si="0"/>
        <v>3</v>
      </c>
    </row>
    <row r="19" s="176" customFormat="1" spans="1:7">
      <c r="A19" s="358" t="s">
        <v>325</v>
      </c>
      <c r="B19" s="359" t="s">
        <v>326</v>
      </c>
      <c r="C19" s="360" t="s">
        <v>327</v>
      </c>
      <c r="D19" s="361">
        <f>COUNTIF(SR!$E:$E,"M")</f>
        <v>0</v>
      </c>
      <c r="E19" s="361">
        <f>COUNTIF(SR!$E:$E,"MC")</f>
        <v>13</v>
      </c>
      <c r="F19" s="361">
        <f>COUNTIF(SR!$E:$E,"O")</f>
        <v>0</v>
      </c>
      <c r="G19" s="361">
        <f t="shared" si="0"/>
        <v>13</v>
      </c>
    </row>
    <row r="20" s="176" customFormat="1" spans="1:7">
      <c r="A20" s="364" t="s">
        <v>328</v>
      </c>
      <c r="B20" s="359" t="s">
        <v>329</v>
      </c>
      <c r="C20" s="360" t="s">
        <v>330</v>
      </c>
      <c r="D20" s="361">
        <f>COUNTIF(SS!$E:$E,"M")</f>
        <v>10</v>
      </c>
      <c r="E20" s="361">
        <f>COUNTIF(SS!$E:$E,"MC")</f>
        <v>0</v>
      </c>
      <c r="F20" s="361">
        <f>COUNTIF(SS!$E:$E,"O")</f>
        <v>0</v>
      </c>
      <c r="G20" s="361">
        <f t="shared" si="0"/>
        <v>10</v>
      </c>
    </row>
    <row r="21" s="176" customFormat="1" spans="1:7">
      <c r="A21" s="365" t="s">
        <v>331</v>
      </c>
      <c r="B21" s="366" t="s">
        <v>332</v>
      </c>
      <c r="C21" s="367" t="s">
        <v>333</v>
      </c>
      <c r="D21" s="361">
        <f>COUNTIF(ST!$E:$E,"M")</f>
        <v>8</v>
      </c>
      <c r="E21" s="361">
        <f>COUNTIF(ST!$E:$E,"MC")</f>
        <v>0</v>
      </c>
      <c r="F21" s="361">
        <f>COUNTIF(ST!$E:$E,"O")</f>
        <v>24</v>
      </c>
      <c r="G21" s="361">
        <f t="shared" si="0"/>
        <v>32</v>
      </c>
    </row>
    <row r="22" ht="30" customHeight="1" spans="1:7">
      <c r="A22" s="357" t="s">
        <v>334</v>
      </c>
      <c r="B22" s="357"/>
      <c r="C22" s="357"/>
      <c r="D22" s="357">
        <f>SUM(D2:D21)</f>
        <v>549</v>
      </c>
      <c r="E22" s="357">
        <f>SUM(E2:E21)</f>
        <v>287</v>
      </c>
      <c r="F22" s="357">
        <f>SUM(F2:F21)</f>
        <v>192</v>
      </c>
      <c r="G22" s="357">
        <f t="shared" si="0"/>
        <v>1028</v>
      </c>
    </row>
    <row r="23" spans="1:2">
      <c r="A23" s="368"/>
      <c r="B23" s="369"/>
    </row>
  </sheetData>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J106"/>
  <sheetViews>
    <sheetView tabSelected="1" workbookViewId="0">
      <pane xSplit="1" ySplit="1" topLeftCell="B80" activePane="bottomRight" state="frozen"/>
      <selection/>
      <selection pane="topRight"/>
      <selection pane="bottomLeft"/>
      <selection pane="bottomRight" activeCell="G102" sqref="G102"/>
    </sheetView>
  </sheetViews>
  <sheetFormatPr defaultColWidth="48.125" defaultRowHeight="16.5"/>
  <cols>
    <col min="1" max="1" width="13.125" style="340" customWidth="1"/>
    <col min="2" max="2" width="50.875" style="341" customWidth="1"/>
    <col min="3" max="3" width="21.375" style="342" customWidth="1"/>
    <col min="4" max="4" width="10.5" style="343" customWidth="1"/>
    <col min="5" max="5" width="6.375" style="343" customWidth="1"/>
    <col min="6" max="6" width="6.25" style="343" customWidth="1"/>
    <col min="7" max="7" width="10.5" style="343" customWidth="1"/>
    <col min="8" max="8" width="39.5" style="343" customWidth="1"/>
    <col min="9" max="16384" width="48.125" style="344"/>
  </cols>
  <sheetData>
    <row r="1" s="337" customFormat="1" ht="21" customHeight="1" spans="1:9">
      <c r="A1" s="11" t="s">
        <v>335</v>
      </c>
      <c r="B1" s="11" t="s">
        <v>336</v>
      </c>
      <c r="C1" s="33" t="s">
        <v>2</v>
      </c>
      <c r="D1" s="11" t="s">
        <v>3</v>
      </c>
      <c r="E1" s="11" t="s">
        <v>337</v>
      </c>
      <c r="F1" s="11" t="s">
        <v>8</v>
      </c>
      <c r="G1" s="11" t="s">
        <v>6</v>
      </c>
      <c r="H1" s="11" t="s">
        <v>338</v>
      </c>
      <c r="I1" s="11" t="s">
        <v>339</v>
      </c>
    </row>
    <row r="2" ht="12" customHeight="1" spans="1:9">
      <c r="A2" s="345" t="s">
        <v>340</v>
      </c>
      <c r="B2" s="54" t="s">
        <v>341</v>
      </c>
      <c r="C2" s="330" t="s">
        <v>342</v>
      </c>
      <c r="D2" s="54" t="s">
        <v>343</v>
      </c>
      <c r="E2" s="38" t="s">
        <v>344</v>
      </c>
      <c r="F2" s="38" t="s">
        <v>57</v>
      </c>
      <c r="G2" s="54" t="s">
        <v>345</v>
      </c>
      <c r="H2" s="54" t="s">
        <v>346</v>
      </c>
      <c r="I2" s="334"/>
    </row>
    <row r="3" ht="13.5" spans="1:9">
      <c r="A3" s="346"/>
      <c r="B3" s="54" t="s">
        <v>347</v>
      </c>
      <c r="C3" s="330" t="s">
        <v>348</v>
      </c>
      <c r="D3" s="54" t="s">
        <v>349</v>
      </c>
      <c r="E3" s="38" t="s">
        <v>344</v>
      </c>
      <c r="F3" s="38" t="s">
        <v>57</v>
      </c>
      <c r="G3" s="54" t="s">
        <v>350</v>
      </c>
      <c r="H3" s="54" t="s">
        <v>346</v>
      </c>
      <c r="I3" s="334"/>
    </row>
    <row r="4" ht="13.5" spans="1:9">
      <c r="A4" s="346"/>
      <c r="B4" s="54" t="s">
        <v>351</v>
      </c>
      <c r="C4" s="330" t="s">
        <v>352</v>
      </c>
      <c r="D4" s="54" t="s">
        <v>353</v>
      </c>
      <c r="E4" s="38" t="s">
        <v>344</v>
      </c>
      <c r="F4" s="38" t="s">
        <v>57</v>
      </c>
      <c r="G4" s="54" t="s">
        <v>354</v>
      </c>
      <c r="H4" s="54" t="s">
        <v>346</v>
      </c>
      <c r="I4" s="334"/>
    </row>
    <row r="5" ht="13.5" spans="1:9">
      <c r="A5" s="346"/>
      <c r="B5" s="54" t="s">
        <v>355</v>
      </c>
      <c r="C5" s="330" t="s">
        <v>356</v>
      </c>
      <c r="D5" s="54" t="s">
        <v>357</v>
      </c>
      <c r="E5" s="38" t="s">
        <v>344</v>
      </c>
      <c r="F5" s="38" t="s">
        <v>57</v>
      </c>
      <c r="G5" s="54" t="s">
        <v>354</v>
      </c>
      <c r="H5" s="54" t="s">
        <v>346</v>
      </c>
      <c r="I5" s="334"/>
    </row>
    <row r="6" ht="13.5" spans="1:9">
      <c r="A6" s="346"/>
      <c r="B6" s="54" t="s">
        <v>358</v>
      </c>
      <c r="C6" s="330" t="s">
        <v>359</v>
      </c>
      <c r="D6" s="54" t="s">
        <v>360</v>
      </c>
      <c r="E6" s="38" t="s">
        <v>344</v>
      </c>
      <c r="F6" s="38" t="s">
        <v>57</v>
      </c>
      <c r="G6" s="54" t="s">
        <v>354</v>
      </c>
      <c r="H6" s="54" t="s">
        <v>346</v>
      </c>
      <c r="I6" s="334"/>
    </row>
    <row r="7" ht="13.5" spans="1:9">
      <c r="A7" s="346"/>
      <c r="B7" s="54" t="s">
        <v>361</v>
      </c>
      <c r="C7" s="330" t="s">
        <v>362</v>
      </c>
      <c r="D7" s="54" t="s">
        <v>363</v>
      </c>
      <c r="E7" s="38" t="s">
        <v>344</v>
      </c>
      <c r="F7" s="38" t="s">
        <v>57</v>
      </c>
      <c r="G7" s="54" t="s">
        <v>354</v>
      </c>
      <c r="H7" s="54" t="s">
        <v>346</v>
      </c>
      <c r="I7" s="334"/>
    </row>
    <row r="8" s="338" customFormat="1" ht="12" spans="1:9">
      <c r="A8" s="346"/>
      <c r="B8" s="40" t="s">
        <v>364</v>
      </c>
      <c r="C8" s="134" t="s">
        <v>365</v>
      </c>
      <c r="D8" s="40" t="s">
        <v>366</v>
      </c>
      <c r="E8" s="38" t="s">
        <v>344</v>
      </c>
      <c r="F8" s="50" t="s">
        <v>57</v>
      </c>
      <c r="G8" s="40" t="s">
        <v>354</v>
      </c>
      <c r="H8" s="40" t="s">
        <v>346</v>
      </c>
      <c r="I8" s="335"/>
    </row>
    <row r="9" s="338" customFormat="1" ht="12" spans="1:9">
      <c r="A9" s="346"/>
      <c r="B9" s="40" t="s">
        <v>367</v>
      </c>
      <c r="C9" s="134" t="s">
        <v>368</v>
      </c>
      <c r="D9" s="40" t="s">
        <v>369</v>
      </c>
      <c r="E9" s="38" t="s">
        <v>344</v>
      </c>
      <c r="F9" s="50" t="s">
        <v>57</v>
      </c>
      <c r="G9" s="40" t="s">
        <v>354</v>
      </c>
      <c r="H9" s="40" t="s">
        <v>346</v>
      </c>
      <c r="I9" s="335"/>
    </row>
    <row r="10" s="338" customFormat="1" ht="12" spans="1:9">
      <c r="A10" s="346"/>
      <c r="B10" s="40" t="s">
        <v>370</v>
      </c>
      <c r="C10" s="134" t="s">
        <v>371</v>
      </c>
      <c r="D10" s="40" t="s">
        <v>372</v>
      </c>
      <c r="E10" s="38" t="s">
        <v>344</v>
      </c>
      <c r="F10" s="50" t="s">
        <v>57</v>
      </c>
      <c r="G10" s="40" t="s">
        <v>354</v>
      </c>
      <c r="H10" s="40" t="s">
        <v>346</v>
      </c>
      <c r="I10" s="335"/>
    </row>
    <row r="11" ht="13.5" spans="1:9">
      <c r="A11" s="346"/>
      <c r="B11" s="54" t="s">
        <v>373</v>
      </c>
      <c r="C11" s="330" t="s">
        <v>374</v>
      </c>
      <c r="D11" s="54" t="s">
        <v>375</v>
      </c>
      <c r="E11" s="38" t="s">
        <v>344</v>
      </c>
      <c r="F11" s="38" t="s">
        <v>57</v>
      </c>
      <c r="G11" s="54" t="s">
        <v>354</v>
      </c>
      <c r="H11" s="54" t="s">
        <v>346</v>
      </c>
      <c r="I11" s="334"/>
    </row>
    <row r="12" ht="13.5" spans="1:9">
      <c r="A12" s="346"/>
      <c r="B12" s="54" t="s">
        <v>376</v>
      </c>
      <c r="C12" s="330" t="s">
        <v>377</v>
      </c>
      <c r="D12" s="54" t="s">
        <v>378</v>
      </c>
      <c r="E12" s="38" t="s">
        <v>344</v>
      </c>
      <c r="F12" s="38" t="s">
        <v>57</v>
      </c>
      <c r="G12" s="54" t="s">
        <v>354</v>
      </c>
      <c r="H12" s="54" t="s">
        <v>346</v>
      </c>
      <c r="I12" s="334"/>
    </row>
    <row r="13" ht="33.75" spans="1:8">
      <c r="A13" s="346"/>
      <c r="B13" s="330" t="s">
        <v>379</v>
      </c>
      <c r="C13" s="54" t="s">
        <v>380</v>
      </c>
      <c r="D13" s="54" t="s">
        <v>381</v>
      </c>
      <c r="E13" s="38" t="s">
        <v>344</v>
      </c>
      <c r="F13" s="38" t="s">
        <v>57</v>
      </c>
      <c r="G13" s="54" t="s">
        <v>382</v>
      </c>
      <c r="H13" s="308" t="s">
        <v>383</v>
      </c>
    </row>
    <row r="14" ht="22.5" spans="1:9">
      <c r="A14" s="346"/>
      <c r="B14" s="332" t="s">
        <v>384</v>
      </c>
      <c r="C14" s="332" t="s">
        <v>385</v>
      </c>
      <c r="D14" s="332" t="s">
        <v>386</v>
      </c>
      <c r="E14" s="38" t="s">
        <v>344</v>
      </c>
      <c r="F14" s="38" t="s">
        <v>24</v>
      </c>
      <c r="G14" s="332" t="s">
        <v>71</v>
      </c>
      <c r="H14" s="332" t="s">
        <v>387</v>
      </c>
      <c r="I14" s="334"/>
    </row>
    <row r="15" ht="13.5" spans="1:9">
      <c r="A15" s="346"/>
      <c r="B15" s="54" t="s">
        <v>388</v>
      </c>
      <c r="C15" s="330" t="s">
        <v>389</v>
      </c>
      <c r="D15" s="54" t="s">
        <v>390</v>
      </c>
      <c r="E15" s="38" t="s">
        <v>344</v>
      </c>
      <c r="F15" s="38" t="s">
        <v>57</v>
      </c>
      <c r="G15" s="54" t="s">
        <v>391</v>
      </c>
      <c r="H15" s="54" t="s">
        <v>392</v>
      </c>
      <c r="I15" s="308" t="s">
        <v>393</v>
      </c>
    </row>
    <row r="16" ht="22.5" spans="1:9">
      <c r="A16" s="346"/>
      <c r="B16" s="330" t="s">
        <v>394</v>
      </c>
      <c r="C16" s="330" t="s">
        <v>395</v>
      </c>
      <c r="D16" s="54" t="s">
        <v>396</v>
      </c>
      <c r="E16" s="38" t="s">
        <v>344</v>
      </c>
      <c r="F16" s="38" t="s">
        <v>57</v>
      </c>
      <c r="G16" s="54" t="s">
        <v>397</v>
      </c>
      <c r="H16" s="54" t="s">
        <v>398</v>
      </c>
      <c r="I16" s="334"/>
    </row>
    <row r="17" ht="97.9" customHeight="1" spans="1:9">
      <c r="A17" s="346"/>
      <c r="B17" s="134" t="s">
        <v>399</v>
      </c>
      <c r="C17" s="134" t="s">
        <v>400</v>
      </c>
      <c r="D17" s="40" t="s">
        <v>401</v>
      </c>
      <c r="E17" s="50" t="s">
        <v>344</v>
      </c>
      <c r="F17" s="50" t="s">
        <v>57</v>
      </c>
      <c r="G17" s="40" t="s">
        <v>402</v>
      </c>
      <c r="H17" s="40" t="s">
        <v>403</v>
      </c>
      <c r="I17" s="334"/>
    </row>
    <row r="18" ht="33.75" spans="1:9">
      <c r="A18" s="346"/>
      <c r="B18" s="134" t="s">
        <v>404</v>
      </c>
      <c r="C18" s="134" t="s">
        <v>405</v>
      </c>
      <c r="D18" s="40" t="s">
        <v>406</v>
      </c>
      <c r="E18" s="50" t="s">
        <v>344</v>
      </c>
      <c r="F18" s="50" t="s">
        <v>57</v>
      </c>
      <c r="G18" s="40" t="s">
        <v>382</v>
      </c>
      <c r="H18" s="40" t="s">
        <v>407</v>
      </c>
      <c r="I18" s="334"/>
    </row>
    <row r="19" customFormat="1" ht="56.25" spans="1:9">
      <c r="A19" s="346"/>
      <c r="B19" s="332" t="s">
        <v>408</v>
      </c>
      <c r="C19" s="332" t="s">
        <v>409</v>
      </c>
      <c r="D19" s="332" t="s">
        <v>410</v>
      </c>
      <c r="E19" s="38" t="s">
        <v>344</v>
      </c>
      <c r="F19" s="333" t="s">
        <v>57</v>
      </c>
      <c r="G19" s="332" t="s">
        <v>411</v>
      </c>
      <c r="H19" s="332" t="s">
        <v>412</v>
      </c>
      <c r="I19" s="334"/>
    </row>
    <row r="20" customFormat="1" ht="33.75" spans="1:9">
      <c r="A20" s="346"/>
      <c r="B20" s="332" t="s">
        <v>413</v>
      </c>
      <c r="C20" s="332" t="s">
        <v>380</v>
      </c>
      <c r="D20" s="332" t="s">
        <v>414</v>
      </c>
      <c r="E20" s="38" t="s">
        <v>344</v>
      </c>
      <c r="F20" s="333" t="s">
        <v>57</v>
      </c>
      <c r="G20" s="332" t="s">
        <v>382</v>
      </c>
      <c r="H20" s="332" t="s">
        <v>415</v>
      </c>
      <c r="I20" s="334"/>
    </row>
    <row r="21" customFormat="1" ht="13.5" spans="1:9">
      <c r="A21" s="346"/>
      <c r="B21" s="332" t="s">
        <v>416</v>
      </c>
      <c r="C21" s="332" t="s">
        <v>417</v>
      </c>
      <c r="D21" s="332" t="s">
        <v>418</v>
      </c>
      <c r="E21" s="38" t="s">
        <v>344</v>
      </c>
      <c r="F21" s="333" t="s">
        <v>57</v>
      </c>
      <c r="G21" s="332" t="s">
        <v>419</v>
      </c>
      <c r="H21" s="332" t="s">
        <v>420</v>
      </c>
      <c r="I21" s="334"/>
    </row>
    <row r="22" customFormat="1" ht="22.5" spans="1:9">
      <c r="A22" s="346"/>
      <c r="B22" s="332" t="s">
        <v>421</v>
      </c>
      <c r="C22" s="332" t="s">
        <v>422</v>
      </c>
      <c r="D22" s="332" t="s">
        <v>423</v>
      </c>
      <c r="E22" s="38" t="s">
        <v>344</v>
      </c>
      <c r="F22" s="333" t="s">
        <v>57</v>
      </c>
      <c r="G22" s="165" t="s">
        <v>397</v>
      </c>
      <c r="H22" s="347" t="s">
        <v>398</v>
      </c>
      <c r="I22" s="334"/>
    </row>
    <row r="23" s="27" customFormat="1" ht="22.5" spans="1:9">
      <c r="A23" s="346"/>
      <c r="B23" s="330" t="s">
        <v>424</v>
      </c>
      <c r="C23" s="330" t="s">
        <v>425</v>
      </c>
      <c r="D23" s="54" t="s">
        <v>426</v>
      </c>
      <c r="E23" s="38" t="s">
        <v>344</v>
      </c>
      <c r="F23" s="38" t="s">
        <v>57</v>
      </c>
      <c r="G23" s="54" t="s">
        <v>354</v>
      </c>
      <c r="H23" s="54" t="s">
        <v>427</v>
      </c>
      <c r="I23" s="334"/>
    </row>
    <row r="24" s="27" customFormat="1" ht="22.5" spans="1:9">
      <c r="A24" s="346"/>
      <c r="B24" s="330" t="s">
        <v>428</v>
      </c>
      <c r="C24" s="330" t="s">
        <v>429</v>
      </c>
      <c r="D24" s="54" t="s">
        <v>430</v>
      </c>
      <c r="E24" s="38" t="s">
        <v>344</v>
      </c>
      <c r="F24" s="38" t="s">
        <v>57</v>
      </c>
      <c r="G24" s="54" t="s">
        <v>354</v>
      </c>
      <c r="H24" s="54" t="s">
        <v>431</v>
      </c>
      <c r="I24" s="334"/>
    </row>
    <row r="25" ht="12" customHeight="1" spans="1:9">
      <c r="A25" s="346"/>
      <c r="B25" s="54" t="s">
        <v>432</v>
      </c>
      <c r="C25" s="330" t="s">
        <v>342</v>
      </c>
      <c r="D25" s="54" t="s">
        <v>343</v>
      </c>
      <c r="E25" s="38" t="s">
        <v>344</v>
      </c>
      <c r="F25" s="38" t="s">
        <v>57</v>
      </c>
      <c r="G25" s="54" t="s">
        <v>345</v>
      </c>
      <c r="H25" s="54" t="s">
        <v>346</v>
      </c>
      <c r="I25" s="334"/>
    </row>
    <row r="26" ht="13.5" spans="1:9">
      <c r="A26" s="346"/>
      <c r="B26" s="54" t="s">
        <v>433</v>
      </c>
      <c r="C26" s="330" t="s">
        <v>348</v>
      </c>
      <c r="D26" s="54" t="s">
        <v>349</v>
      </c>
      <c r="E26" s="38" t="s">
        <v>344</v>
      </c>
      <c r="F26" s="38" t="s">
        <v>57</v>
      </c>
      <c r="G26" s="54" t="s">
        <v>350</v>
      </c>
      <c r="H26" s="54" t="s">
        <v>346</v>
      </c>
      <c r="I26" s="334"/>
    </row>
    <row r="27" ht="13.5" spans="1:9">
      <c r="A27" s="346"/>
      <c r="B27" s="54" t="s">
        <v>434</v>
      </c>
      <c r="C27" s="54" t="s">
        <v>352</v>
      </c>
      <c r="D27" s="54" t="s">
        <v>353</v>
      </c>
      <c r="E27" s="38" t="s">
        <v>344</v>
      </c>
      <c r="F27" s="38" t="s">
        <v>57</v>
      </c>
      <c r="G27" s="54" t="s">
        <v>350</v>
      </c>
      <c r="H27" s="54" t="s">
        <v>346</v>
      </c>
      <c r="I27" s="336"/>
    </row>
    <row r="28" ht="12" customHeight="1" spans="1:9">
      <c r="A28" s="346"/>
      <c r="B28" s="54" t="s">
        <v>435</v>
      </c>
      <c r="C28" s="54" t="s">
        <v>356</v>
      </c>
      <c r="D28" s="54" t="s">
        <v>357</v>
      </c>
      <c r="E28" s="38" t="s">
        <v>344</v>
      </c>
      <c r="F28" s="38" t="s">
        <v>57</v>
      </c>
      <c r="G28" s="54" t="s">
        <v>354</v>
      </c>
      <c r="H28" s="54" t="s">
        <v>346</v>
      </c>
      <c r="I28" s="336"/>
    </row>
    <row r="29" ht="12" customHeight="1" spans="1:9">
      <c r="A29" s="346"/>
      <c r="B29" s="54" t="s">
        <v>436</v>
      </c>
      <c r="C29" s="54" t="s">
        <v>359</v>
      </c>
      <c r="D29" s="54" t="s">
        <v>360</v>
      </c>
      <c r="E29" s="38" t="s">
        <v>344</v>
      </c>
      <c r="F29" s="38" t="s">
        <v>57</v>
      </c>
      <c r="G29" s="54" t="s">
        <v>354</v>
      </c>
      <c r="H29" s="54" t="s">
        <v>346</v>
      </c>
      <c r="I29" s="336"/>
    </row>
    <row r="30" ht="12" customHeight="1" spans="1:9">
      <c r="A30" s="346"/>
      <c r="B30" s="54" t="s">
        <v>437</v>
      </c>
      <c r="C30" s="54" t="s">
        <v>362</v>
      </c>
      <c r="D30" s="54" t="s">
        <v>363</v>
      </c>
      <c r="E30" s="38" t="s">
        <v>344</v>
      </c>
      <c r="F30" s="38" t="s">
        <v>57</v>
      </c>
      <c r="G30" s="54" t="s">
        <v>354</v>
      </c>
      <c r="H30" s="54" t="s">
        <v>346</v>
      </c>
      <c r="I30" s="336"/>
    </row>
    <row r="31" ht="13.5" spans="1:9">
      <c r="A31" s="346"/>
      <c r="B31" s="54" t="s">
        <v>438</v>
      </c>
      <c r="C31" s="330" t="s">
        <v>374</v>
      </c>
      <c r="D31" s="54" t="s">
        <v>375</v>
      </c>
      <c r="E31" s="38" t="s">
        <v>344</v>
      </c>
      <c r="F31" s="38" t="s">
        <v>57</v>
      </c>
      <c r="G31" s="54" t="s">
        <v>354</v>
      </c>
      <c r="H31" s="54" t="s">
        <v>346</v>
      </c>
      <c r="I31" s="334"/>
    </row>
    <row r="32" s="27" customFormat="1" ht="56.65" customHeight="1" spans="1:9">
      <c r="A32" s="346"/>
      <c r="B32" s="54" t="s">
        <v>439</v>
      </c>
      <c r="C32" s="54" t="s">
        <v>440</v>
      </c>
      <c r="D32" s="54" t="s">
        <v>441</v>
      </c>
      <c r="E32" s="38" t="s">
        <v>344</v>
      </c>
      <c r="F32" s="38" t="s">
        <v>57</v>
      </c>
      <c r="G32" s="54" t="s">
        <v>354</v>
      </c>
      <c r="H32" s="308" t="s">
        <v>442</v>
      </c>
      <c r="I32" s="334"/>
    </row>
    <row r="33" ht="13.15" customHeight="1" spans="1:9">
      <c r="A33" s="346"/>
      <c r="B33" s="54" t="s">
        <v>443</v>
      </c>
      <c r="C33" s="330" t="s">
        <v>389</v>
      </c>
      <c r="D33" s="54" t="s">
        <v>390</v>
      </c>
      <c r="E33" s="38" t="s">
        <v>344</v>
      </c>
      <c r="F33" s="38" t="s">
        <v>57</v>
      </c>
      <c r="G33" s="54" t="s">
        <v>391</v>
      </c>
      <c r="H33" s="54" t="s">
        <v>392</v>
      </c>
      <c r="I33" s="308" t="s">
        <v>393</v>
      </c>
    </row>
    <row r="34" ht="37.15" customHeight="1" spans="1:9">
      <c r="A34" s="346"/>
      <c r="B34" s="40" t="s">
        <v>444</v>
      </c>
      <c r="C34" s="330" t="s">
        <v>422</v>
      </c>
      <c r="D34" s="54" t="s">
        <v>423</v>
      </c>
      <c r="E34" s="38" t="s">
        <v>344</v>
      </c>
      <c r="F34" s="38" t="s">
        <v>57</v>
      </c>
      <c r="G34" s="54" t="s">
        <v>397</v>
      </c>
      <c r="H34" s="54" t="s">
        <v>398</v>
      </c>
      <c r="I34" s="308"/>
    </row>
    <row r="35" ht="13.5" spans="1:9">
      <c r="A35" s="346"/>
      <c r="B35" s="54" t="s">
        <v>445</v>
      </c>
      <c r="C35" s="330" t="s">
        <v>446</v>
      </c>
      <c r="D35" s="54" t="s">
        <v>447</v>
      </c>
      <c r="E35" s="38" t="s">
        <v>344</v>
      </c>
      <c r="F35" s="38" t="s">
        <v>57</v>
      </c>
      <c r="G35" s="54" t="s">
        <v>419</v>
      </c>
      <c r="H35" s="54" t="s">
        <v>346</v>
      </c>
      <c r="I35" s="334"/>
    </row>
    <row r="36" ht="13.5" spans="1:9">
      <c r="A36" s="346"/>
      <c r="B36" s="54" t="s">
        <v>448</v>
      </c>
      <c r="C36" s="330" t="s">
        <v>449</v>
      </c>
      <c r="D36" s="54" t="s">
        <v>450</v>
      </c>
      <c r="E36" s="38" t="s">
        <v>344</v>
      </c>
      <c r="F36" s="38" t="s">
        <v>57</v>
      </c>
      <c r="G36" s="54" t="s">
        <v>419</v>
      </c>
      <c r="H36" s="54" t="s">
        <v>346</v>
      </c>
      <c r="I36" s="334"/>
    </row>
    <row r="37" ht="22.5" spans="1:9">
      <c r="A37" s="346"/>
      <c r="B37" s="330" t="s">
        <v>451</v>
      </c>
      <c r="C37" s="330" t="s">
        <v>395</v>
      </c>
      <c r="D37" s="54" t="s">
        <v>396</v>
      </c>
      <c r="E37" s="38" t="s">
        <v>344</v>
      </c>
      <c r="F37" s="38" t="s">
        <v>57</v>
      </c>
      <c r="G37" s="54" t="s">
        <v>397</v>
      </c>
      <c r="H37" s="54" t="s">
        <v>398</v>
      </c>
      <c r="I37" s="334"/>
    </row>
    <row r="38" s="27" customFormat="1" ht="37.5" customHeight="1" spans="1:9">
      <c r="A38" s="346"/>
      <c r="B38" s="54" t="s">
        <v>452</v>
      </c>
      <c r="C38" s="54" t="s">
        <v>380</v>
      </c>
      <c r="D38" s="54" t="s">
        <v>453</v>
      </c>
      <c r="E38" s="38" t="s">
        <v>344</v>
      </c>
      <c r="F38" s="38" t="s">
        <v>57</v>
      </c>
      <c r="G38" s="332" t="s">
        <v>382</v>
      </c>
      <c r="H38" s="308" t="s">
        <v>383</v>
      </c>
      <c r="I38" s="334"/>
    </row>
    <row r="39" s="27" customFormat="1" ht="57" customHeight="1" spans="1:8">
      <c r="A39" s="346"/>
      <c r="B39" s="54" t="s">
        <v>454</v>
      </c>
      <c r="C39" s="54" t="s">
        <v>385</v>
      </c>
      <c r="D39" s="54" t="s">
        <v>386</v>
      </c>
      <c r="E39" s="38" t="s">
        <v>344</v>
      </c>
      <c r="F39" s="333" t="s">
        <v>24</v>
      </c>
      <c r="G39" s="308" t="s">
        <v>71</v>
      </c>
      <c r="H39" s="308" t="s">
        <v>387</v>
      </c>
    </row>
    <row r="40" s="27" customFormat="1" ht="56.25" spans="1:9">
      <c r="A40" s="346"/>
      <c r="B40" s="332" t="s">
        <v>455</v>
      </c>
      <c r="C40" s="332" t="s">
        <v>409</v>
      </c>
      <c r="D40" s="332" t="s">
        <v>410</v>
      </c>
      <c r="E40" s="38" t="s">
        <v>344</v>
      </c>
      <c r="F40" s="333" t="s">
        <v>57</v>
      </c>
      <c r="G40" s="332" t="s">
        <v>411</v>
      </c>
      <c r="H40" s="332" t="s">
        <v>412</v>
      </c>
      <c r="I40" s="334"/>
    </row>
    <row r="41" s="27" customFormat="1" ht="33.75" spans="1:9">
      <c r="A41" s="346"/>
      <c r="B41" s="332" t="s">
        <v>456</v>
      </c>
      <c r="C41" s="332" t="s">
        <v>380</v>
      </c>
      <c r="D41" s="332" t="s">
        <v>414</v>
      </c>
      <c r="E41" s="38" t="s">
        <v>344</v>
      </c>
      <c r="F41" s="333" t="s">
        <v>57</v>
      </c>
      <c r="G41" s="332" t="s">
        <v>382</v>
      </c>
      <c r="H41" s="332" t="s">
        <v>415</v>
      </c>
      <c r="I41" s="334"/>
    </row>
    <row r="42" s="27" customFormat="1" ht="12" spans="1:9">
      <c r="A42" s="348"/>
      <c r="B42" s="332" t="s">
        <v>457</v>
      </c>
      <c r="C42" s="332" t="s">
        <v>417</v>
      </c>
      <c r="D42" s="332" t="s">
        <v>418</v>
      </c>
      <c r="E42" s="38" t="s">
        <v>344</v>
      </c>
      <c r="F42" s="333" t="s">
        <v>57</v>
      </c>
      <c r="G42" s="332" t="s">
        <v>419</v>
      </c>
      <c r="H42" s="332" t="s">
        <v>420</v>
      </c>
      <c r="I42" s="334"/>
    </row>
    <row r="43" s="27" customFormat="1" ht="199.9" customHeight="1" spans="1:9">
      <c r="A43" s="345" t="s">
        <v>458</v>
      </c>
      <c r="B43" s="332" t="s">
        <v>459</v>
      </c>
      <c r="C43" s="332" t="s">
        <v>460</v>
      </c>
      <c r="D43" s="332" t="s">
        <v>461</v>
      </c>
      <c r="E43" s="38" t="s">
        <v>344</v>
      </c>
      <c r="F43" s="333" t="s">
        <v>57</v>
      </c>
      <c r="G43" s="332" t="s">
        <v>354</v>
      </c>
      <c r="H43" s="332" t="s">
        <v>462</v>
      </c>
      <c r="I43" s="308" t="s">
        <v>463</v>
      </c>
    </row>
    <row r="44" ht="12" customHeight="1" spans="1:9">
      <c r="A44" s="346"/>
      <c r="B44" s="54" t="s">
        <v>464</v>
      </c>
      <c r="C44" s="330" t="s">
        <v>342</v>
      </c>
      <c r="D44" s="54" t="s">
        <v>343</v>
      </c>
      <c r="E44" s="38" t="s">
        <v>344</v>
      </c>
      <c r="F44" s="38" t="s">
        <v>57</v>
      </c>
      <c r="G44" s="54" t="s">
        <v>345</v>
      </c>
      <c r="H44" s="54" t="s">
        <v>346</v>
      </c>
      <c r="I44" s="334"/>
    </row>
    <row r="45" ht="13.5" spans="1:9">
      <c r="A45" s="346"/>
      <c r="B45" s="54" t="s">
        <v>465</v>
      </c>
      <c r="C45" s="330" t="s">
        <v>348</v>
      </c>
      <c r="D45" s="54" t="s">
        <v>349</v>
      </c>
      <c r="E45" s="38" t="s">
        <v>344</v>
      </c>
      <c r="F45" s="38" t="s">
        <v>57</v>
      </c>
      <c r="G45" s="54" t="s">
        <v>350</v>
      </c>
      <c r="H45" s="54" t="s">
        <v>346</v>
      </c>
      <c r="I45" s="334"/>
    </row>
    <row r="46" ht="13.5" spans="1:9">
      <c r="A46" s="346"/>
      <c r="B46" s="332" t="s">
        <v>466</v>
      </c>
      <c r="C46" s="332" t="s">
        <v>352</v>
      </c>
      <c r="D46" s="332" t="s">
        <v>353</v>
      </c>
      <c r="E46" s="38" t="s">
        <v>344</v>
      </c>
      <c r="F46" s="333" t="s">
        <v>57</v>
      </c>
      <c r="G46" s="332" t="s">
        <v>354</v>
      </c>
      <c r="H46" s="54" t="s">
        <v>346</v>
      </c>
      <c r="I46" s="336"/>
    </row>
    <row r="47" ht="13.5" spans="1:9">
      <c r="A47" s="346"/>
      <c r="B47" s="332" t="s">
        <v>467</v>
      </c>
      <c r="C47" s="332" t="s">
        <v>356</v>
      </c>
      <c r="D47" s="332" t="s">
        <v>357</v>
      </c>
      <c r="E47" s="38" t="s">
        <v>344</v>
      </c>
      <c r="F47" s="333" t="s">
        <v>57</v>
      </c>
      <c r="G47" s="332" t="s">
        <v>354</v>
      </c>
      <c r="H47" s="54" t="s">
        <v>346</v>
      </c>
      <c r="I47" s="336"/>
    </row>
    <row r="48" ht="13.5" spans="1:9">
      <c r="A48" s="346"/>
      <c r="B48" s="332" t="s">
        <v>468</v>
      </c>
      <c r="C48" s="332" t="s">
        <v>359</v>
      </c>
      <c r="D48" s="332" t="s">
        <v>360</v>
      </c>
      <c r="E48" s="38" t="s">
        <v>344</v>
      </c>
      <c r="F48" s="333" t="s">
        <v>57</v>
      </c>
      <c r="G48" s="332" t="s">
        <v>354</v>
      </c>
      <c r="H48" s="54" t="s">
        <v>346</v>
      </c>
      <c r="I48" s="336"/>
    </row>
    <row r="49" ht="13.5" spans="1:9">
      <c r="A49" s="346"/>
      <c r="B49" s="332" t="s">
        <v>469</v>
      </c>
      <c r="C49" s="332" t="s">
        <v>362</v>
      </c>
      <c r="D49" s="332" t="s">
        <v>363</v>
      </c>
      <c r="E49" s="38" t="s">
        <v>344</v>
      </c>
      <c r="F49" s="333" t="s">
        <v>57</v>
      </c>
      <c r="G49" s="332" t="s">
        <v>354</v>
      </c>
      <c r="H49" s="54" t="s">
        <v>346</v>
      </c>
      <c r="I49" s="336"/>
    </row>
    <row r="50" ht="13.5" spans="1:9">
      <c r="A50" s="346"/>
      <c r="B50" s="54" t="s">
        <v>470</v>
      </c>
      <c r="C50" s="330" t="s">
        <v>374</v>
      </c>
      <c r="D50" s="54" t="s">
        <v>375</v>
      </c>
      <c r="E50" s="38" t="s">
        <v>344</v>
      </c>
      <c r="F50" s="38" t="s">
        <v>57</v>
      </c>
      <c r="G50" s="54" t="s">
        <v>354</v>
      </c>
      <c r="H50" s="54" t="s">
        <v>346</v>
      </c>
      <c r="I50" s="334"/>
    </row>
    <row r="51" ht="33.75" spans="1:9">
      <c r="A51" s="346"/>
      <c r="B51" s="332" t="s">
        <v>471</v>
      </c>
      <c r="C51" s="332" t="s">
        <v>380</v>
      </c>
      <c r="D51" s="332" t="s">
        <v>414</v>
      </c>
      <c r="E51" s="38" t="s">
        <v>344</v>
      </c>
      <c r="F51" s="333" t="s">
        <v>57</v>
      </c>
      <c r="G51" s="332" t="s">
        <v>382</v>
      </c>
      <c r="H51" s="332" t="s">
        <v>383</v>
      </c>
      <c r="I51" s="336"/>
    </row>
    <row r="52" s="66" customFormat="1" ht="55.9" customHeight="1" spans="1:9">
      <c r="A52" s="346"/>
      <c r="B52" s="332" t="s">
        <v>472</v>
      </c>
      <c r="C52" s="332" t="s">
        <v>473</v>
      </c>
      <c r="D52" s="332" t="s">
        <v>474</v>
      </c>
      <c r="E52" s="333" t="s">
        <v>475</v>
      </c>
      <c r="F52" s="333" t="s">
        <v>57</v>
      </c>
      <c r="G52" s="332" t="s">
        <v>354</v>
      </c>
      <c r="H52" s="332" t="s">
        <v>476</v>
      </c>
      <c r="I52" s="349"/>
    </row>
    <row r="53" s="66" customFormat="1" ht="47.65" customHeight="1" spans="1:9">
      <c r="A53" s="346"/>
      <c r="B53" s="332" t="s">
        <v>477</v>
      </c>
      <c r="C53" s="332" t="s">
        <v>478</v>
      </c>
      <c r="D53" s="332" t="s">
        <v>479</v>
      </c>
      <c r="E53" s="333" t="s">
        <v>475</v>
      </c>
      <c r="F53" s="333" t="s">
        <v>57</v>
      </c>
      <c r="G53" s="332" t="s">
        <v>354</v>
      </c>
      <c r="H53" s="332" t="s">
        <v>480</v>
      </c>
      <c r="I53" s="349"/>
    </row>
    <row r="54" s="66" customFormat="1" ht="30" customHeight="1" spans="1:9">
      <c r="A54" s="346"/>
      <c r="B54" s="332" t="s">
        <v>481</v>
      </c>
      <c r="C54" s="332" t="s">
        <v>385</v>
      </c>
      <c r="D54" s="332" t="s">
        <v>386</v>
      </c>
      <c r="E54" s="38" t="s">
        <v>344</v>
      </c>
      <c r="F54" s="333" t="s">
        <v>24</v>
      </c>
      <c r="G54" s="332" t="s">
        <v>71</v>
      </c>
      <c r="H54" s="332" t="s">
        <v>387</v>
      </c>
      <c r="I54" s="349"/>
    </row>
    <row r="55" s="27" customFormat="1" ht="56.25" spans="1:9">
      <c r="A55" s="346"/>
      <c r="B55" s="332" t="s">
        <v>482</v>
      </c>
      <c r="C55" s="332" t="s">
        <v>409</v>
      </c>
      <c r="D55" s="332" t="s">
        <v>410</v>
      </c>
      <c r="E55" s="38" t="s">
        <v>344</v>
      </c>
      <c r="F55" s="333" t="s">
        <v>57</v>
      </c>
      <c r="G55" s="332" t="s">
        <v>411</v>
      </c>
      <c r="H55" s="332" t="s">
        <v>412</v>
      </c>
      <c r="I55" s="334"/>
    </row>
    <row r="56" s="27" customFormat="1" ht="33.75" spans="1:9">
      <c r="A56" s="346"/>
      <c r="B56" s="332" t="s">
        <v>483</v>
      </c>
      <c r="C56" s="332" t="s">
        <v>380</v>
      </c>
      <c r="D56" s="332" t="s">
        <v>414</v>
      </c>
      <c r="E56" s="38" t="s">
        <v>344</v>
      </c>
      <c r="F56" s="333" t="s">
        <v>57</v>
      </c>
      <c r="G56" s="332" t="s">
        <v>382</v>
      </c>
      <c r="H56" s="332" t="s">
        <v>415</v>
      </c>
      <c r="I56" s="334"/>
    </row>
    <row r="57" s="27" customFormat="1" ht="12" spans="1:10">
      <c r="A57" s="348"/>
      <c r="B57" s="332" t="s">
        <v>484</v>
      </c>
      <c r="C57" s="332" t="s">
        <v>417</v>
      </c>
      <c r="D57" s="332" t="s">
        <v>418</v>
      </c>
      <c r="E57" s="38" t="s">
        <v>344</v>
      </c>
      <c r="F57" s="333" t="s">
        <v>57</v>
      </c>
      <c r="G57" s="332" t="s">
        <v>419</v>
      </c>
      <c r="H57" s="332" t="s">
        <v>420</v>
      </c>
      <c r="I57" s="350"/>
      <c r="J57" s="334"/>
    </row>
    <row r="58" s="27" customFormat="1" ht="103.15" customHeight="1" spans="1:9">
      <c r="A58" s="345" t="s">
        <v>485</v>
      </c>
      <c r="B58" s="332" t="s">
        <v>486</v>
      </c>
      <c r="C58" s="332" t="s">
        <v>460</v>
      </c>
      <c r="D58" s="332" t="s">
        <v>487</v>
      </c>
      <c r="E58" s="38" t="s">
        <v>475</v>
      </c>
      <c r="F58" s="333" t="s">
        <v>57</v>
      </c>
      <c r="G58" s="332" t="s">
        <v>354</v>
      </c>
      <c r="H58" s="332" t="s">
        <v>488</v>
      </c>
      <c r="I58" s="334"/>
    </row>
    <row r="59" ht="33.75" spans="1:9">
      <c r="A59" s="346"/>
      <c r="B59" s="332" t="s">
        <v>489</v>
      </c>
      <c r="C59" s="332" t="s">
        <v>380</v>
      </c>
      <c r="D59" s="332" t="s">
        <v>414</v>
      </c>
      <c r="E59" s="38" t="s">
        <v>475</v>
      </c>
      <c r="F59" s="333" t="s">
        <v>57</v>
      </c>
      <c r="G59" s="332" t="s">
        <v>382</v>
      </c>
      <c r="H59" s="332" t="s">
        <v>383</v>
      </c>
      <c r="I59" s="336"/>
    </row>
    <row r="60" ht="12" customHeight="1" spans="1:9">
      <c r="A60" s="346"/>
      <c r="B60" s="54" t="s">
        <v>490</v>
      </c>
      <c r="C60" s="330" t="s">
        <v>342</v>
      </c>
      <c r="D60" s="54" t="s">
        <v>343</v>
      </c>
      <c r="E60" s="38" t="s">
        <v>475</v>
      </c>
      <c r="F60" s="38" t="s">
        <v>57</v>
      </c>
      <c r="G60" s="54" t="s">
        <v>345</v>
      </c>
      <c r="H60" s="54" t="s">
        <v>346</v>
      </c>
      <c r="I60" s="334"/>
    </row>
    <row r="61" ht="13.5" spans="1:9">
      <c r="A61" s="346"/>
      <c r="B61" s="54" t="s">
        <v>491</v>
      </c>
      <c r="C61" s="330" t="s">
        <v>348</v>
      </c>
      <c r="D61" s="54" t="s">
        <v>349</v>
      </c>
      <c r="E61" s="38" t="s">
        <v>475</v>
      </c>
      <c r="F61" s="38" t="s">
        <v>57</v>
      </c>
      <c r="G61" s="54" t="s">
        <v>350</v>
      </c>
      <c r="H61" s="54" t="s">
        <v>346</v>
      </c>
      <c r="I61" s="334"/>
    </row>
    <row r="62" ht="12" customHeight="1" spans="1:9">
      <c r="A62" s="346"/>
      <c r="B62" s="332" t="s">
        <v>492</v>
      </c>
      <c r="C62" s="332" t="s">
        <v>352</v>
      </c>
      <c r="D62" s="332" t="s">
        <v>353</v>
      </c>
      <c r="E62" s="38" t="s">
        <v>475</v>
      </c>
      <c r="F62" s="333" t="s">
        <v>57</v>
      </c>
      <c r="G62" s="332" t="s">
        <v>354</v>
      </c>
      <c r="H62" s="54" t="s">
        <v>346</v>
      </c>
      <c r="I62" s="336"/>
    </row>
    <row r="63" ht="12" customHeight="1" spans="1:9">
      <c r="A63" s="346"/>
      <c r="B63" s="332" t="s">
        <v>493</v>
      </c>
      <c r="C63" s="332" t="s">
        <v>356</v>
      </c>
      <c r="D63" s="332" t="s">
        <v>357</v>
      </c>
      <c r="E63" s="38" t="s">
        <v>475</v>
      </c>
      <c r="F63" s="333" t="s">
        <v>57</v>
      </c>
      <c r="G63" s="332" t="s">
        <v>354</v>
      </c>
      <c r="H63" s="54" t="s">
        <v>346</v>
      </c>
      <c r="I63" s="336"/>
    </row>
    <row r="64" ht="12" customHeight="1" spans="1:9">
      <c r="A64" s="346"/>
      <c r="B64" s="332" t="s">
        <v>494</v>
      </c>
      <c r="C64" s="332" t="s">
        <v>359</v>
      </c>
      <c r="D64" s="332" t="s">
        <v>360</v>
      </c>
      <c r="E64" s="38" t="s">
        <v>475</v>
      </c>
      <c r="F64" s="333" t="s">
        <v>57</v>
      </c>
      <c r="G64" s="332" t="s">
        <v>354</v>
      </c>
      <c r="H64" s="54" t="s">
        <v>346</v>
      </c>
      <c r="I64" s="336"/>
    </row>
    <row r="65" ht="12" customHeight="1" spans="1:9">
      <c r="A65" s="346"/>
      <c r="B65" s="332" t="s">
        <v>495</v>
      </c>
      <c r="C65" s="332" t="s">
        <v>362</v>
      </c>
      <c r="D65" s="332" t="s">
        <v>363</v>
      </c>
      <c r="E65" s="38" t="s">
        <v>475</v>
      </c>
      <c r="F65" s="333" t="s">
        <v>57</v>
      </c>
      <c r="G65" s="332" t="s">
        <v>354</v>
      </c>
      <c r="H65" s="54" t="s">
        <v>346</v>
      </c>
      <c r="I65" s="336"/>
    </row>
    <row r="66" ht="13.5" spans="1:9">
      <c r="A66" s="346"/>
      <c r="B66" s="54" t="s">
        <v>496</v>
      </c>
      <c r="C66" s="330" t="s">
        <v>374</v>
      </c>
      <c r="D66" s="54" t="s">
        <v>375</v>
      </c>
      <c r="E66" s="38" t="s">
        <v>475</v>
      </c>
      <c r="F66" s="38" t="s">
        <v>57</v>
      </c>
      <c r="G66" s="54" t="s">
        <v>354</v>
      </c>
      <c r="H66" s="54" t="s">
        <v>346</v>
      </c>
      <c r="I66" s="334"/>
    </row>
    <row r="67" s="66" customFormat="1" ht="30" customHeight="1" spans="1:9">
      <c r="A67" s="346"/>
      <c r="B67" s="332" t="s">
        <v>497</v>
      </c>
      <c r="C67" s="332" t="s">
        <v>385</v>
      </c>
      <c r="D67" s="332" t="s">
        <v>386</v>
      </c>
      <c r="E67" s="38" t="s">
        <v>475</v>
      </c>
      <c r="F67" s="333" t="s">
        <v>24</v>
      </c>
      <c r="G67" s="332" t="s">
        <v>71</v>
      </c>
      <c r="H67" s="332" t="s">
        <v>387</v>
      </c>
      <c r="I67" s="349"/>
    </row>
    <row r="68" s="66" customFormat="1" ht="30" customHeight="1" spans="1:9">
      <c r="A68" s="346"/>
      <c r="B68" s="274" t="s">
        <v>498</v>
      </c>
      <c r="C68" s="332" t="s">
        <v>499</v>
      </c>
      <c r="D68" s="332" t="s">
        <v>500</v>
      </c>
      <c r="E68" s="38" t="s">
        <v>475</v>
      </c>
      <c r="F68" s="333" t="s">
        <v>24</v>
      </c>
      <c r="G68" s="332" t="s">
        <v>28</v>
      </c>
      <c r="H68" s="332" t="s">
        <v>501</v>
      </c>
      <c r="I68" s="349"/>
    </row>
    <row r="69" s="66" customFormat="1" ht="30" customHeight="1" spans="1:9">
      <c r="A69" s="346"/>
      <c r="B69" s="332" t="s">
        <v>502</v>
      </c>
      <c r="C69" s="332" t="s">
        <v>503</v>
      </c>
      <c r="D69" s="332" t="s">
        <v>504</v>
      </c>
      <c r="E69" s="38" t="s">
        <v>475</v>
      </c>
      <c r="F69" s="333" t="s">
        <v>24</v>
      </c>
      <c r="G69" s="332" t="s">
        <v>71</v>
      </c>
      <c r="H69" s="332" t="s">
        <v>505</v>
      </c>
      <c r="I69" s="349"/>
    </row>
    <row r="70" s="66" customFormat="1" ht="40.9" customHeight="1" spans="1:9">
      <c r="A70" s="346"/>
      <c r="B70" s="274" t="s">
        <v>506</v>
      </c>
      <c r="C70" s="332" t="s">
        <v>507</v>
      </c>
      <c r="D70" s="210" t="s">
        <v>508</v>
      </c>
      <c r="E70" s="38" t="s">
        <v>475</v>
      </c>
      <c r="F70" s="333" t="s">
        <v>24</v>
      </c>
      <c r="G70" s="210" t="s">
        <v>419</v>
      </c>
      <c r="H70" s="351" t="s">
        <v>509</v>
      </c>
      <c r="I70" s="349"/>
    </row>
    <row r="71" s="66" customFormat="1" ht="30" customHeight="1" spans="1:9">
      <c r="A71" s="346"/>
      <c r="B71" s="274" t="s">
        <v>510</v>
      </c>
      <c r="C71" s="332" t="s">
        <v>511</v>
      </c>
      <c r="D71" s="210" t="s">
        <v>512</v>
      </c>
      <c r="E71" s="38" t="s">
        <v>475</v>
      </c>
      <c r="F71" s="333" t="s">
        <v>24</v>
      </c>
      <c r="G71" s="210" t="s">
        <v>419</v>
      </c>
      <c r="H71" s="351" t="s">
        <v>513</v>
      </c>
      <c r="I71" s="349"/>
    </row>
    <row r="72" s="66" customFormat="1" ht="30" customHeight="1" spans="1:9">
      <c r="A72" s="346"/>
      <c r="B72" s="274" t="s">
        <v>514</v>
      </c>
      <c r="C72" s="332" t="s">
        <v>515</v>
      </c>
      <c r="D72" s="272" t="s">
        <v>516</v>
      </c>
      <c r="E72" s="38" t="s">
        <v>475</v>
      </c>
      <c r="F72" s="333" t="s">
        <v>57</v>
      </c>
      <c r="G72" s="272" t="s">
        <v>419</v>
      </c>
      <c r="H72" s="332"/>
      <c r="I72" s="349"/>
    </row>
    <row r="73" s="66" customFormat="1" ht="27.6" customHeight="1" spans="1:9">
      <c r="A73" s="346"/>
      <c r="B73" s="134" t="s">
        <v>517</v>
      </c>
      <c r="C73" s="332" t="s">
        <v>422</v>
      </c>
      <c r="D73" s="165" t="s">
        <v>423</v>
      </c>
      <c r="E73" s="38" t="s">
        <v>475</v>
      </c>
      <c r="F73" s="333" t="s">
        <v>57</v>
      </c>
      <c r="G73" s="165" t="s">
        <v>397</v>
      </c>
      <c r="H73" s="332" t="s">
        <v>398</v>
      </c>
      <c r="I73" s="349"/>
    </row>
    <row r="74" s="27" customFormat="1" ht="56.25" spans="1:9">
      <c r="A74" s="346"/>
      <c r="B74" s="332" t="s">
        <v>518</v>
      </c>
      <c r="C74" s="332" t="s">
        <v>409</v>
      </c>
      <c r="D74" s="332" t="s">
        <v>410</v>
      </c>
      <c r="E74" s="38" t="s">
        <v>475</v>
      </c>
      <c r="F74" s="333" t="s">
        <v>57</v>
      </c>
      <c r="G74" s="332" t="s">
        <v>411</v>
      </c>
      <c r="H74" s="332" t="s">
        <v>412</v>
      </c>
      <c r="I74" s="334"/>
    </row>
    <row r="75" s="27" customFormat="1" ht="33.75" spans="1:9">
      <c r="A75" s="346"/>
      <c r="B75" s="332" t="s">
        <v>519</v>
      </c>
      <c r="C75" s="332" t="s">
        <v>380</v>
      </c>
      <c r="D75" s="332" t="s">
        <v>414</v>
      </c>
      <c r="E75" s="38" t="s">
        <v>475</v>
      </c>
      <c r="F75" s="333" t="s">
        <v>57</v>
      </c>
      <c r="G75" s="332" t="s">
        <v>382</v>
      </c>
      <c r="H75" s="332" t="s">
        <v>415</v>
      </c>
      <c r="I75" s="334"/>
    </row>
    <row r="76" s="27" customFormat="1" ht="22.5" spans="1:9">
      <c r="A76" s="348"/>
      <c r="B76" s="332" t="s">
        <v>520</v>
      </c>
      <c r="C76" s="332" t="s">
        <v>417</v>
      </c>
      <c r="D76" s="332" t="s">
        <v>418</v>
      </c>
      <c r="E76" s="38" t="s">
        <v>475</v>
      </c>
      <c r="F76" s="333" t="s">
        <v>57</v>
      </c>
      <c r="G76" s="332" t="s">
        <v>419</v>
      </c>
      <c r="H76" s="332" t="s">
        <v>420</v>
      </c>
      <c r="I76" s="334"/>
    </row>
    <row r="77" s="27" customFormat="1" ht="184.5" customHeight="1" spans="1:9">
      <c r="A77" s="329" t="s">
        <v>521</v>
      </c>
      <c r="B77" s="332" t="s">
        <v>522</v>
      </c>
      <c r="C77" s="332" t="s">
        <v>460</v>
      </c>
      <c r="D77" s="332" t="s">
        <v>523</v>
      </c>
      <c r="E77" s="38" t="s">
        <v>475</v>
      </c>
      <c r="F77" s="333" t="s">
        <v>57</v>
      </c>
      <c r="G77" s="332" t="s">
        <v>354</v>
      </c>
      <c r="H77" s="332" t="s">
        <v>524</v>
      </c>
      <c r="I77" s="334"/>
    </row>
    <row r="78" s="27" customFormat="1" ht="12" spans="1:9">
      <c r="A78" s="329"/>
      <c r="B78" s="332" t="s">
        <v>525</v>
      </c>
      <c r="C78" s="332" t="s">
        <v>342</v>
      </c>
      <c r="D78" s="332" t="s">
        <v>343</v>
      </c>
      <c r="E78" s="38" t="s">
        <v>475</v>
      </c>
      <c r="F78" s="333" t="s">
        <v>57</v>
      </c>
      <c r="G78" s="332" t="s">
        <v>345</v>
      </c>
      <c r="H78" s="332"/>
      <c r="I78" s="334"/>
    </row>
    <row r="79" s="27" customFormat="1" ht="12" spans="1:9">
      <c r="A79" s="329"/>
      <c r="B79" s="332" t="s">
        <v>526</v>
      </c>
      <c r="C79" s="332" t="s">
        <v>348</v>
      </c>
      <c r="D79" s="332" t="s">
        <v>349</v>
      </c>
      <c r="E79" s="38" t="s">
        <v>475</v>
      </c>
      <c r="F79" s="333" t="s">
        <v>57</v>
      </c>
      <c r="G79" s="332" t="s">
        <v>350</v>
      </c>
      <c r="H79" s="332"/>
      <c r="I79" s="334"/>
    </row>
    <row r="80" s="27" customFormat="1" ht="12" spans="1:9">
      <c r="A80" s="329"/>
      <c r="B80" s="332" t="s">
        <v>527</v>
      </c>
      <c r="C80" s="332" t="s">
        <v>374</v>
      </c>
      <c r="D80" s="332" t="s">
        <v>375</v>
      </c>
      <c r="E80" s="38" t="s">
        <v>475</v>
      </c>
      <c r="F80" s="333" t="s">
        <v>57</v>
      </c>
      <c r="G80" s="332" t="s">
        <v>350</v>
      </c>
      <c r="H80" s="332"/>
      <c r="I80" s="334"/>
    </row>
    <row r="81" s="27" customFormat="1" ht="22.5" spans="1:9">
      <c r="A81" s="329"/>
      <c r="B81" s="332" t="s">
        <v>528</v>
      </c>
      <c r="C81" s="332" t="s">
        <v>422</v>
      </c>
      <c r="D81" s="332" t="s">
        <v>423</v>
      </c>
      <c r="E81" s="38" t="s">
        <v>475</v>
      </c>
      <c r="F81" s="333" t="s">
        <v>57</v>
      </c>
      <c r="G81" s="332" t="s">
        <v>397</v>
      </c>
      <c r="H81" s="332" t="s">
        <v>398</v>
      </c>
      <c r="I81" s="334"/>
    </row>
    <row r="82" s="27" customFormat="1" ht="12" spans="1:9">
      <c r="A82" s="329"/>
      <c r="B82" s="210" t="s">
        <v>529</v>
      </c>
      <c r="C82" s="332" t="s">
        <v>352</v>
      </c>
      <c r="D82" s="210" t="s">
        <v>353</v>
      </c>
      <c r="E82" s="38" t="s">
        <v>475</v>
      </c>
      <c r="F82" s="333" t="s">
        <v>57</v>
      </c>
      <c r="G82" s="210" t="s">
        <v>354</v>
      </c>
      <c r="H82" s="332"/>
      <c r="I82" s="334"/>
    </row>
    <row r="83" s="27" customFormat="1" ht="12" spans="1:9">
      <c r="A83" s="329"/>
      <c r="B83" s="210" t="s">
        <v>530</v>
      </c>
      <c r="C83" s="332" t="s">
        <v>356</v>
      </c>
      <c r="D83" s="210" t="s">
        <v>357</v>
      </c>
      <c r="E83" s="38" t="s">
        <v>475</v>
      </c>
      <c r="F83" s="333" t="s">
        <v>57</v>
      </c>
      <c r="G83" s="210" t="s">
        <v>354</v>
      </c>
      <c r="H83" s="332"/>
      <c r="I83" s="334"/>
    </row>
    <row r="84" s="27" customFormat="1" ht="12" spans="1:9">
      <c r="A84" s="329"/>
      <c r="B84" s="210" t="s">
        <v>531</v>
      </c>
      <c r="C84" s="332" t="s">
        <v>359</v>
      </c>
      <c r="D84" s="210" t="s">
        <v>360</v>
      </c>
      <c r="E84" s="38" t="s">
        <v>475</v>
      </c>
      <c r="F84" s="333" t="s">
        <v>57</v>
      </c>
      <c r="G84" s="210" t="s">
        <v>354</v>
      </c>
      <c r="H84" s="332"/>
      <c r="I84" s="334"/>
    </row>
    <row r="85" s="27" customFormat="1" ht="12" spans="1:9">
      <c r="A85" s="329"/>
      <c r="B85" s="210" t="s">
        <v>532</v>
      </c>
      <c r="C85" s="332" t="s">
        <v>362</v>
      </c>
      <c r="D85" s="210" t="s">
        <v>363</v>
      </c>
      <c r="E85" s="38" t="s">
        <v>475</v>
      </c>
      <c r="F85" s="333" t="s">
        <v>57</v>
      </c>
      <c r="G85" s="210" t="s">
        <v>354</v>
      </c>
      <c r="H85" s="332"/>
      <c r="I85" s="334"/>
    </row>
    <row r="86" s="27" customFormat="1" ht="33.75" spans="1:9">
      <c r="A86" s="329"/>
      <c r="B86" s="210" t="s">
        <v>533</v>
      </c>
      <c r="C86" s="332" t="s">
        <v>380</v>
      </c>
      <c r="D86" s="210" t="s">
        <v>534</v>
      </c>
      <c r="E86" s="38" t="s">
        <v>475</v>
      </c>
      <c r="F86" s="333" t="s">
        <v>57</v>
      </c>
      <c r="G86" s="274" t="s">
        <v>382</v>
      </c>
      <c r="H86" s="210" t="s">
        <v>383</v>
      </c>
      <c r="I86" s="334"/>
    </row>
    <row r="87" s="27" customFormat="1" ht="22.5" spans="1:9">
      <c r="A87" s="329"/>
      <c r="B87" s="210" t="s">
        <v>535</v>
      </c>
      <c r="C87" s="332" t="s">
        <v>385</v>
      </c>
      <c r="D87" s="210" t="s">
        <v>386</v>
      </c>
      <c r="E87" s="38" t="s">
        <v>475</v>
      </c>
      <c r="F87" s="333" t="s">
        <v>57</v>
      </c>
      <c r="G87" s="210" t="s">
        <v>71</v>
      </c>
      <c r="H87" s="210" t="s">
        <v>387</v>
      </c>
      <c r="I87" s="334"/>
    </row>
    <row r="88" s="27" customFormat="1" ht="22.5" spans="1:9">
      <c r="A88" s="329"/>
      <c r="B88" s="210" t="s">
        <v>536</v>
      </c>
      <c r="C88" s="332" t="s">
        <v>503</v>
      </c>
      <c r="D88" s="210" t="s">
        <v>504</v>
      </c>
      <c r="E88" s="38" t="s">
        <v>475</v>
      </c>
      <c r="F88" s="333" t="s">
        <v>57</v>
      </c>
      <c r="G88" s="210" t="s">
        <v>71</v>
      </c>
      <c r="H88" s="210" t="s">
        <v>505</v>
      </c>
      <c r="I88" s="334"/>
    </row>
    <row r="89" s="27" customFormat="1" ht="22.5" spans="1:9">
      <c r="A89" s="329"/>
      <c r="B89" s="210" t="s">
        <v>537</v>
      </c>
      <c r="C89" s="332" t="s">
        <v>538</v>
      </c>
      <c r="D89" s="210" t="s">
        <v>539</v>
      </c>
      <c r="E89" s="38" t="s">
        <v>475</v>
      </c>
      <c r="F89" s="333" t="s">
        <v>57</v>
      </c>
      <c r="G89" s="210" t="s">
        <v>540</v>
      </c>
      <c r="H89" s="210" t="s">
        <v>541</v>
      </c>
      <c r="I89" s="334"/>
    </row>
    <row r="90" s="27" customFormat="1" ht="22.5" spans="1:9">
      <c r="A90" s="329"/>
      <c r="B90" s="183" t="s">
        <v>542</v>
      </c>
      <c r="C90" s="183" t="s">
        <v>409</v>
      </c>
      <c r="D90" s="210" t="s">
        <v>410</v>
      </c>
      <c r="E90" s="38" t="s">
        <v>475</v>
      </c>
      <c r="F90" s="333" t="s">
        <v>57</v>
      </c>
      <c r="G90" s="210" t="s">
        <v>411</v>
      </c>
      <c r="H90" s="332"/>
      <c r="I90" s="334"/>
    </row>
    <row r="91" s="27" customFormat="1" ht="22.5" spans="1:9">
      <c r="A91" s="329"/>
      <c r="B91" s="183" t="s">
        <v>543</v>
      </c>
      <c r="C91" s="183" t="s">
        <v>380</v>
      </c>
      <c r="D91" s="210" t="s">
        <v>414</v>
      </c>
      <c r="E91" s="38" t="s">
        <v>475</v>
      </c>
      <c r="F91" s="333" t="s">
        <v>57</v>
      </c>
      <c r="G91" s="210" t="s">
        <v>382</v>
      </c>
      <c r="H91" s="332"/>
      <c r="I91" s="334"/>
    </row>
    <row r="92" s="27" customFormat="1" ht="22.5" spans="1:9">
      <c r="A92" s="329"/>
      <c r="B92" s="183" t="s">
        <v>544</v>
      </c>
      <c r="C92" s="183" t="s">
        <v>417</v>
      </c>
      <c r="D92" s="210" t="s">
        <v>418</v>
      </c>
      <c r="E92" s="38" t="s">
        <v>475</v>
      </c>
      <c r="F92" s="333" t="s">
        <v>57</v>
      </c>
      <c r="G92" s="210" t="s">
        <v>545</v>
      </c>
      <c r="H92" s="332"/>
      <c r="I92" s="334"/>
    </row>
    <row r="93" s="27" customFormat="1" ht="22.5" customHeight="1" spans="1:9">
      <c r="A93" s="345" t="s">
        <v>546</v>
      </c>
      <c r="B93" s="183" t="s">
        <v>547</v>
      </c>
      <c r="C93" s="183" t="s">
        <v>548</v>
      </c>
      <c r="D93" s="210" t="s">
        <v>549</v>
      </c>
      <c r="E93" s="38" t="s">
        <v>475</v>
      </c>
      <c r="F93" s="333" t="s">
        <v>57</v>
      </c>
      <c r="G93" s="210" t="s">
        <v>28</v>
      </c>
      <c r="H93" s="332" t="s">
        <v>550</v>
      </c>
      <c r="I93" s="334"/>
    </row>
    <row r="94" s="27" customFormat="1" ht="22.5" customHeight="1" spans="1:9">
      <c r="A94" s="346"/>
      <c r="B94" s="332" t="s">
        <v>551</v>
      </c>
      <c r="C94" s="332" t="s">
        <v>352</v>
      </c>
      <c r="D94" s="332" t="s">
        <v>353</v>
      </c>
      <c r="E94" s="38" t="s">
        <v>475</v>
      </c>
      <c r="F94" s="333" t="s">
        <v>57</v>
      </c>
      <c r="G94" s="210" t="s">
        <v>354</v>
      </c>
      <c r="H94" s="332"/>
      <c r="I94" s="334"/>
    </row>
    <row r="95" s="27" customFormat="1" ht="22.5" spans="1:9">
      <c r="A95" s="346"/>
      <c r="B95" s="165" t="s">
        <v>552</v>
      </c>
      <c r="C95" s="331" t="s">
        <v>342</v>
      </c>
      <c r="D95" s="165" t="s">
        <v>343</v>
      </c>
      <c r="E95" s="38" t="s">
        <v>475</v>
      </c>
      <c r="F95" s="333" t="s">
        <v>57</v>
      </c>
      <c r="G95" s="165" t="s">
        <v>345</v>
      </c>
      <c r="H95" s="332"/>
      <c r="I95" s="334"/>
    </row>
    <row r="96" s="27" customFormat="1" ht="22.5" spans="1:9">
      <c r="A96" s="346"/>
      <c r="B96" s="165" t="s">
        <v>553</v>
      </c>
      <c r="C96" s="331" t="s">
        <v>348</v>
      </c>
      <c r="D96" s="165" t="s">
        <v>349</v>
      </c>
      <c r="E96" s="38" t="s">
        <v>475</v>
      </c>
      <c r="F96" s="333" t="s">
        <v>57</v>
      </c>
      <c r="G96" s="165" t="s">
        <v>350</v>
      </c>
      <c r="H96" s="332"/>
      <c r="I96" s="334"/>
    </row>
    <row r="97" s="27" customFormat="1" ht="22.5" spans="1:9">
      <c r="A97" s="346"/>
      <c r="B97" s="165" t="s">
        <v>554</v>
      </c>
      <c r="C97" s="331" t="s">
        <v>374</v>
      </c>
      <c r="D97" s="165" t="s">
        <v>375</v>
      </c>
      <c r="E97" s="38" t="s">
        <v>475</v>
      </c>
      <c r="F97" s="333" t="s">
        <v>57</v>
      </c>
      <c r="G97" s="165" t="s">
        <v>354</v>
      </c>
      <c r="H97" s="332"/>
      <c r="I97" s="334"/>
    </row>
    <row r="98" s="27" customFormat="1" ht="22.5" spans="1:9">
      <c r="A98" s="346"/>
      <c r="B98" s="331" t="s">
        <v>555</v>
      </c>
      <c r="C98" s="331" t="s">
        <v>422</v>
      </c>
      <c r="D98" s="165" t="s">
        <v>423</v>
      </c>
      <c r="E98" s="38" t="s">
        <v>475</v>
      </c>
      <c r="F98" s="333" t="s">
        <v>57</v>
      </c>
      <c r="G98" s="165" t="s">
        <v>397</v>
      </c>
      <c r="H98" s="332" t="s">
        <v>398</v>
      </c>
      <c r="I98" s="334"/>
    </row>
    <row r="99" s="27" customFormat="1" ht="22.5" spans="1:9">
      <c r="A99" s="346"/>
      <c r="B99" s="183" t="s">
        <v>556</v>
      </c>
      <c r="C99" s="183" t="s">
        <v>356</v>
      </c>
      <c r="D99" s="183" t="s">
        <v>357</v>
      </c>
      <c r="E99" s="38" t="s">
        <v>475</v>
      </c>
      <c r="F99" s="333" t="s">
        <v>57</v>
      </c>
      <c r="G99" s="183" t="s">
        <v>354</v>
      </c>
      <c r="H99" s="332"/>
      <c r="I99" s="334"/>
    </row>
    <row r="100" s="27" customFormat="1" ht="22.5" spans="1:9">
      <c r="A100" s="346"/>
      <c r="B100" s="183" t="s">
        <v>557</v>
      </c>
      <c r="C100" s="183" t="s">
        <v>359</v>
      </c>
      <c r="D100" s="183" t="s">
        <v>360</v>
      </c>
      <c r="E100" s="38" t="s">
        <v>475</v>
      </c>
      <c r="F100" s="333" t="s">
        <v>57</v>
      </c>
      <c r="G100" s="183" t="s">
        <v>354</v>
      </c>
      <c r="H100" s="332"/>
      <c r="I100" s="334"/>
    </row>
    <row r="101" s="27" customFormat="1" ht="22.5" spans="1:9">
      <c r="A101" s="346"/>
      <c r="B101" s="183" t="s">
        <v>558</v>
      </c>
      <c r="C101" s="183" t="s">
        <v>362</v>
      </c>
      <c r="D101" s="183" t="s">
        <v>363</v>
      </c>
      <c r="E101" s="38" t="s">
        <v>475</v>
      </c>
      <c r="F101" s="333" t="s">
        <v>57</v>
      </c>
      <c r="G101" s="183" t="s">
        <v>354</v>
      </c>
      <c r="H101" s="332"/>
      <c r="I101" s="334"/>
    </row>
    <row r="102" s="27" customFormat="1" ht="33.75" spans="1:9">
      <c r="A102" s="346"/>
      <c r="B102" s="183" t="s">
        <v>559</v>
      </c>
      <c r="C102" s="183" t="s">
        <v>380</v>
      </c>
      <c r="D102" s="183" t="s">
        <v>534</v>
      </c>
      <c r="E102" s="38" t="s">
        <v>475</v>
      </c>
      <c r="F102" s="333" t="s">
        <v>57</v>
      </c>
      <c r="G102" s="183" t="s">
        <v>382</v>
      </c>
      <c r="H102" s="210" t="s">
        <v>383</v>
      </c>
      <c r="I102" s="334"/>
    </row>
    <row r="103" s="27" customFormat="1" ht="22.5" spans="1:9">
      <c r="A103" s="346"/>
      <c r="B103" s="183" t="s">
        <v>560</v>
      </c>
      <c r="C103" s="183" t="s">
        <v>385</v>
      </c>
      <c r="D103" s="183" t="s">
        <v>386</v>
      </c>
      <c r="E103" s="38" t="s">
        <v>475</v>
      </c>
      <c r="F103" s="275" t="s">
        <v>24</v>
      </c>
      <c r="G103" s="183" t="s">
        <v>71</v>
      </c>
      <c r="H103" s="210" t="s">
        <v>387</v>
      </c>
      <c r="I103" s="334"/>
    </row>
    <row r="104" s="27" customFormat="1" ht="22.5" spans="1:9">
      <c r="A104" s="348"/>
      <c r="B104" s="183" t="s">
        <v>561</v>
      </c>
      <c r="C104" s="183" t="s">
        <v>503</v>
      </c>
      <c r="D104" s="183" t="s">
        <v>562</v>
      </c>
      <c r="E104" s="38" t="s">
        <v>475</v>
      </c>
      <c r="F104" s="275" t="s">
        <v>24</v>
      </c>
      <c r="G104" s="183" t="s">
        <v>71</v>
      </c>
      <c r="H104" s="332"/>
      <c r="I104" s="334"/>
    </row>
    <row r="105" s="339" customFormat="1" ht="79.9" customHeight="1" spans="1:9">
      <c r="A105" s="352" t="s">
        <v>563</v>
      </c>
      <c r="B105" s="78" t="s">
        <v>564</v>
      </c>
      <c r="C105" s="78" t="s">
        <v>565</v>
      </c>
      <c r="D105" s="274" t="s">
        <v>566</v>
      </c>
      <c r="E105" s="38" t="s">
        <v>344</v>
      </c>
      <c r="F105" s="353" t="s">
        <v>57</v>
      </c>
      <c r="G105" s="274" t="s">
        <v>567</v>
      </c>
      <c r="H105" s="351" t="s">
        <v>568</v>
      </c>
      <c r="I105" s="354"/>
    </row>
    <row r="106" s="339" customFormat="1" ht="79.5" customHeight="1" spans="1:9">
      <c r="A106" s="352"/>
      <c r="B106" s="78" t="s">
        <v>569</v>
      </c>
      <c r="C106" s="78" t="s">
        <v>570</v>
      </c>
      <c r="D106" s="78" t="s">
        <v>571</v>
      </c>
      <c r="E106" s="38" t="s">
        <v>344</v>
      </c>
      <c r="F106" s="353" t="s">
        <v>57</v>
      </c>
      <c r="G106" s="274" t="s">
        <v>567</v>
      </c>
      <c r="H106" s="351" t="s">
        <v>572</v>
      </c>
      <c r="I106" s="354"/>
    </row>
  </sheetData>
  <autoFilter ref="A1:I106">
    <extLst/>
  </autoFilter>
  <mergeCells count="6">
    <mergeCell ref="A2:A42"/>
    <mergeCell ref="A43:A57"/>
    <mergeCell ref="A58:A76"/>
    <mergeCell ref="A77:A92"/>
    <mergeCell ref="A93:A104"/>
    <mergeCell ref="A105:A106"/>
  </mergeCells>
  <pageMargins left="0.699305555555556" right="0.699305555555556"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I21"/>
  <sheetViews>
    <sheetView workbookViewId="0">
      <selection activeCell="B18" sqref="B18"/>
    </sheetView>
  </sheetViews>
  <sheetFormatPr defaultColWidth="9" defaultRowHeight="13.5"/>
  <cols>
    <col min="1" max="1" width="13.125" customWidth="1"/>
    <col min="2" max="2" width="50.875" customWidth="1"/>
    <col min="3" max="3" width="21.375" customWidth="1"/>
    <col min="4" max="4" width="10.5" customWidth="1"/>
    <col min="5" max="5" width="6.375" customWidth="1"/>
    <col min="6" max="6" width="6.25" customWidth="1"/>
    <col min="7" max="7" width="10.5" customWidth="1"/>
    <col min="8" max="8" width="39.5" customWidth="1"/>
    <col min="9" max="9" width="24.625" customWidth="1"/>
  </cols>
  <sheetData>
    <row r="1" ht="22.5" spans="1:9">
      <c r="A1" s="11" t="s">
        <v>335</v>
      </c>
      <c r="B1" s="11" t="s">
        <v>336</v>
      </c>
      <c r="C1" s="33" t="s">
        <v>2</v>
      </c>
      <c r="D1" s="11" t="s">
        <v>3</v>
      </c>
      <c r="E1" s="11" t="s">
        <v>337</v>
      </c>
      <c r="F1" s="11" t="s">
        <v>8</v>
      </c>
      <c r="G1" s="11" t="s">
        <v>6</v>
      </c>
      <c r="H1" s="11" t="s">
        <v>338</v>
      </c>
      <c r="I1" s="11" t="s">
        <v>339</v>
      </c>
    </row>
    <row r="2" customHeight="1" spans="1:9">
      <c r="A2" s="329" t="s">
        <v>573</v>
      </c>
      <c r="B2" s="165" t="s">
        <v>574</v>
      </c>
      <c r="C2" s="330" t="s">
        <v>342</v>
      </c>
      <c r="D2" s="54" t="s">
        <v>343</v>
      </c>
      <c r="E2" s="38" t="s">
        <v>344</v>
      </c>
      <c r="F2" s="38" t="s">
        <v>57</v>
      </c>
      <c r="G2" s="54" t="s">
        <v>345</v>
      </c>
      <c r="H2" s="54" t="s">
        <v>346</v>
      </c>
      <c r="I2" s="334"/>
    </row>
    <row r="3" spans="1:9">
      <c r="A3" s="329"/>
      <c r="B3" s="165" t="s">
        <v>575</v>
      </c>
      <c r="C3" s="330" t="s">
        <v>348</v>
      </c>
      <c r="D3" s="54" t="s">
        <v>349</v>
      </c>
      <c r="E3" s="38" t="s">
        <v>344</v>
      </c>
      <c r="F3" s="38" t="s">
        <v>57</v>
      </c>
      <c r="G3" s="54" t="s">
        <v>350</v>
      </c>
      <c r="H3" s="54" t="s">
        <v>346</v>
      </c>
      <c r="I3" s="334"/>
    </row>
    <row r="4" spans="1:9">
      <c r="A4" s="329"/>
      <c r="B4" s="165" t="s">
        <v>576</v>
      </c>
      <c r="C4" s="330" t="s">
        <v>352</v>
      </c>
      <c r="D4" s="54" t="s">
        <v>353</v>
      </c>
      <c r="E4" s="38" t="s">
        <v>344</v>
      </c>
      <c r="F4" s="38" t="s">
        <v>57</v>
      </c>
      <c r="G4" s="54" t="s">
        <v>354</v>
      </c>
      <c r="H4" s="54" t="s">
        <v>346</v>
      </c>
      <c r="I4" s="334"/>
    </row>
    <row r="5" spans="1:9">
      <c r="A5" s="329"/>
      <c r="B5" s="165" t="s">
        <v>577</v>
      </c>
      <c r="C5" s="330" t="s">
        <v>356</v>
      </c>
      <c r="D5" s="54" t="s">
        <v>357</v>
      </c>
      <c r="E5" s="38" t="s">
        <v>344</v>
      </c>
      <c r="F5" s="38" t="s">
        <v>57</v>
      </c>
      <c r="G5" s="54" t="s">
        <v>354</v>
      </c>
      <c r="H5" s="54" t="s">
        <v>346</v>
      </c>
      <c r="I5" s="334"/>
    </row>
    <row r="6" spans="1:9">
      <c r="A6" s="329"/>
      <c r="B6" s="165" t="s">
        <v>578</v>
      </c>
      <c r="C6" s="330" t="s">
        <v>359</v>
      </c>
      <c r="D6" s="54" t="s">
        <v>360</v>
      </c>
      <c r="E6" s="38" t="s">
        <v>344</v>
      </c>
      <c r="F6" s="38" t="s">
        <v>57</v>
      </c>
      <c r="G6" s="54" t="s">
        <v>354</v>
      </c>
      <c r="H6" s="54" t="s">
        <v>346</v>
      </c>
      <c r="I6" s="334"/>
    </row>
    <row r="7" spans="1:9">
      <c r="A7" s="329"/>
      <c r="B7" s="165" t="s">
        <v>579</v>
      </c>
      <c r="C7" s="330" t="s">
        <v>362</v>
      </c>
      <c r="D7" s="54" t="s">
        <v>363</v>
      </c>
      <c r="E7" s="38" t="s">
        <v>344</v>
      </c>
      <c r="F7" s="38" t="s">
        <v>57</v>
      </c>
      <c r="G7" s="54" t="s">
        <v>354</v>
      </c>
      <c r="H7" s="54" t="s">
        <v>346</v>
      </c>
      <c r="I7" s="334"/>
    </row>
    <row r="8" spans="1:9">
      <c r="A8" s="329"/>
      <c r="B8" s="165" t="s">
        <v>580</v>
      </c>
      <c r="C8" s="134" t="s">
        <v>365</v>
      </c>
      <c r="D8" s="40" t="s">
        <v>366</v>
      </c>
      <c r="E8" s="38" t="s">
        <v>344</v>
      </c>
      <c r="F8" s="50" t="s">
        <v>57</v>
      </c>
      <c r="G8" s="40" t="s">
        <v>354</v>
      </c>
      <c r="H8" s="40" t="s">
        <v>346</v>
      </c>
      <c r="I8" s="335"/>
    </row>
    <row r="9" spans="1:9">
      <c r="A9" s="329"/>
      <c r="B9" s="139" t="s">
        <v>581</v>
      </c>
      <c r="C9" s="134" t="s">
        <v>368</v>
      </c>
      <c r="D9" s="50" t="s">
        <v>369</v>
      </c>
      <c r="E9" s="38" t="s">
        <v>344</v>
      </c>
      <c r="F9" s="50" t="s">
        <v>57</v>
      </c>
      <c r="G9" s="49" t="s">
        <v>354</v>
      </c>
      <c r="H9" s="40"/>
      <c r="I9" s="335"/>
    </row>
    <row r="10" spans="1:9">
      <c r="A10" s="329"/>
      <c r="B10" s="139" t="s">
        <v>582</v>
      </c>
      <c r="C10" s="134" t="s">
        <v>371</v>
      </c>
      <c r="D10" s="50" t="s">
        <v>372</v>
      </c>
      <c r="E10" s="38" t="s">
        <v>344</v>
      </c>
      <c r="F10" s="50" t="s">
        <v>57</v>
      </c>
      <c r="G10" s="49" t="s">
        <v>354</v>
      </c>
      <c r="H10" s="40"/>
      <c r="I10" s="335"/>
    </row>
    <row r="11" spans="1:9">
      <c r="A11" s="329"/>
      <c r="B11" s="139" t="s">
        <v>583</v>
      </c>
      <c r="C11" s="134" t="s">
        <v>446</v>
      </c>
      <c r="D11" s="50" t="s">
        <v>447</v>
      </c>
      <c r="E11" s="38" t="s">
        <v>344</v>
      </c>
      <c r="F11" s="50" t="s">
        <v>57</v>
      </c>
      <c r="G11" s="40" t="s">
        <v>419</v>
      </c>
      <c r="H11" s="40"/>
      <c r="I11" s="335"/>
    </row>
    <row r="12" spans="1:9">
      <c r="A12" s="329"/>
      <c r="B12" s="165" t="s">
        <v>584</v>
      </c>
      <c r="C12" s="134" t="s">
        <v>374</v>
      </c>
      <c r="D12" s="54" t="s">
        <v>375</v>
      </c>
      <c r="E12" s="38" t="s">
        <v>344</v>
      </c>
      <c r="F12" s="50" t="s">
        <v>57</v>
      </c>
      <c r="G12" s="40" t="s">
        <v>354</v>
      </c>
      <c r="H12" s="40" t="s">
        <v>346</v>
      </c>
      <c r="I12" s="335"/>
    </row>
    <row r="13" spans="1:9">
      <c r="A13" s="329"/>
      <c r="B13" s="165" t="s">
        <v>585</v>
      </c>
      <c r="C13" s="134" t="s">
        <v>377</v>
      </c>
      <c r="D13" s="54" t="s">
        <v>378</v>
      </c>
      <c r="E13" s="38" t="s">
        <v>344</v>
      </c>
      <c r="F13" s="50" t="s">
        <v>57</v>
      </c>
      <c r="G13" s="40" t="s">
        <v>354</v>
      </c>
      <c r="H13" s="40" t="s">
        <v>346</v>
      </c>
      <c r="I13" s="335"/>
    </row>
    <row r="14" spans="1:9">
      <c r="A14" s="329"/>
      <c r="B14" s="165" t="s">
        <v>586</v>
      </c>
      <c r="C14" s="331" t="s">
        <v>389</v>
      </c>
      <c r="D14" s="165" t="s">
        <v>390</v>
      </c>
      <c r="E14" s="38" t="s">
        <v>344</v>
      </c>
      <c r="F14" s="38" t="s">
        <v>57</v>
      </c>
      <c r="G14" s="185" t="s">
        <v>391</v>
      </c>
      <c r="H14" s="165" t="s">
        <v>346</v>
      </c>
      <c r="I14" s="308" t="s">
        <v>393</v>
      </c>
    </row>
    <row r="15" spans="1:9">
      <c r="A15" s="329"/>
      <c r="B15" s="165" t="s">
        <v>587</v>
      </c>
      <c r="C15" s="331" t="s">
        <v>449</v>
      </c>
      <c r="D15" s="165" t="s">
        <v>450</v>
      </c>
      <c r="E15" s="38" t="s">
        <v>344</v>
      </c>
      <c r="F15" s="38" t="s">
        <v>57</v>
      </c>
      <c r="G15" s="185" t="s">
        <v>419</v>
      </c>
      <c r="H15" s="165" t="s">
        <v>346</v>
      </c>
      <c r="I15" s="334"/>
    </row>
    <row r="16" ht="22.5" spans="1:9">
      <c r="A16" s="329"/>
      <c r="B16" s="331" t="s">
        <v>588</v>
      </c>
      <c r="C16" s="331" t="s">
        <v>395</v>
      </c>
      <c r="D16" s="165" t="s">
        <v>396</v>
      </c>
      <c r="E16" s="38" t="s">
        <v>344</v>
      </c>
      <c r="F16" s="38" t="s">
        <v>57</v>
      </c>
      <c r="G16" s="185" t="s">
        <v>397</v>
      </c>
      <c r="H16" s="165" t="s">
        <v>398</v>
      </c>
      <c r="I16" s="336"/>
    </row>
    <row r="17" ht="22.5" spans="1:9">
      <c r="A17" s="329"/>
      <c r="B17" s="210" t="s">
        <v>589</v>
      </c>
      <c r="C17" s="274" t="s">
        <v>385</v>
      </c>
      <c r="D17" s="165" t="s">
        <v>386</v>
      </c>
      <c r="E17" s="38" t="s">
        <v>344</v>
      </c>
      <c r="F17" s="38" t="s">
        <v>24</v>
      </c>
      <c r="G17" s="185" t="s">
        <v>71</v>
      </c>
      <c r="H17" s="332" t="s">
        <v>387</v>
      </c>
      <c r="I17" s="334"/>
    </row>
    <row r="18" ht="22.5" spans="1:9">
      <c r="A18" s="329"/>
      <c r="B18" s="210" t="s">
        <v>590</v>
      </c>
      <c r="C18" s="210" t="s">
        <v>380</v>
      </c>
      <c r="D18" s="210" t="s">
        <v>591</v>
      </c>
      <c r="E18" s="38" t="s">
        <v>344</v>
      </c>
      <c r="F18" s="38" t="s">
        <v>57</v>
      </c>
      <c r="G18" s="183" t="s">
        <v>382</v>
      </c>
      <c r="H18" s="54" t="s">
        <v>592</v>
      </c>
      <c r="I18" s="308"/>
    </row>
    <row r="19" ht="56.25" spans="1:9">
      <c r="A19" s="329"/>
      <c r="B19" s="274" t="s">
        <v>593</v>
      </c>
      <c r="C19" s="332" t="s">
        <v>409</v>
      </c>
      <c r="D19" s="332" t="s">
        <v>410</v>
      </c>
      <c r="E19" s="38" t="s">
        <v>344</v>
      </c>
      <c r="F19" s="333" t="s">
        <v>57</v>
      </c>
      <c r="G19" s="332" t="s">
        <v>411</v>
      </c>
      <c r="H19" s="332" t="s">
        <v>412</v>
      </c>
      <c r="I19" s="308"/>
    </row>
    <row r="20" ht="33.75" spans="1:9">
      <c r="A20" s="329"/>
      <c r="B20" s="274" t="s">
        <v>594</v>
      </c>
      <c r="C20" s="332" t="s">
        <v>380</v>
      </c>
      <c r="D20" s="332" t="s">
        <v>414</v>
      </c>
      <c r="E20" s="38" t="s">
        <v>344</v>
      </c>
      <c r="F20" s="333" t="s">
        <v>57</v>
      </c>
      <c r="G20" s="332" t="s">
        <v>382</v>
      </c>
      <c r="H20" s="332" t="s">
        <v>415</v>
      </c>
      <c r="I20" s="308"/>
    </row>
    <row r="21" spans="1:9">
      <c r="A21" s="329"/>
      <c r="B21" s="274" t="s">
        <v>595</v>
      </c>
      <c r="C21" s="332" t="s">
        <v>417</v>
      </c>
      <c r="D21" s="332" t="s">
        <v>418</v>
      </c>
      <c r="E21" s="38" t="s">
        <v>344</v>
      </c>
      <c r="F21" s="333" t="s">
        <v>57</v>
      </c>
      <c r="G21" s="332" t="s">
        <v>419</v>
      </c>
      <c r="H21" s="332" t="s">
        <v>420</v>
      </c>
      <c r="I21" s="308"/>
    </row>
  </sheetData>
  <mergeCells count="1">
    <mergeCell ref="A2:A21"/>
  </mergeCells>
  <pageMargins left="0.7" right="0.7" top="0.75" bottom="0.75" header="0.3" footer="0.3"/>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J13"/>
  <sheetViews>
    <sheetView workbookViewId="0">
      <pane xSplit="1" ySplit="1" topLeftCell="B2" activePane="bottomRight" state="frozen"/>
      <selection/>
      <selection pane="topRight"/>
      <selection pane="bottomLeft"/>
      <selection pane="bottomRight" activeCell="E13" sqref="E13"/>
    </sheetView>
  </sheetViews>
  <sheetFormatPr defaultColWidth="9" defaultRowHeight="13.5"/>
  <cols>
    <col min="1" max="1" width="11.375" customWidth="1"/>
    <col min="2" max="2" width="43" customWidth="1"/>
    <col min="3" max="3" width="17.25" customWidth="1"/>
    <col min="4" max="4" width="15.5" customWidth="1"/>
    <col min="5" max="5" width="6.375" customWidth="1"/>
    <col min="6" max="6" width="11.375" customWidth="1"/>
    <col min="7" max="7" width="9" customWidth="1"/>
    <col min="8" max="8" width="44.625" customWidth="1"/>
    <col min="9" max="9" width="28.375" customWidth="1"/>
  </cols>
  <sheetData>
    <row r="1" s="320" customFormat="1" ht="27" customHeight="1" spans="1:9">
      <c r="A1" s="11" t="s">
        <v>335</v>
      </c>
      <c r="B1" s="11" t="s">
        <v>336</v>
      </c>
      <c r="C1" s="33" t="s">
        <v>2</v>
      </c>
      <c r="D1" s="11" t="s">
        <v>3</v>
      </c>
      <c r="E1" s="11" t="s">
        <v>337</v>
      </c>
      <c r="F1" s="11" t="s">
        <v>8</v>
      </c>
      <c r="G1" s="11" t="s">
        <v>6</v>
      </c>
      <c r="H1" s="11" t="s">
        <v>338</v>
      </c>
      <c r="I1" s="11" t="s">
        <v>339</v>
      </c>
    </row>
    <row r="2" s="97" customFormat="1" ht="33.75" spans="1:9">
      <c r="A2" s="322" t="s">
        <v>596</v>
      </c>
      <c r="B2" s="323" t="s">
        <v>597</v>
      </c>
      <c r="C2" s="323" t="s">
        <v>598</v>
      </c>
      <c r="D2" s="323" t="s">
        <v>599</v>
      </c>
      <c r="E2" s="324" t="s">
        <v>344</v>
      </c>
      <c r="F2" s="324" t="s">
        <v>24</v>
      </c>
      <c r="G2" s="325" t="s">
        <v>71</v>
      </c>
      <c r="H2" s="323" t="s">
        <v>600</v>
      </c>
      <c r="I2" s="113"/>
    </row>
    <row r="3" s="97" customFormat="1" ht="33.75" spans="1:9">
      <c r="A3" s="326"/>
      <c r="B3" s="323" t="s">
        <v>601</v>
      </c>
      <c r="C3" s="323" t="s">
        <v>602</v>
      </c>
      <c r="D3" s="323" t="s">
        <v>603</v>
      </c>
      <c r="E3" s="324" t="s">
        <v>344</v>
      </c>
      <c r="F3" s="324" t="s">
        <v>24</v>
      </c>
      <c r="G3" s="325" t="s">
        <v>397</v>
      </c>
      <c r="H3" s="323" t="s">
        <v>604</v>
      </c>
      <c r="I3" s="113"/>
    </row>
    <row r="4" s="97" customFormat="1" ht="22.5" spans="1:9">
      <c r="A4" s="326"/>
      <c r="B4" s="323" t="s">
        <v>605</v>
      </c>
      <c r="C4" s="323" t="s">
        <v>606</v>
      </c>
      <c r="D4" s="323" t="s">
        <v>607</v>
      </c>
      <c r="E4" s="324" t="s">
        <v>608</v>
      </c>
      <c r="F4" s="324" t="s">
        <v>24</v>
      </c>
      <c r="G4" s="325" t="s">
        <v>71</v>
      </c>
      <c r="H4" s="323" t="s">
        <v>609</v>
      </c>
      <c r="I4" s="113"/>
    </row>
    <row r="5" s="97" customFormat="1" spans="1:9">
      <c r="A5" s="326"/>
      <c r="B5" s="323" t="s">
        <v>610</v>
      </c>
      <c r="C5" s="323" t="s">
        <v>611</v>
      </c>
      <c r="D5" s="323" t="s">
        <v>612</v>
      </c>
      <c r="E5" s="324" t="s">
        <v>344</v>
      </c>
      <c r="F5" s="324" t="s">
        <v>57</v>
      </c>
      <c r="G5" s="325" t="s">
        <v>354</v>
      </c>
      <c r="H5" s="323" t="s">
        <v>613</v>
      </c>
      <c r="I5" s="113"/>
    </row>
    <row r="6" s="97" customFormat="1" customHeight="1" spans="1:9">
      <c r="A6" s="327"/>
      <c r="B6" s="323" t="s">
        <v>614</v>
      </c>
      <c r="C6" s="323" t="s">
        <v>615</v>
      </c>
      <c r="D6" s="323" t="s">
        <v>616</v>
      </c>
      <c r="E6" s="324" t="s">
        <v>608</v>
      </c>
      <c r="F6" s="324" t="s">
        <v>57</v>
      </c>
      <c r="G6" s="325" t="s">
        <v>354</v>
      </c>
      <c r="H6" s="323" t="s">
        <v>617</v>
      </c>
      <c r="I6" s="113"/>
    </row>
    <row r="7" s="321" customFormat="1" spans="8:10">
      <c r="H7"/>
      <c r="I7"/>
      <c r="J7"/>
    </row>
    <row r="13" spans="6:6">
      <c r="F13" s="328" t="s">
        <v>618</v>
      </c>
    </row>
  </sheetData>
  <mergeCells count="1">
    <mergeCell ref="A2:A6"/>
  </mergeCells>
  <pageMargins left="0.699305555555556" right="0.699305555555556"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I20"/>
  <sheetViews>
    <sheetView workbookViewId="0">
      <pane xSplit="1" ySplit="1" topLeftCell="B2" activePane="bottomRight" state="frozen"/>
      <selection/>
      <selection pane="topRight"/>
      <selection pane="bottomLeft"/>
      <selection pane="bottomRight" activeCell="B6" sqref="B6"/>
    </sheetView>
  </sheetViews>
  <sheetFormatPr defaultColWidth="9" defaultRowHeight="13.5"/>
  <cols>
    <col min="1" max="1" width="6.125" customWidth="1"/>
    <col min="2" max="2" width="52.125" customWidth="1"/>
    <col min="3" max="3" width="34.625" customWidth="1"/>
    <col min="4" max="4" width="13.875" customWidth="1"/>
    <col min="5" max="5" width="6.375" customWidth="1"/>
    <col min="6" max="6" width="10.5" customWidth="1"/>
    <col min="7" max="7" width="17.25" customWidth="1"/>
    <col min="8" max="8" width="41.875" style="32" customWidth="1"/>
    <col min="9" max="9" width="22" customWidth="1"/>
  </cols>
  <sheetData>
    <row r="1" s="317" customFormat="1" ht="25.5" customHeight="1" spans="1:9">
      <c r="A1" s="11" t="s">
        <v>335</v>
      </c>
      <c r="B1" s="11" t="s">
        <v>336</v>
      </c>
      <c r="C1" s="33" t="s">
        <v>2</v>
      </c>
      <c r="D1" s="11" t="s">
        <v>3</v>
      </c>
      <c r="E1" s="11" t="s">
        <v>337</v>
      </c>
      <c r="F1" s="11" t="s">
        <v>8</v>
      </c>
      <c r="G1" s="11" t="s">
        <v>6</v>
      </c>
      <c r="H1" s="11" t="s">
        <v>338</v>
      </c>
      <c r="I1" s="11" t="s">
        <v>339</v>
      </c>
    </row>
    <row r="2" s="30" customFormat="1" ht="22.5" spans="1:9">
      <c r="A2" s="318" t="s">
        <v>619</v>
      </c>
      <c r="B2" s="54" t="s">
        <v>620</v>
      </c>
      <c r="C2" s="54" t="s">
        <v>621</v>
      </c>
      <c r="D2" s="54" t="s">
        <v>622</v>
      </c>
      <c r="E2" s="38" t="s">
        <v>344</v>
      </c>
      <c r="F2" s="38" t="s">
        <v>24</v>
      </c>
      <c r="G2" s="55" t="s">
        <v>567</v>
      </c>
      <c r="H2" s="54" t="s">
        <v>623</v>
      </c>
      <c r="I2" s="52"/>
    </row>
    <row r="3" s="30" customFormat="1" ht="22.5" spans="1:9">
      <c r="A3" s="318"/>
      <c r="B3" s="54" t="s">
        <v>624</v>
      </c>
      <c r="C3" s="54" t="s">
        <v>625</v>
      </c>
      <c r="D3" s="54" t="s">
        <v>626</v>
      </c>
      <c r="E3" s="38" t="s">
        <v>344</v>
      </c>
      <c r="F3" s="38" t="s">
        <v>24</v>
      </c>
      <c r="G3" s="55" t="s">
        <v>567</v>
      </c>
      <c r="H3" s="54" t="s">
        <v>627</v>
      </c>
      <c r="I3" s="52"/>
    </row>
    <row r="4" s="30" customFormat="1" ht="22.5" spans="1:9">
      <c r="A4" s="318"/>
      <c r="B4" s="54" t="s">
        <v>628</v>
      </c>
      <c r="C4" s="54" t="s">
        <v>629</v>
      </c>
      <c r="D4" s="54" t="s">
        <v>630</v>
      </c>
      <c r="E4" s="38" t="s">
        <v>344</v>
      </c>
      <c r="F4" s="38" t="s">
        <v>24</v>
      </c>
      <c r="G4" s="55" t="s">
        <v>567</v>
      </c>
      <c r="H4" s="54" t="s">
        <v>631</v>
      </c>
      <c r="I4" s="52"/>
    </row>
    <row r="5" s="30" customFormat="1" ht="33.75" spans="1:9">
      <c r="A5" s="318"/>
      <c r="B5" s="54" t="s">
        <v>632</v>
      </c>
      <c r="C5" s="54" t="s">
        <v>633</v>
      </c>
      <c r="D5" s="54" t="s">
        <v>634</v>
      </c>
      <c r="E5" s="38" t="s">
        <v>344</v>
      </c>
      <c r="F5" s="38" t="s">
        <v>24</v>
      </c>
      <c r="G5" s="55" t="s">
        <v>71</v>
      </c>
      <c r="H5" s="54" t="s">
        <v>635</v>
      </c>
      <c r="I5" s="52"/>
    </row>
    <row r="6" s="30" customFormat="1" ht="22.5" spans="1:9">
      <c r="A6" s="318"/>
      <c r="B6" s="54" t="s">
        <v>636</v>
      </c>
      <c r="C6" s="54" t="s">
        <v>637</v>
      </c>
      <c r="D6" s="54" t="s">
        <v>638</v>
      </c>
      <c r="E6" s="38" t="s">
        <v>344</v>
      </c>
      <c r="F6" s="38" t="s">
        <v>24</v>
      </c>
      <c r="G6" s="319" t="s">
        <v>639</v>
      </c>
      <c r="H6" s="54" t="s">
        <v>398</v>
      </c>
      <c r="I6" s="52"/>
    </row>
    <row r="7" s="30" customFormat="1" ht="22.5" spans="1:9">
      <c r="A7" s="318"/>
      <c r="B7" s="54" t="s">
        <v>640</v>
      </c>
      <c r="C7" s="54" t="s">
        <v>641</v>
      </c>
      <c r="D7" s="54" t="s">
        <v>642</v>
      </c>
      <c r="E7" s="38" t="s">
        <v>344</v>
      </c>
      <c r="F7" s="38" t="s">
        <v>24</v>
      </c>
      <c r="G7" s="55" t="s">
        <v>643</v>
      </c>
      <c r="H7" s="54" t="s">
        <v>644</v>
      </c>
      <c r="I7" s="52"/>
    </row>
    <row r="8" s="30" customFormat="1" ht="33.75" spans="1:9">
      <c r="A8" s="318"/>
      <c r="B8" s="54" t="s">
        <v>645</v>
      </c>
      <c r="C8" s="54" t="s">
        <v>646</v>
      </c>
      <c r="D8" s="54" t="s">
        <v>647</v>
      </c>
      <c r="E8" s="38" t="s">
        <v>344</v>
      </c>
      <c r="F8" s="38" t="s">
        <v>57</v>
      </c>
      <c r="G8" s="55" t="s">
        <v>648</v>
      </c>
      <c r="H8" s="54" t="s">
        <v>649</v>
      </c>
      <c r="I8" s="52"/>
    </row>
    <row r="9" s="30" customFormat="1" ht="33.75" spans="1:9">
      <c r="A9" s="318"/>
      <c r="B9" s="54" t="s">
        <v>650</v>
      </c>
      <c r="C9" s="54" t="s">
        <v>651</v>
      </c>
      <c r="D9" s="54" t="s">
        <v>652</v>
      </c>
      <c r="E9" s="38" t="s">
        <v>344</v>
      </c>
      <c r="F9" s="38" t="s">
        <v>57</v>
      </c>
      <c r="G9" s="55" t="s">
        <v>567</v>
      </c>
      <c r="H9" s="54" t="s">
        <v>653</v>
      </c>
      <c r="I9" s="52"/>
    </row>
    <row r="10" s="30" customFormat="1" ht="12" spans="1:9">
      <c r="A10" s="318"/>
      <c r="B10" s="54" t="s">
        <v>654</v>
      </c>
      <c r="C10" s="54" t="s">
        <v>655</v>
      </c>
      <c r="D10" s="54" t="s">
        <v>656</v>
      </c>
      <c r="E10" s="38" t="s">
        <v>344</v>
      </c>
      <c r="F10" s="38" t="s">
        <v>24</v>
      </c>
      <c r="G10" s="55" t="s">
        <v>567</v>
      </c>
      <c r="H10" s="54" t="s">
        <v>657</v>
      </c>
      <c r="I10" s="52"/>
    </row>
    <row r="11" s="30" customFormat="1" ht="22.5" spans="1:9">
      <c r="A11" s="318"/>
      <c r="B11" s="54" t="s">
        <v>658</v>
      </c>
      <c r="C11" s="54" t="s">
        <v>659</v>
      </c>
      <c r="D11" s="54" t="s">
        <v>660</v>
      </c>
      <c r="E11" s="38" t="s">
        <v>344</v>
      </c>
      <c r="F11" s="38" t="s">
        <v>24</v>
      </c>
      <c r="G11" s="55" t="s">
        <v>567</v>
      </c>
      <c r="H11" s="54" t="s">
        <v>661</v>
      </c>
      <c r="I11" s="52"/>
    </row>
    <row r="12" s="30" customFormat="1" ht="12" spans="1:9">
      <c r="A12" s="318"/>
      <c r="B12" s="54" t="s">
        <v>662</v>
      </c>
      <c r="C12" s="54" t="s">
        <v>663</v>
      </c>
      <c r="D12" s="54" t="s">
        <v>664</v>
      </c>
      <c r="E12" s="38" t="s">
        <v>608</v>
      </c>
      <c r="F12" s="38" t="s">
        <v>24</v>
      </c>
      <c r="G12" s="55" t="s">
        <v>567</v>
      </c>
      <c r="H12" s="54" t="s">
        <v>346</v>
      </c>
      <c r="I12" s="52"/>
    </row>
    <row r="13" s="30" customFormat="1" ht="12" spans="1:9">
      <c r="A13" s="318"/>
      <c r="B13" s="54" t="s">
        <v>665</v>
      </c>
      <c r="C13" s="54" t="s">
        <v>666</v>
      </c>
      <c r="D13" s="54" t="s">
        <v>667</v>
      </c>
      <c r="E13" s="38" t="s">
        <v>608</v>
      </c>
      <c r="F13" s="38" t="s">
        <v>24</v>
      </c>
      <c r="G13" s="55" t="s">
        <v>71</v>
      </c>
      <c r="H13" s="54" t="s">
        <v>668</v>
      </c>
      <c r="I13" s="52"/>
    </row>
    <row r="14" s="30" customFormat="1" ht="12" spans="1:9">
      <c r="A14" s="318"/>
      <c r="B14" s="54" t="s">
        <v>669</v>
      </c>
      <c r="C14" s="54" t="s">
        <v>670</v>
      </c>
      <c r="D14" s="54" t="s">
        <v>671</v>
      </c>
      <c r="E14" s="38" t="s">
        <v>608</v>
      </c>
      <c r="F14" s="38" t="s">
        <v>24</v>
      </c>
      <c r="G14" s="55" t="s">
        <v>567</v>
      </c>
      <c r="H14" s="54" t="s">
        <v>346</v>
      </c>
      <c r="I14" s="52"/>
    </row>
    <row r="15" s="30" customFormat="1" ht="22.5" spans="1:9">
      <c r="A15" s="318"/>
      <c r="B15" s="54" t="s">
        <v>672</v>
      </c>
      <c r="C15" s="54" t="s">
        <v>673</v>
      </c>
      <c r="D15" s="54" t="s">
        <v>674</v>
      </c>
      <c r="E15" s="38" t="s">
        <v>608</v>
      </c>
      <c r="F15" s="38" t="s">
        <v>24</v>
      </c>
      <c r="G15" s="54" t="s">
        <v>675</v>
      </c>
      <c r="H15" s="54" t="s">
        <v>346</v>
      </c>
      <c r="I15" s="52"/>
    </row>
    <row r="16" s="30" customFormat="1" ht="12" spans="1:9">
      <c r="A16" s="318"/>
      <c r="B16" s="54" t="s">
        <v>676</v>
      </c>
      <c r="C16" s="54" t="s">
        <v>677</v>
      </c>
      <c r="D16" s="54" t="s">
        <v>678</v>
      </c>
      <c r="E16" s="38" t="s">
        <v>608</v>
      </c>
      <c r="F16" s="38" t="s">
        <v>24</v>
      </c>
      <c r="G16" s="55" t="s">
        <v>567</v>
      </c>
      <c r="H16" s="54" t="s">
        <v>346</v>
      </c>
      <c r="I16" s="52"/>
    </row>
    <row r="17" s="30" customFormat="1" ht="12" spans="1:9">
      <c r="A17" s="318"/>
      <c r="B17" s="54" t="s">
        <v>679</v>
      </c>
      <c r="C17" s="54" t="s">
        <v>680</v>
      </c>
      <c r="D17" s="54" t="s">
        <v>681</v>
      </c>
      <c r="E17" s="38" t="s">
        <v>608</v>
      </c>
      <c r="F17" s="38" t="s">
        <v>24</v>
      </c>
      <c r="G17" s="55" t="s">
        <v>567</v>
      </c>
      <c r="H17" s="54" t="s">
        <v>346</v>
      </c>
      <c r="I17" s="52"/>
    </row>
    <row r="18" s="30" customFormat="1" ht="12" spans="1:9">
      <c r="A18" s="318"/>
      <c r="B18" s="54" t="s">
        <v>682</v>
      </c>
      <c r="C18" s="54" t="s">
        <v>683</v>
      </c>
      <c r="D18" s="54" t="s">
        <v>684</v>
      </c>
      <c r="E18" s="38" t="s">
        <v>608</v>
      </c>
      <c r="F18" s="38" t="s">
        <v>24</v>
      </c>
      <c r="G18" s="55" t="s">
        <v>685</v>
      </c>
      <c r="H18" s="54" t="s">
        <v>346</v>
      </c>
      <c r="I18" s="52"/>
    </row>
    <row r="19" s="30" customFormat="1" ht="12" spans="1:9">
      <c r="A19" s="318"/>
      <c r="B19" s="54" t="s">
        <v>686</v>
      </c>
      <c r="C19" s="54" t="s">
        <v>687</v>
      </c>
      <c r="D19" s="54" t="s">
        <v>688</v>
      </c>
      <c r="E19" s="38" t="s">
        <v>608</v>
      </c>
      <c r="F19" s="38" t="s">
        <v>24</v>
      </c>
      <c r="G19" s="55" t="s">
        <v>689</v>
      </c>
      <c r="H19" s="54" t="s">
        <v>346</v>
      </c>
      <c r="I19" s="52"/>
    </row>
    <row r="20" s="30" customFormat="1" ht="12" spans="1:9">
      <c r="A20" s="318"/>
      <c r="B20" s="54" t="s">
        <v>690</v>
      </c>
      <c r="C20" s="54" t="s">
        <v>691</v>
      </c>
      <c r="D20" s="54" t="s">
        <v>692</v>
      </c>
      <c r="E20" s="38" t="s">
        <v>608</v>
      </c>
      <c r="F20" s="38" t="s">
        <v>57</v>
      </c>
      <c r="G20" s="55" t="s">
        <v>71</v>
      </c>
      <c r="H20" s="54" t="s">
        <v>668</v>
      </c>
      <c r="I20" s="52"/>
    </row>
  </sheetData>
  <autoFilter ref="A1:I20">
    <extLst/>
  </autoFilter>
  <mergeCells count="1">
    <mergeCell ref="A2:A20"/>
  </mergeCells>
  <pageMargins left="0.699305555555556" right="0.699305555555556"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KQ60"/>
  <sheetViews>
    <sheetView workbookViewId="0">
      <pane xSplit="1" ySplit="1" topLeftCell="B29" activePane="bottomRight" state="frozen"/>
      <selection/>
      <selection pane="topRight"/>
      <selection pane="bottomLeft"/>
      <selection pane="bottomRight" activeCell="G68" sqref="G68"/>
    </sheetView>
  </sheetViews>
  <sheetFormatPr defaultColWidth="9" defaultRowHeight="11.25"/>
  <cols>
    <col min="1" max="1" width="8" style="177" customWidth="1"/>
    <col min="2" max="2" width="48" style="304" customWidth="1"/>
    <col min="3" max="3" width="21.625" style="304" customWidth="1"/>
    <col min="4" max="4" width="20.5" style="305" customWidth="1"/>
    <col min="5" max="5" width="6.375" style="305" customWidth="1"/>
    <col min="6" max="6" width="11.375" style="306" customWidth="1"/>
    <col min="7" max="7" width="9.75" style="304" customWidth="1"/>
    <col min="8" max="8" width="26.75" style="177" customWidth="1"/>
    <col min="9" max="9" width="25.25" style="177" customWidth="1"/>
    <col min="10" max="16384" width="9" style="177"/>
  </cols>
  <sheetData>
    <row r="1" s="301" customFormat="1" ht="27" customHeight="1" spans="1:9">
      <c r="A1" s="11" t="s">
        <v>335</v>
      </c>
      <c r="B1" s="11" t="s">
        <v>336</v>
      </c>
      <c r="C1" s="33" t="s">
        <v>2</v>
      </c>
      <c r="D1" s="11" t="s">
        <v>3</v>
      </c>
      <c r="E1" s="11" t="s">
        <v>337</v>
      </c>
      <c r="F1" s="11" t="s">
        <v>8</v>
      </c>
      <c r="G1" s="11" t="s">
        <v>6</v>
      </c>
      <c r="H1" s="11" t="s">
        <v>338</v>
      </c>
      <c r="I1" s="11" t="s">
        <v>339</v>
      </c>
    </row>
    <row r="2" s="302" customFormat="1" ht="22.5" customHeight="1" spans="1:303">
      <c r="A2" s="307" t="s">
        <v>693</v>
      </c>
      <c r="B2" s="308" t="s">
        <v>694</v>
      </c>
      <c r="C2" s="308" t="s">
        <v>695</v>
      </c>
      <c r="D2" s="308" t="s">
        <v>696</v>
      </c>
      <c r="E2" s="309" t="s">
        <v>344</v>
      </c>
      <c r="F2" s="309" t="s">
        <v>57</v>
      </c>
      <c r="G2" s="308" t="s">
        <v>28</v>
      </c>
      <c r="H2" s="308" t="s">
        <v>346</v>
      </c>
      <c r="I2" s="52"/>
      <c r="J2" s="311"/>
      <c r="K2" s="311"/>
      <c r="L2" s="311"/>
      <c r="M2" s="311"/>
      <c r="N2" s="311"/>
      <c r="O2" s="311"/>
      <c r="P2" s="311"/>
      <c r="Q2" s="311"/>
      <c r="R2" s="311"/>
      <c r="S2" s="311"/>
      <c r="T2" s="311"/>
      <c r="U2" s="311"/>
      <c r="V2" s="311"/>
      <c r="W2" s="311"/>
      <c r="X2" s="311"/>
      <c r="Y2" s="311"/>
      <c r="Z2" s="311"/>
      <c r="AA2" s="311"/>
      <c r="AB2" s="311"/>
      <c r="AC2" s="311"/>
      <c r="AD2" s="311"/>
      <c r="AE2" s="311"/>
      <c r="AF2" s="311"/>
      <c r="AG2" s="311"/>
      <c r="AH2" s="311"/>
      <c r="AI2" s="311"/>
      <c r="AJ2" s="311"/>
      <c r="AK2" s="311"/>
      <c r="AL2" s="311"/>
      <c r="AM2" s="311"/>
      <c r="AN2" s="311"/>
      <c r="AO2" s="311"/>
      <c r="AP2" s="311"/>
      <c r="AQ2" s="311"/>
      <c r="AR2" s="311"/>
      <c r="AS2" s="311"/>
      <c r="AT2" s="311"/>
      <c r="AU2" s="311"/>
      <c r="AV2" s="311"/>
      <c r="AW2" s="311"/>
      <c r="AX2" s="311"/>
      <c r="AY2" s="311"/>
      <c r="AZ2" s="311"/>
      <c r="BA2" s="311"/>
      <c r="BB2" s="311"/>
      <c r="BC2" s="311"/>
      <c r="BD2" s="311"/>
      <c r="BE2" s="311"/>
      <c r="BF2" s="311"/>
      <c r="BG2" s="311"/>
      <c r="BH2" s="311"/>
      <c r="BI2" s="311"/>
      <c r="BJ2" s="311"/>
      <c r="BK2" s="311"/>
      <c r="BL2" s="311"/>
      <c r="BM2" s="311"/>
      <c r="BN2" s="311"/>
      <c r="BO2" s="311"/>
      <c r="BP2" s="311"/>
      <c r="BQ2" s="311"/>
      <c r="BR2" s="311"/>
      <c r="BS2" s="311"/>
      <c r="BT2" s="311"/>
      <c r="BU2" s="311"/>
      <c r="BV2" s="311"/>
      <c r="BW2" s="311"/>
      <c r="BX2" s="311"/>
      <c r="BY2" s="311"/>
      <c r="BZ2" s="311"/>
      <c r="CA2" s="311"/>
      <c r="CB2" s="311"/>
      <c r="CC2" s="311"/>
      <c r="CD2" s="311"/>
      <c r="CE2" s="311"/>
      <c r="CF2" s="311"/>
      <c r="CG2" s="311"/>
      <c r="CH2" s="311"/>
      <c r="CI2" s="311"/>
      <c r="CJ2" s="311"/>
      <c r="CK2" s="311"/>
      <c r="CL2" s="311"/>
      <c r="CM2" s="311"/>
      <c r="CN2" s="311"/>
      <c r="CO2" s="311"/>
      <c r="CP2" s="311"/>
      <c r="CQ2" s="311"/>
      <c r="CR2" s="311"/>
      <c r="CS2" s="311"/>
      <c r="CT2" s="311"/>
      <c r="CU2" s="311"/>
      <c r="CV2" s="311"/>
      <c r="CW2" s="311"/>
      <c r="CX2" s="311"/>
      <c r="CY2" s="311"/>
      <c r="CZ2" s="311"/>
      <c r="DA2" s="311"/>
      <c r="DB2" s="311"/>
      <c r="DC2" s="311"/>
      <c r="DD2" s="311"/>
      <c r="DE2" s="311"/>
      <c r="DF2" s="311"/>
      <c r="DG2" s="311"/>
      <c r="DH2" s="311"/>
      <c r="DI2" s="311"/>
      <c r="DJ2" s="311"/>
      <c r="DK2" s="311"/>
      <c r="DL2" s="311"/>
      <c r="DM2" s="311"/>
      <c r="DN2" s="311"/>
      <c r="DO2" s="311"/>
      <c r="DP2" s="311"/>
      <c r="DQ2" s="311"/>
      <c r="DR2" s="311"/>
      <c r="DS2" s="311"/>
      <c r="DT2" s="311"/>
      <c r="DU2" s="311"/>
      <c r="DV2" s="311"/>
      <c r="DW2" s="311"/>
      <c r="DX2" s="311"/>
      <c r="DY2" s="311"/>
      <c r="DZ2" s="311"/>
      <c r="EA2" s="311"/>
      <c r="EB2" s="311"/>
      <c r="EC2" s="311"/>
      <c r="ED2" s="311"/>
      <c r="EE2" s="311"/>
      <c r="EF2" s="311"/>
      <c r="EG2" s="311"/>
      <c r="EH2" s="311"/>
      <c r="EI2" s="311"/>
      <c r="EJ2" s="311"/>
      <c r="EK2" s="311"/>
      <c r="EL2" s="311"/>
      <c r="EM2" s="311"/>
      <c r="EN2" s="311"/>
      <c r="EO2" s="311"/>
      <c r="EP2" s="311"/>
      <c r="EQ2" s="311"/>
      <c r="ER2" s="311"/>
      <c r="ES2" s="311"/>
      <c r="ET2" s="311"/>
      <c r="EU2" s="311"/>
      <c r="EV2" s="311"/>
      <c r="EW2" s="311"/>
      <c r="EX2" s="311"/>
      <c r="EY2" s="311"/>
      <c r="EZ2" s="311"/>
      <c r="FA2" s="311"/>
      <c r="FB2" s="311"/>
      <c r="FC2" s="311"/>
      <c r="FD2" s="311"/>
      <c r="FE2" s="311"/>
      <c r="FF2" s="311"/>
      <c r="FG2" s="311"/>
      <c r="FH2" s="311"/>
      <c r="FI2" s="311"/>
      <c r="FJ2" s="311"/>
      <c r="FK2" s="311"/>
      <c r="FL2" s="311"/>
      <c r="FM2" s="311"/>
      <c r="FN2" s="311"/>
      <c r="FO2" s="311"/>
      <c r="FP2" s="311"/>
      <c r="FQ2" s="311"/>
      <c r="FR2" s="311"/>
      <c r="FS2" s="311"/>
      <c r="FT2" s="311"/>
      <c r="FU2" s="311"/>
      <c r="FV2" s="311"/>
      <c r="FW2" s="311"/>
      <c r="FX2" s="311"/>
      <c r="FY2" s="311"/>
      <c r="FZ2" s="311"/>
      <c r="GA2" s="311"/>
      <c r="GB2" s="311"/>
      <c r="GC2" s="311"/>
      <c r="GD2" s="311"/>
      <c r="GE2" s="311"/>
      <c r="GF2" s="311"/>
      <c r="GG2" s="311"/>
      <c r="GH2" s="311"/>
      <c r="GI2" s="311"/>
      <c r="GJ2" s="311"/>
      <c r="GK2" s="311"/>
      <c r="GL2" s="311"/>
      <c r="GM2" s="311"/>
      <c r="GN2" s="311"/>
      <c r="GO2" s="311"/>
      <c r="GP2" s="311"/>
      <c r="GQ2" s="311"/>
      <c r="GR2" s="311"/>
      <c r="GS2" s="311"/>
      <c r="GT2" s="311"/>
      <c r="GU2" s="311"/>
      <c r="GV2" s="311"/>
      <c r="GW2" s="311"/>
      <c r="GX2" s="311"/>
      <c r="GY2" s="311"/>
      <c r="GZ2" s="311"/>
      <c r="HA2" s="311"/>
      <c r="HB2" s="311"/>
      <c r="HC2" s="311"/>
      <c r="HD2" s="311"/>
      <c r="HE2" s="311"/>
      <c r="HF2" s="311"/>
      <c r="HG2" s="311"/>
      <c r="HH2" s="311"/>
      <c r="HI2" s="311"/>
      <c r="HJ2" s="311"/>
      <c r="HK2" s="311"/>
      <c r="HL2" s="311"/>
      <c r="HM2" s="311"/>
      <c r="HN2" s="311"/>
      <c r="HO2" s="311"/>
      <c r="HP2" s="311"/>
      <c r="HQ2" s="311"/>
      <c r="HR2" s="311"/>
      <c r="HS2" s="311"/>
      <c r="HT2" s="311"/>
      <c r="HU2" s="311"/>
      <c r="HV2" s="311"/>
      <c r="HW2" s="311"/>
      <c r="HX2" s="311"/>
      <c r="HY2" s="311"/>
      <c r="HZ2" s="311"/>
      <c r="IA2" s="311"/>
      <c r="IB2" s="311"/>
      <c r="IC2" s="311"/>
      <c r="ID2" s="311"/>
      <c r="IE2" s="311"/>
      <c r="IF2" s="311"/>
      <c r="IG2" s="311"/>
      <c r="IH2" s="311"/>
      <c r="II2" s="311"/>
      <c r="IJ2" s="311"/>
      <c r="IK2" s="311"/>
      <c r="IL2" s="311"/>
      <c r="IM2" s="311"/>
      <c r="IN2" s="311"/>
      <c r="IO2" s="311"/>
      <c r="IP2" s="311"/>
      <c r="IQ2" s="311"/>
      <c r="IR2" s="311"/>
      <c r="IS2" s="311"/>
      <c r="IT2" s="311"/>
      <c r="IU2" s="311"/>
      <c r="IV2" s="311"/>
      <c r="IW2" s="311"/>
      <c r="IX2" s="311"/>
      <c r="IY2" s="311"/>
      <c r="IZ2" s="311"/>
      <c r="JA2" s="311"/>
      <c r="JB2" s="311"/>
      <c r="JC2" s="311"/>
      <c r="JD2" s="311"/>
      <c r="JE2" s="311"/>
      <c r="JF2" s="311"/>
      <c r="JG2" s="311"/>
      <c r="JH2" s="311"/>
      <c r="JI2" s="311"/>
      <c r="JJ2" s="311"/>
      <c r="JK2" s="311"/>
      <c r="JL2" s="311"/>
      <c r="JM2" s="311"/>
      <c r="JN2" s="311"/>
      <c r="JO2" s="311"/>
      <c r="JP2" s="311"/>
      <c r="JQ2" s="311"/>
      <c r="JR2" s="311"/>
      <c r="JS2" s="311"/>
      <c r="JT2" s="311"/>
      <c r="JU2" s="311"/>
      <c r="JV2" s="311"/>
      <c r="JW2" s="311"/>
      <c r="JX2" s="311"/>
      <c r="JY2" s="311"/>
      <c r="JZ2" s="311"/>
      <c r="KA2" s="311"/>
      <c r="KB2" s="311"/>
      <c r="KC2" s="311"/>
      <c r="KD2" s="311"/>
      <c r="KE2" s="311"/>
      <c r="KF2" s="311"/>
      <c r="KG2" s="311"/>
      <c r="KH2" s="311"/>
      <c r="KI2" s="311"/>
      <c r="KJ2" s="311"/>
      <c r="KK2" s="311"/>
      <c r="KL2" s="311"/>
      <c r="KM2" s="311"/>
      <c r="KN2" s="311"/>
      <c r="KO2" s="311"/>
      <c r="KP2" s="311"/>
      <c r="KQ2" s="311"/>
    </row>
    <row r="3" s="302" customFormat="1" spans="1:303">
      <c r="A3" s="307"/>
      <c r="B3" s="308" t="s">
        <v>697</v>
      </c>
      <c r="C3" s="308" t="s">
        <v>698</v>
      </c>
      <c r="D3" s="308" t="s">
        <v>699</v>
      </c>
      <c r="E3" s="309" t="s">
        <v>344</v>
      </c>
      <c r="F3" s="309" t="s">
        <v>57</v>
      </c>
      <c r="G3" s="308" t="s">
        <v>28</v>
      </c>
      <c r="H3" s="308" t="s">
        <v>346</v>
      </c>
      <c r="I3" s="114"/>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1"/>
      <c r="AV3" s="311"/>
      <c r="AW3" s="311"/>
      <c r="AX3" s="311"/>
      <c r="AY3" s="311"/>
      <c r="AZ3" s="311"/>
      <c r="BA3" s="311"/>
      <c r="BB3" s="311"/>
      <c r="BC3" s="311"/>
      <c r="BD3" s="311"/>
      <c r="BE3" s="311"/>
      <c r="BF3" s="311"/>
      <c r="BG3" s="311"/>
      <c r="BH3" s="311"/>
      <c r="BI3" s="311"/>
      <c r="BJ3" s="311"/>
      <c r="BK3" s="311"/>
      <c r="BL3" s="311"/>
      <c r="BM3" s="311"/>
      <c r="BN3" s="311"/>
      <c r="BO3" s="311"/>
      <c r="BP3" s="311"/>
      <c r="BQ3" s="311"/>
      <c r="BR3" s="311"/>
      <c r="BS3" s="311"/>
      <c r="BT3" s="311"/>
      <c r="BU3" s="311"/>
      <c r="BV3" s="311"/>
      <c r="BW3" s="311"/>
      <c r="BX3" s="311"/>
      <c r="BY3" s="311"/>
      <c r="BZ3" s="311"/>
      <c r="CA3" s="311"/>
      <c r="CB3" s="311"/>
      <c r="CC3" s="311"/>
      <c r="CD3" s="311"/>
      <c r="CE3" s="311"/>
      <c r="CF3" s="311"/>
      <c r="CG3" s="311"/>
      <c r="CH3" s="311"/>
      <c r="CI3" s="311"/>
      <c r="CJ3" s="311"/>
      <c r="CK3" s="311"/>
      <c r="CL3" s="311"/>
      <c r="CM3" s="311"/>
      <c r="CN3" s="311"/>
      <c r="CO3" s="311"/>
      <c r="CP3" s="311"/>
      <c r="CQ3" s="311"/>
      <c r="CR3" s="311"/>
      <c r="CS3" s="311"/>
      <c r="CT3" s="311"/>
      <c r="CU3" s="311"/>
      <c r="CV3" s="311"/>
      <c r="CW3" s="311"/>
      <c r="CX3" s="311"/>
      <c r="CY3" s="311"/>
      <c r="CZ3" s="311"/>
      <c r="DA3" s="311"/>
      <c r="DB3" s="311"/>
      <c r="DC3" s="311"/>
      <c r="DD3" s="311"/>
      <c r="DE3" s="311"/>
      <c r="DF3" s="311"/>
      <c r="DG3" s="311"/>
      <c r="DH3" s="311"/>
      <c r="DI3" s="311"/>
      <c r="DJ3" s="311"/>
      <c r="DK3" s="311"/>
      <c r="DL3" s="311"/>
      <c r="DM3" s="311"/>
      <c r="DN3" s="311"/>
      <c r="DO3" s="311"/>
      <c r="DP3" s="311"/>
      <c r="DQ3" s="311"/>
      <c r="DR3" s="311"/>
      <c r="DS3" s="311"/>
      <c r="DT3" s="311"/>
      <c r="DU3" s="311"/>
      <c r="DV3" s="311"/>
      <c r="DW3" s="311"/>
      <c r="DX3" s="311"/>
      <c r="DY3" s="311"/>
      <c r="DZ3" s="311"/>
      <c r="EA3" s="311"/>
      <c r="EB3" s="311"/>
      <c r="EC3" s="311"/>
      <c r="ED3" s="311"/>
      <c r="EE3" s="311"/>
      <c r="EF3" s="311"/>
      <c r="EG3" s="311"/>
      <c r="EH3" s="311"/>
      <c r="EI3" s="311"/>
      <c r="EJ3" s="311"/>
      <c r="EK3" s="311"/>
      <c r="EL3" s="311"/>
      <c r="EM3" s="311"/>
      <c r="EN3" s="311"/>
      <c r="EO3" s="311"/>
      <c r="EP3" s="311"/>
      <c r="EQ3" s="311"/>
      <c r="ER3" s="311"/>
      <c r="ES3" s="311"/>
      <c r="ET3" s="311"/>
      <c r="EU3" s="311"/>
      <c r="EV3" s="311"/>
      <c r="EW3" s="311"/>
      <c r="EX3" s="311"/>
      <c r="EY3" s="311"/>
      <c r="EZ3" s="311"/>
      <c r="FA3" s="311"/>
      <c r="FB3" s="311"/>
      <c r="FC3" s="311"/>
      <c r="FD3" s="311"/>
      <c r="FE3" s="311"/>
      <c r="FF3" s="311"/>
      <c r="FG3" s="311"/>
      <c r="FH3" s="311"/>
      <c r="FI3" s="311"/>
      <c r="FJ3" s="311"/>
      <c r="FK3" s="311"/>
      <c r="FL3" s="311"/>
      <c r="FM3" s="311"/>
      <c r="FN3" s="311"/>
      <c r="FO3" s="311"/>
      <c r="FP3" s="311"/>
      <c r="FQ3" s="311"/>
      <c r="FR3" s="311"/>
      <c r="FS3" s="311"/>
      <c r="FT3" s="311"/>
      <c r="FU3" s="311"/>
      <c r="FV3" s="311"/>
      <c r="FW3" s="311"/>
      <c r="FX3" s="311"/>
      <c r="FY3" s="311"/>
      <c r="FZ3" s="311"/>
      <c r="GA3" s="311"/>
      <c r="GB3" s="311"/>
      <c r="GC3" s="311"/>
      <c r="GD3" s="311"/>
      <c r="GE3" s="311"/>
      <c r="GF3" s="311"/>
      <c r="GG3" s="311"/>
      <c r="GH3" s="311"/>
      <c r="GI3" s="311"/>
      <c r="GJ3" s="311"/>
      <c r="GK3" s="311"/>
      <c r="GL3" s="311"/>
      <c r="GM3" s="311"/>
      <c r="GN3" s="311"/>
      <c r="GO3" s="311"/>
      <c r="GP3" s="311"/>
      <c r="GQ3" s="311"/>
      <c r="GR3" s="311"/>
      <c r="GS3" s="311"/>
      <c r="GT3" s="311"/>
      <c r="GU3" s="311"/>
      <c r="GV3" s="311"/>
      <c r="GW3" s="311"/>
      <c r="GX3" s="311"/>
      <c r="GY3" s="311"/>
      <c r="GZ3" s="311"/>
      <c r="HA3" s="311"/>
      <c r="HB3" s="311"/>
      <c r="HC3" s="311"/>
      <c r="HD3" s="311"/>
      <c r="HE3" s="311"/>
      <c r="HF3" s="311"/>
      <c r="HG3" s="311"/>
      <c r="HH3" s="311"/>
      <c r="HI3" s="311"/>
      <c r="HJ3" s="311"/>
      <c r="HK3" s="311"/>
      <c r="HL3" s="311"/>
      <c r="HM3" s="311"/>
      <c r="HN3" s="311"/>
      <c r="HO3" s="311"/>
      <c r="HP3" s="311"/>
      <c r="HQ3" s="311"/>
      <c r="HR3" s="311"/>
      <c r="HS3" s="311"/>
      <c r="HT3" s="311"/>
      <c r="HU3" s="311"/>
      <c r="HV3" s="311"/>
      <c r="HW3" s="311"/>
      <c r="HX3" s="311"/>
      <c r="HY3" s="311"/>
      <c r="HZ3" s="311"/>
      <c r="IA3" s="311"/>
      <c r="IB3" s="311"/>
      <c r="IC3" s="311"/>
      <c r="ID3" s="311"/>
      <c r="IE3" s="311"/>
      <c r="IF3" s="311"/>
      <c r="IG3" s="311"/>
      <c r="IH3" s="311"/>
      <c r="II3" s="311"/>
      <c r="IJ3" s="311"/>
      <c r="IK3" s="311"/>
      <c r="IL3" s="311"/>
      <c r="IM3" s="311"/>
      <c r="IN3" s="311"/>
      <c r="IO3" s="311"/>
      <c r="IP3" s="311"/>
      <c r="IQ3" s="311"/>
      <c r="IR3" s="311"/>
      <c r="IS3" s="311"/>
      <c r="IT3" s="311"/>
      <c r="IU3" s="311"/>
      <c r="IV3" s="311"/>
      <c r="IW3" s="311"/>
      <c r="IX3" s="311"/>
      <c r="IY3" s="311"/>
      <c r="IZ3" s="311"/>
      <c r="JA3" s="311"/>
      <c r="JB3" s="311"/>
      <c r="JC3" s="311"/>
      <c r="JD3" s="311"/>
      <c r="JE3" s="311"/>
      <c r="JF3" s="311"/>
      <c r="JG3" s="311"/>
      <c r="JH3" s="311"/>
      <c r="JI3" s="311"/>
      <c r="JJ3" s="311"/>
      <c r="JK3" s="311"/>
      <c r="JL3" s="311"/>
      <c r="JM3" s="311"/>
      <c r="JN3" s="311"/>
      <c r="JO3" s="311"/>
      <c r="JP3" s="311"/>
      <c r="JQ3" s="311"/>
      <c r="JR3" s="311"/>
      <c r="JS3" s="311"/>
      <c r="JT3" s="311"/>
      <c r="JU3" s="311"/>
      <c r="JV3" s="311"/>
      <c r="JW3" s="311"/>
      <c r="JX3" s="311"/>
      <c r="JY3" s="311"/>
      <c r="JZ3" s="311"/>
      <c r="KA3" s="311"/>
      <c r="KB3" s="311"/>
      <c r="KC3" s="311"/>
      <c r="KD3" s="311"/>
      <c r="KE3" s="311"/>
      <c r="KF3" s="311"/>
      <c r="KG3" s="311"/>
      <c r="KH3" s="311"/>
      <c r="KI3" s="311"/>
      <c r="KJ3" s="311"/>
      <c r="KK3" s="311"/>
      <c r="KL3" s="311"/>
      <c r="KM3" s="311"/>
      <c r="KN3" s="311"/>
      <c r="KO3" s="311"/>
      <c r="KP3" s="311"/>
      <c r="KQ3" s="311"/>
    </row>
    <row r="4" s="302" customFormat="1" spans="1:303">
      <c r="A4" s="307"/>
      <c r="B4" s="308" t="s">
        <v>700</v>
      </c>
      <c r="C4" s="308" t="s">
        <v>701</v>
      </c>
      <c r="D4" s="308" t="s">
        <v>702</v>
      </c>
      <c r="E4" s="309" t="s">
        <v>344</v>
      </c>
      <c r="F4" s="309" t="s">
        <v>57</v>
      </c>
      <c r="G4" s="308" t="s">
        <v>28</v>
      </c>
      <c r="H4" s="308" t="s">
        <v>346</v>
      </c>
      <c r="I4" s="114"/>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1"/>
      <c r="AV4" s="311"/>
      <c r="AW4" s="311"/>
      <c r="AX4" s="311"/>
      <c r="AY4" s="311"/>
      <c r="AZ4" s="311"/>
      <c r="BA4" s="311"/>
      <c r="BB4" s="311"/>
      <c r="BC4" s="311"/>
      <c r="BD4" s="311"/>
      <c r="BE4" s="311"/>
      <c r="BF4" s="311"/>
      <c r="BG4" s="311"/>
      <c r="BH4" s="311"/>
      <c r="BI4" s="311"/>
      <c r="BJ4" s="311"/>
      <c r="BK4" s="311"/>
      <c r="BL4" s="311"/>
      <c r="BM4" s="311"/>
      <c r="BN4" s="311"/>
      <c r="BO4" s="311"/>
      <c r="BP4" s="311"/>
      <c r="BQ4" s="311"/>
      <c r="BR4" s="311"/>
      <c r="BS4" s="311"/>
      <c r="BT4" s="311"/>
      <c r="BU4" s="311"/>
      <c r="BV4" s="311"/>
      <c r="BW4" s="311"/>
      <c r="BX4" s="311"/>
      <c r="BY4" s="311"/>
      <c r="BZ4" s="311"/>
      <c r="CA4" s="311"/>
      <c r="CB4" s="311"/>
      <c r="CC4" s="311"/>
      <c r="CD4" s="311"/>
      <c r="CE4" s="311"/>
      <c r="CF4" s="311"/>
      <c r="CG4" s="311"/>
      <c r="CH4" s="311"/>
      <c r="CI4" s="311"/>
      <c r="CJ4" s="311"/>
      <c r="CK4" s="311"/>
      <c r="CL4" s="311"/>
      <c r="CM4" s="311"/>
      <c r="CN4" s="311"/>
      <c r="CO4" s="311"/>
      <c r="CP4" s="311"/>
      <c r="CQ4" s="311"/>
      <c r="CR4" s="311"/>
      <c r="CS4" s="311"/>
      <c r="CT4" s="311"/>
      <c r="CU4" s="311"/>
      <c r="CV4" s="311"/>
      <c r="CW4" s="311"/>
      <c r="CX4" s="311"/>
      <c r="CY4" s="311"/>
      <c r="CZ4" s="311"/>
      <c r="DA4" s="311"/>
      <c r="DB4" s="311"/>
      <c r="DC4" s="311"/>
      <c r="DD4" s="311"/>
      <c r="DE4" s="311"/>
      <c r="DF4" s="311"/>
      <c r="DG4" s="311"/>
      <c r="DH4" s="311"/>
      <c r="DI4" s="311"/>
      <c r="DJ4" s="311"/>
      <c r="DK4" s="311"/>
      <c r="DL4" s="311"/>
      <c r="DM4" s="311"/>
      <c r="DN4" s="311"/>
      <c r="DO4" s="311"/>
      <c r="DP4" s="311"/>
      <c r="DQ4" s="311"/>
      <c r="DR4" s="311"/>
      <c r="DS4" s="311"/>
      <c r="DT4" s="311"/>
      <c r="DU4" s="311"/>
      <c r="DV4" s="311"/>
      <c r="DW4" s="311"/>
      <c r="DX4" s="311"/>
      <c r="DY4" s="311"/>
      <c r="DZ4" s="311"/>
      <c r="EA4" s="311"/>
      <c r="EB4" s="311"/>
      <c r="EC4" s="311"/>
      <c r="ED4" s="311"/>
      <c r="EE4" s="311"/>
      <c r="EF4" s="311"/>
      <c r="EG4" s="311"/>
      <c r="EH4" s="311"/>
      <c r="EI4" s="311"/>
      <c r="EJ4" s="311"/>
      <c r="EK4" s="311"/>
      <c r="EL4" s="311"/>
      <c r="EM4" s="311"/>
      <c r="EN4" s="311"/>
      <c r="EO4" s="311"/>
      <c r="EP4" s="311"/>
      <c r="EQ4" s="311"/>
      <c r="ER4" s="311"/>
      <c r="ES4" s="311"/>
      <c r="ET4" s="311"/>
      <c r="EU4" s="311"/>
      <c r="EV4" s="311"/>
      <c r="EW4" s="311"/>
      <c r="EX4" s="311"/>
      <c r="EY4" s="311"/>
      <c r="EZ4" s="311"/>
      <c r="FA4" s="311"/>
      <c r="FB4" s="311"/>
      <c r="FC4" s="311"/>
      <c r="FD4" s="311"/>
      <c r="FE4" s="311"/>
      <c r="FF4" s="311"/>
      <c r="FG4" s="311"/>
      <c r="FH4" s="311"/>
      <c r="FI4" s="311"/>
      <c r="FJ4" s="311"/>
      <c r="FK4" s="311"/>
      <c r="FL4" s="311"/>
      <c r="FM4" s="311"/>
      <c r="FN4" s="311"/>
      <c r="FO4" s="311"/>
      <c r="FP4" s="311"/>
      <c r="FQ4" s="311"/>
      <c r="FR4" s="311"/>
      <c r="FS4" s="311"/>
      <c r="FT4" s="311"/>
      <c r="FU4" s="311"/>
      <c r="FV4" s="311"/>
      <c r="FW4" s="311"/>
      <c r="FX4" s="311"/>
      <c r="FY4" s="311"/>
      <c r="FZ4" s="311"/>
      <c r="GA4" s="311"/>
      <c r="GB4" s="311"/>
      <c r="GC4" s="311"/>
      <c r="GD4" s="311"/>
      <c r="GE4" s="311"/>
      <c r="GF4" s="311"/>
      <c r="GG4" s="311"/>
      <c r="GH4" s="311"/>
      <c r="GI4" s="311"/>
      <c r="GJ4" s="311"/>
      <c r="GK4" s="311"/>
      <c r="GL4" s="311"/>
      <c r="GM4" s="311"/>
      <c r="GN4" s="311"/>
      <c r="GO4" s="311"/>
      <c r="GP4" s="311"/>
      <c r="GQ4" s="311"/>
      <c r="GR4" s="311"/>
      <c r="GS4" s="311"/>
      <c r="GT4" s="311"/>
      <c r="GU4" s="311"/>
      <c r="GV4" s="311"/>
      <c r="GW4" s="311"/>
      <c r="GX4" s="311"/>
      <c r="GY4" s="311"/>
      <c r="GZ4" s="311"/>
      <c r="HA4" s="311"/>
      <c r="HB4" s="311"/>
      <c r="HC4" s="311"/>
      <c r="HD4" s="311"/>
      <c r="HE4" s="311"/>
      <c r="HF4" s="311"/>
      <c r="HG4" s="311"/>
      <c r="HH4" s="311"/>
      <c r="HI4" s="311"/>
      <c r="HJ4" s="311"/>
      <c r="HK4" s="311"/>
      <c r="HL4" s="311"/>
      <c r="HM4" s="311"/>
      <c r="HN4" s="311"/>
      <c r="HO4" s="311"/>
      <c r="HP4" s="311"/>
      <c r="HQ4" s="311"/>
      <c r="HR4" s="311"/>
      <c r="HS4" s="311"/>
      <c r="HT4" s="311"/>
      <c r="HU4" s="311"/>
      <c r="HV4" s="311"/>
      <c r="HW4" s="311"/>
      <c r="HX4" s="311"/>
      <c r="HY4" s="311"/>
      <c r="HZ4" s="311"/>
      <c r="IA4" s="311"/>
      <c r="IB4" s="311"/>
      <c r="IC4" s="311"/>
      <c r="ID4" s="311"/>
      <c r="IE4" s="311"/>
      <c r="IF4" s="311"/>
      <c r="IG4" s="311"/>
      <c r="IH4" s="311"/>
      <c r="II4" s="311"/>
      <c r="IJ4" s="311"/>
      <c r="IK4" s="311"/>
      <c r="IL4" s="311"/>
      <c r="IM4" s="311"/>
      <c r="IN4" s="311"/>
      <c r="IO4" s="311"/>
      <c r="IP4" s="311"/>
      <c r="IQ4" s="311"/>
      <c r="IR4" s="311"/>
      <c r="IS4" s="311"/>
      <c r="IT4" s="311"/>
      <c r="IU4" s="311"/>
      <c r="IV4" s="311"/>
      <c r="IW4" s="311"/>
      <c r="IX4" s="311"/>
      <c r="IY4" s="311"/>
      <c r="IZ4" s="311"/>
      <c r="JA4" s="311"/>
      <c r="JB4" s="311"/>
      <c r="JC4" s="311"/>
      <c r="JD4" s="311"/>
      <c r="JE4" s="311"/>
      <c r="JF4" s="311"/>
      <c r="JG4" s="311"/>
      <c r="JH4" s="311"/>
      <c r="JI4" s="311"/>
      <c r="JJ4" s="311"/>
      <c r="JK4" s="311"/>
      <c r="JL4" s="311"/>
      <c r="JM4" s="311"/>
      <c r="JN4" s="311"/>
      <c r="JO4" s="311"/>
      <c r="JP4" s="311"/>
      <c r="JQ4" s="311"/>
      <c r="JR4" s="311"/>
      <c r="JS4" s="311"/>
      <c r="JT4" s="311"/>
      <c r="JU4" s="311"/>
      <c r="JV4" s="311"/>
      <c r="JW4" s="311"/>
      <c r="JX4" s="311"/>
      <c r="JY4" s="311"/>
      <c r="JZ4" s="311"/>
      <c r="KA4" s="311"/>
      <c r="KB4" s="311"/>
      <c r="KC4" s="311"/>
      <c r="KD4" s="311"/>
      <c r="KE4" s="311"/>
      <c r="KF4" s="311"/>
      <c r="KG4" s="311"/>
      <c r="KH4" s="311"/>
      <c r="KI4" s="311"/>
      <c r="KJ4" s="311"/>
      <c r="KK4" s="311"/>
      <c r="KL4" s="311"/>
      <c r="KM4" s="311"/>
      <c r="KN4" s="311"/>
      <c r="KO4" s="311"/>
      <c r="KP4" s="311"/>
      <c r="KQ4" s="311"/>
    </row>
    <row r="5" s="302" customFormat="1" spans="1:303">
      <c r="A5" s="307"/>
      <c r="B5" s="308" t="s">
        <v>703</v>
      </c>
      <c r="C5" s="308" t="s">
        <v>704</v>
      </c>
      <c r="D5" s="308" t="s">
        <v>705</v>
      </c>
      <c r="E5" s="309" t="s">
        <v>344</v>
      </c>
      <c r="F5" s="309" t="s">
        <v>57</v>
      </c>
      <c r="G5" s="308" t="s">
        <v>28</v>
      </c>
      <c r="H5" s="308" t="s">
        <v>346</v>
      </c>
      <c r="I5" s="114"/>
      <c r="J5" s="311"/>
      <c r="K5" s="311"/>
      <c r="L5" s="311"/>
      <c r="M5" s="311"/>
      <c r="N5" s="311"/>
      <c r="O5" s="311"/>
      <c r="P5" s="311"/>
      <c r="Q5" s="311"/>
      <c r="R5" s="311"/>
      <c r="S5" s="311"/>
      <c r="T5" s="311"/>
      <c r="U5" s="311"/>
      <c r="V5" s="311"/>
      <c r="W5" s="311"/>
      <c r="X5" s="311"/>
      <c r="Y5" s="311"/>
      <c r="Z5" s="311"/>
      <c r="AA5" s="311"/>
      <c r="AB5" s="311"/>
      <c r="AC5" s="311"/>
      <c r="AD5" s="311"/>
      <c r="AE5" s="311"/>
      <c r="AF5" s="311"/>
      <c r="AG5" s="311"/>
      <c r="AH5" s="311"/>
      <c r="AI5" s="311"/>
      <c r="AJ5" s="311"/>
      <c r="AK5" s="311"/>
      <c r="AL5" s="311"/>
      <c r="AM5" s="311"/>
      <c r="AN5" s="311"/>
      <c r="AO5" s="311"/>
      <c r="AP5" s="311"/>
      <c r="AQ5" s="311"/>
      <c r="AR5" s="311"/>
      <c r="AS5" s="311"/>
      <c r="AT5" s="311"/>
      <c r="AU5" s="311"/>
      <c r="AV5" s="311"/>
      <c r="AW5" s="311"/>
      <c r="AX5" s="311"/>
      <c r="AY5" s="311"/>
      <c r="AZ5" s="311"/>
      <c r="BA5" s="311"/>
      <c r="BB5" s="311"/>
      <c r="BC5" s="311"/>
      <c r="BD5" s="311"/>
      <c r="BE5" s="311"/>
      <c r="BF5" s="311"/>
      <c r="BG5" s="311"/>
      <c r="BH5" s="311"/>
      <c r="BI5" s="311"/>
      <c r="BJ5" s="311"/>
      <c r="BK5" s="311"/>
      <c r="BL5" s="311"/>
      <c r="BM5" s="311"/>
      <c r="BN5" s="311"/>
      <c r="BO5" s="311"/>
      <c r="BP5" s="311"/>
      <c r="BQ5" s="311"/>
      <c r="BR5" s="311"/>
      <c r="BS5" s="311"/>
      <c r="BT5" s="311"/>
      <c r="BU5" s="311"/>
      <c r="BV5" s="311"/>
      <c r="BW5" s="311"/>
      <c r="BX5" s="311"/>
      <c r="BY5" s="311"/>
      <c r="BZ5" s="311"/>
      <c r="CA5" s="311"/>
      <c r="CB5" s="311"/>
      <c r="CC5" s="311"/>
      <c r="CD5" s="311"/>
      <c r="CE5" s="311"/>
      <c r="CF5" s="311"/>
      <c r="CG5" s="311"/>
      <c r="CH5" s="311"/>
      <c r="CI5" s="311"/>
      <c r="CJ5" s="311"/>
      <c r="CK5" s="311"/>
      <c r="CL5" s="311"/>
      <c r="CM5" s="311"/>
      <c r="CN5" s="311"/>
      <c r="CO5" s="311"/>
      <c r="CP5" s="311"/>
      <c r="CQ5" s="311"/>
      <c r="CR5" s="311"/>
      <c r="CS5" s="311"/>
      <c r="CT5" s="311"/>
      <c r="CU5" s="311"/>
      <c r="CV5" s="311"/>
      <c r="CW5" s="311"/>
      <c r="CX5" s="311"/>
      <c r="CY5" s="311"/>
      <c r="CZ5" s="311"/>
      <c r="DA5" s="311"/>
      <c r="DB5" s="311"/>
      <c r="DC5" s="311"/>
      <c r="DD5" s="311"/>
      <c r="DE5" s="311"/>
      <c r="DF5" s="311"/>
      <c r="DG5" s="311"/>
      <c r="DH5" s="311"/>
      <c r="DI5" s="311"/>
      <c r="DJ5" s="311"/>
      <c r="DK5" s="311"/>
      <c r="DL5" s="311"/>
      <c r="DM5" s="311"/>
      <c r="DN5" s="311"/>
      <c r="DO5" s="311"/>
      <c r="DP5" s="311"/>
      <c r="DQ5" s="311"/>
      <c r="DR5" s="311"/>
      <c r="DS5" s="311"/>
      <c r="DT5" s="311"/>
      <c r="DU5" s="311"/>
      <c r="DV5" s="311"/>
      <c r="DW5" s="311"/>
      <c r="DX5" s="311"/>
      <c r="DY5" s="311"/>
      <c r="DZ5" s="311"/>
      <c r="EA5" s="311"/>
      <c r="EB5" s="311"/>
      <c r="EC5" s="311"/>
      <c r="ED5" s="311"/>
      <c r="EE5" s="311"/>
      <c r="EF5" s="311"/>
      <c r="EG5" s="311"/>
      <c r="EH5" s="311"/>
      <c r="EI5" s="311"/>
      <c r="EJ5" s="311"/>
      <c r="EK5" s="311"/>
      <c r="EL5" s="311"/>
      <c r="EM5" s="311"/>
      <c r="EN5" s="311"/>
      <c r="EO5" s="311"/>
      <c r="EP5" s="311"/>
      <c r="EQ5" s="311"/>
      <c r="ER5" s="311"/>
      <c r="ES5" s="311"/>
      <c r="ET5" s="311"/>
      <c r="EU5" s="311"/>
      <c r="EV5" s="311"/>
      <c r="EW5" s="311"/>
      <c r="EX5" s="311"/>
      <c r="EY5" s="311"/>
      <c r="EZ5" s="311"/>
      <c r="FA5" s="311"/>
      <c r="FB5" s="311"/>
      <c r="FC5" s="311"/>
      <c r="FD5" s="311"/>
      <c r="FE5" s="311"/>
      <c r="FF5" s="311"/>
      <c r="FG5" s="311"/>
      <c r="FH5" s="311"/>
      <c r="FI5" s="311"/>
      <c r="FJ5" s="311"/>
      <c r="FK5" s="311"/>
      <c r="FL5" s="311"/>
      <c r="FM5" s="311"/>
      <c r="FN5" s="311"/>
      <c r="FO5" s="311"/>
      <c r="FP5" s="311"/>
      <c r="FQ5" s="311"/>
      <c r="FR5" s="311"/>
      <c r="FS5" s="311"/>
      <c r="FT5" s="311"/>
      <c r="FU5" s="311"/>
      <c r="FV5" s="311"/>
      <c r="FW5" s="311"/>
      <c r="FX5" s="311"/>
      <c r="FY5" s="311"/>
      <c r="FZ5" s="311"/>
      <c r="GA5" s="311"/>
      <c r="GB5" s="311"/>
      <c r="GC5" s="311"/>
      <c r="GD5" s="311"/>
      <c r="GE5" s="311"/>
      <c r="GF5" s="311"/>
      <c r="GG5" s="311"/>
      <c r="GH5" s="311"/>
      <c r="GI5" s="311"/>
      <c r="GJ5" s="311"/>
      <c r="GK5" s="311"/>
      <c r="GL5" s="311"/>
      <c r="GM5" s="311"/>
      <c r="GN5" s="311"/>
      <c r="GO5" s="311"/>
      <c r="GP5" s="311"/>
      <c r="GQ5" s="311"/>
      <c r="GR5" s="311"/>
      <c r="GS5" s="311"/>
      <c r="GT5" s="311"/>
      <c r="GU5" s="311"/>
      <c r="GV5" s="311"/>
      <c r="GW5" s="311"/>
      <c r="GX5" s="311"/>
      <c r="GY5" s="311"/>
      <c r="GZ5" s="311"/>
      <c r="HA5" s="311"/>
      <c r="HB5" s="311"/>
      <c r="HC5" s="311"/>
      <c r="HD5" s="311"/>
      <c r="HE5" s="311"/>
      <c r="HF5" s="311"/>
      <c r="HG5" s="311"/>
      <c r="HH5" s="311"/>
      <c r="HI5" s="311"/>
      <c r="HJ5" s="311"/>
      <c r="HK5" s="311"/>
      <c r="HL5" s="311"/>
      <c r="HM5" s="311"/>
      <c r="HN5" s="311"/>
      <c r="HO5" s="311"/>
      <c r="HP5" s="311"/>
      <c r="HQ5" s="311"/>
      <c r="HR5" s="311"/>
      <c r="HS5" s="311"/>
      <c r="HT5" s="311"/>
      <c r="HU5" s="311"/>
      <c r="HV5" s="311"/>
      <c r="HW5" s="311"/>
      <c r="HX5" s="311"/>
      <c r="HY5" s="311"/>
      <c r="HZ5" s="311"/>
      <c r="IA5" s="311"/>
      <c r="IB5" s="311"/>
      <c r="IC5" s="311"/>
      <c r="ID5" s="311"/>
      <c r="IE5" s="311"/>
      <c r="IF5" s="311"/>
      <c r="IG5" s="311"/>
      <c r="IH5" s="311"/>
      <c r="II5" s="311"/>
      <c r="IJ5" s="311"/>
      <c r="IK5" s="311"/>
      <c r="IL5" s="311"/>
      <c r="IM5" s="311"/>
      <c r="IN5" s="311"/>
      <c r="IO5" s="311"/>
      <c r="IP5" s="311"/>
      <c r="IQ5" s="311"/>
      <c r="IR5" s="311"/>
      <c r="IS5" s="311"/>
      <c r="IT5" s="311"/>
      <c r="IU5" s="311"/>
      <c r="IV5" s="311"/>
      <c r="IW5" s="311"/>
      <c r="IX5" s="311"/>
      <c r="IY5" s="311"/>
      <c r="IZ5" s="311"/>
      <c r="JA5" s="311"/>
      <c r="JB5" s="311"/>
      <c r="JC5" s="311"/>
      <c r="JD5" s="311"/>
      <c r="JE5" s="311"/>
      <c r="JF5" s="311"/>
      <c r="JG5" s="311"/>
      <c r="JH5" s="311"/>
      <c r="JI5" s="311"/>
      <c r="JJ5" s="311"/>
      <c r="JK5" s="311"/>
      <c r="JL5" s="311"/>
      <c r="JM5" s="311"/>
      <c r="JN5" s="311"/>
      <c r="JO5" s="311"/>
      <c r="JP5" s="311"/>
      <c r="JQ5" s="311"/>
      <c r="JR5" s="311"/>
      <c r="JS5" s="311"/>
      <c r="JT5" s="311"/>
      <c r="JU5" s="311"/>
      <c r="JV5" s="311"/>
      <c r="JW5" s="311"/>
      <c r="JX5" s="311"/>
      <c r="JY5" s="311"/>
      <c r="JZ5" s="311"/>
      <c r="KA5" s="311"/>
      <c r="KB5" s="311"/>
      <c r="KC5" s="311"/>
      <c r="KD5" s="311"/>
      <c r="KE5" s="311"/>
      <c r="KF5" s="311"/>
      <c r="KG5" s="311"/>
      <c r="KH5" s="311"/>
      <c r="KI5" s="311"/>
      <c r="KJ5" s="311"/>
      <c r="KK5" s="311"/>
      <c r="KL5" s="311"/>
      <c r="KM5" s="311"/>
      <c r="KN5" s="311"/>
      <c r="KO5" s="311"/>
      <c r="KP5" s="311"/>
      <c r="KQ5" s="311"/>
    </row>
    <row r="6" s="302" customFormat="1" ht="22.5" spans="1:303">
      <c r="A6" s="307"/>
      <c r="B6" s="308" t="s">
        <v>706</v>
      </c>
      <c r="C6" s="308" t="s">
        <v>707</v>
      </c>
      <c r="D6" s="308" t="s">
        <v>708</v>
      </c>
      <c r="E6" s="309" t="s">
        <v>344</v>
      </c>
      <c r="F6" s="309" t="s">
        <v>57</v>
      </c>
      <c r="G6" s="308" t="s">
        <v>28</v>
      </c>
      <c r="H6" s="308" t="s">
        <v>346</v>
      </c>
      <c r="I6" s="114"/>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1"/>
      <c r="BK6" s="311"/>
      <c r="BL6" s="311"/>
      <c r="BM6" s="311"/>
      <c r="BN6" s="311"/>
      <c r="BO6" s="311"/>
      <c r="BP6" s="311"/>
      <c r="BQ6" s="311"/>
      <c r="BR6" s="311"/>
      <c r="BS6" s="311"/>
      <c r="BT6" s="311"/>
      <c r="BU6" s="311"/>
      <c r="BV6" s="311"/>
      <c r="BW6" s="311"/>
      <c r="BX6" s="311"/>
      <c r="BY6" s="311"/>
      <c r="BZ6" s="311"/>
      <c r="CA6" s="311"/>
      <c r="CB6" s="311"/>
      <c r="CC6" s="311"/>
      <c r="CD6" s="311"/>
      <c r="CE6" s="311"/>
      <c r="CF6" s="311"/>
      <c r="CG6" s="311"/>
      <c r="CH6" s="311"/>
      <c r="CI6" s="311"/>
      <c r="CJ6" s="311"/>
      <c r="CK6" s="311"/>
      <c r="CL6" s="311"/>
      <c r="CM6" s="311"/>
      <c r="CN6" s="311"/>
      <c r="CO6" s="311"/>
      <c r="CP6" s="311"/>
      <c r="CQ6" s="311"/>
      <c r="CR6" s="311"/>
      <c r="CS6" s="311"/>
      <c r="CT6" s="311"/>
      <c r="CU6" s="311"/>
      <c r="CV6" s="311"/>
      <c r="CW6" s="311"/>
      <c r="CX6" s="311"/>
      <c r="CY6" s="311"/>
      <c r="CZ6" s="311"/>
      <c r="DA6" s="311"/>
      <c r="DB6" s="311"/>
      <c r="DC6" s="311"/>
      <c r="DD6" s="311"/>
      <c r="DE6" s="311"/>
      <c r="DF6" s="311"/>
      <c r="DG6" s="311"/>
      <c r="DH6" s="311"/>
      <c r="DI6" s="311"/>
      <c r="DJ6" s="311"/>
      <c r="DK6" s="311"/>
      <c r="DL6" s="311"/>
      <c r="DM6" s="311"/>
      <c r="DN6" s="311"/>
      <c r="DO6" s="311"/>
      <c r="DP6" s="311"/>
      <c r="DQ6" s="311"/>
      <c r="DR6" s="311"/>
      <c r="DS6" s="311"/>
      <c r="DT6" s="311"/>
      <c r="DU6" s="311"/>
      <c r="DV6" s="311"/>
      <c r="DW6" s="311"/>
      <c r="DX6" s="311"/>
      <c r="DY6" s="311"/>
      <c r="DZ6" s="311"/>
      <c r="EA6" s="311"/>
      <c r="EB6" s="311"/>
      <c r="EC6" s="311"/>
      <c r="ED6" s="311"/>
      <c r="EE6" s="311"/>
      <c r="EF6" s="311"/>
      <c r="EG6" s="311"/>
      <c r="EH6" s="311"/>
      <c r="EI6" s="311"/>
      <c r="EJ6" s="311"/>
      <c r="EK6" s="311"/>
      <c r="EL6" s="311"/>
      <c r="EM6" s="311"/>
      <c r="EN6" s="311"/>
      <c r="EO6" s="311"/>
      <c r="EP6" s="311"/>
      <c r="EQ6" s="311"/>
      <c r="ER6" s="311"/>
      <c r="ES6" s="311"/>
      <c r="ET6" s="311"/>
      <c r="EU6" s="311"/>
      <c r="EV6" s="311"/>
      <c r="EW6" s="311"/>
      <c r="EX6" s="311"/>
      <c r="EY6" s="311"/>
      <c r="EZ6" s="311"/>
      <c r="FA6" s="311"/>
      <c r="FB6" s="311"/>
      <c r="FC6" s="311"/>
      <c r="FD6" s="311"/>
      <c r="FE6" s="311"/>
      <c r="FF6" s="311"/>
      <c r="FG6" s="311"/>
      <c r="FH6" s="311"/>
      <c r="FI6" s="311"/>
      <c r="FJ6" s="311"/>
      <c r="FK6" s="311"/>
      <c r="FL6" s="311"/>
      <c r="FM6" s="311"/>
      <c r="FN6" s="311"/>
      <c r="FO6" s="311"/>
      <c r="FP6" s="311"/>
      <c r="FQ6" s="311"/>
      <c r="FR6" s="311"/>
      <c r="FS6" s="311"/>
      <c r="FT6" s="311"/>
      <c r="FU6" s="311"/>
      <c r="FV6" s="311"/>
      <c r="FW6" s="311"/>
      <c r="FX6" s="311"/>
      <c r="FY6" s="311"/>
      <c r="FZ6" s="311"/>
      <c r="GA6" s="311"/>
      <c r="GB6" s="311"/>
      <c r="GC6" s="311"/>
      <c r="GD6" s="311"/>
      <c r="GE6" s="311"/>
      <c r="GF6" s="311"/>
      <c r="GG6" s="311"/>
      <c r="GH6" s="311"/>
      <c r="GI6" s="311"/>
      <c r="GJ6" s="311"/>
      <c r="GK6" s="311"/>
      <c r="GL6" s="311"/>
      <c r="GM6" s="311"/>
      <c r="GN6" s="311"/>
      <c r="GO6" s="311"/>
      <c r="GP6" s="311"/>
      <c r="GQ6" s="311"/>
      <c r="GR6" s="311"/>
      <c r="GS6" s="311"/>
      <c r="GT6" s="311"/>
      <c r="GU6" s="311"/>
      <c r="GV6" s="311"/>
      <c r="GW6" s="311"/>
      <c r="GX6" s="311"/>
      <c r="GY6" s="311"/>
      <c r="GZ6" s="311"/>
      <c r="HA6" s="311"/>
      <c r="HB6" s="311"/>
      <c r="HC6" s="311"/>
      <c r="HD6" s="311"/>
      <c r="HE6" s="311"/>
      <c r="HF6" s="311"/>
      <c r="HG6" s="311"/>
      <c r="HH6" s="311"/>
      <c r="HI6" s="311"/>
      <c r="HJ6" s="311"/>
      <c r="HK6" s="311"/>
      <c r="HL6" s="311"/>
      <c r="HM6" s="311"/>
      <c r="HN6" s="311"/>
      <c r="HO6" s="311"/>
      <c r="HP6" s="311"/>
      <c r="HQ6" s="311"/>
      <c r="HR6" s="311"/>
      <c r="HS6" s="311"/>
      <c r="HT6" s="311"/>
      <c r="HU6" s="311"/>
      <c r="HV6" s="311"/>
      <c r="HW6" s="311"/>
      <c r="HX6" s="311"/>
      <c r="HY6" s="311"/>
      <c r="HZ6" s="311"/>
      <c r="IA6" s="311"/>
      <c r="IB6" s="311"/>
      <c r="IC6" s="311"/>
      <c r="ID6" s="311"/>
      <c r="IE6" s="311"/>
      <c r="IF6" s="311"/>
      <c r="IG6" s="311"/>
      <c r="IH6" s="311"/>
      <c r="II6" s="311"/>
      <c r="IJ6" s="311"/>
      <c r="IK6" s="311"/>
      <c r="IL6" s="311"/>
      <c r="IM6" s="311"/>
      <c r="IN6" s="311"/>
      <c r="IO6" s="311"/>
      <c r="IP6" s="311"/>
      <c r="IQ6" s="311"/>
      <c r="IR6" s="311"/>
      <c r="IS6" s="311"/>
      <c r="IT6" s="311"/>
      <c r="IU6" s="311"/>
      <c r="IV6" s="311"/>
      <c r="IW6" s="311"/>
      <c r="IX6" s="311"/>
      <c r="IY6" s="311"/>
      <c r="IZ6" s="311"/>
      <c r="JA6" s="311"/>
      <c r="JB6" s="311"/>
      <c r="JC6" s="311"/>
      <c r="JD6" s="311"/>
      <c r="JE6" s="311"/>
      <c r="JF6" s="311"/>
      <c r="JG6" s="311"/>
      <c r="JH6" s="311"/>
      <c r="JI6" s="311"/>
      <c r="JJ6" s="311"/>
      <c r="JK6" s="311"/>
      <c r="JL6" s="311"/>
      <c r="JM6" s="311"/>
      <c r="JN6" s="311"/>
      <c r="JO6" s="311"/>
      <c r="JP6" s="311"/>
      <c r="JQ6" s="311"/>
      <c r="JR6" s="311"/>
      <c r="JS6" s="311"/>
      <c r="JT6" s="311"/>
      <c r="JU6" s="311"/>
      <c r="JV6" s="311"/>
      <c r="JW6" s="311"/>
      <c r="JX6" s="311"/>
      <c r="JY6" s="311"/>
      <c r="JZ6" s="311"/>
      <c r="KA6" s="311"/>
      <c r="KB6" s="311"/>
      <c r="KC6" s="311"/>
      <c r="KD6" s="311"/>
      <c r="KE6" s="311"/>
      <c r="KF6" s="311"/>
      <c r="KG6" s="311"/>
      <c r="KH6" s="311"/>
      <c r="KI6" s="311"/>
      <c r="KJ6" s="311"/>
      <c r="KK6" s="311"/>
      <c r="KL6" s="311"/>
      <c r="KM6" s="311"/>
      <c r="KN6" s="311"/>
      <c r="KO6" s="311"/>
      <c r="KP6" s="311"/>
      <c r="KQ6" s="311"/>
    </row>
    <row r="7" s="302" customFormat="1" spans="1:303">
      <c r="A7" s="307"/>
      <c r="B7" s="308" t="s">
        <v>709</v>
      </c>
      <c r="C7" s="308" t="s">
        <v>710</v>
      </c>
      <c r="D7" s="308" t="s">
        <v>711</v>
      </c>
      <c r="E7" s="309" t="s">
        <v>344</v>
      </c>
      <c r="F7" s="309" t="s">
        <v>57</v>
      </c>
      <c r="G7" s="308" t="s">
        <v>28</v>
      </c>
      <c r="H7" s="308" t="s">
        <v>346</v>
      </c>
      <c r="I7" s="114"/>
      <c r="J7" s="311"/>
      <c r="K7" s="311"/>
      <c r="L7" s="311"/>
      <c r="M7" s="311"/>
      <c r="N7" s="311"/>
      <c r="O7" s="311"/>
      <c r="P7" s="311"/>
      <c r="Q7" s="311"/>
      <c r="R7" s="311"/>
      <c r="S7" s="311"/>
      <c r="T7" s="311"/>
      <c r="U7" s="311"/>
      <c r="V7" s="311"/>
      <c r="W7" s="311"/>
      <c r="X7" s="311"/>
      <c r="Y7" s="311"/>
      <c r="Z7" s="311"/>
      <c r="AA7" s="311"/>
      <c r="AB7" s="311"/>
      <c r="AC7" s="311"/>
      <c r="AD7" s="311"/>
      <c r="AE7" s="311"/>
      <c r="AF7" s="311"/>
      <c r="AG7" s="311"/>
      <c r="AH7" s="311"/>
      <c r="AI7" s="311"/>
      <c r="AJ7" s="311"/>
      <c r="AK7" s="311"/>
      <c r="AL7" s="311"/>
      <c r="AM7" s="311"/>
      <c r="AN7" s="311"/>
      <c r="AO7" s="311"/>
      <c r="AP7" s="311"/>
      <c r="AQ7" s="311"/>
      <c r="AR7" s="311"/>
      <c r="AS7" s="311"/>
      <c r="AT7" s="311"/>
      <c r="AU7" s="311"/>
      <c r="AV7" s="311"/>
      <c r="AW7" s="311"/>
      <c r="AX7" s="311"/>
      <c r="AY7" s="311"/>
      <c r="AZ7" s="311"/>
      <c r="BA7" s="311"/>
      <c r="BB7" s="311"/>
      <c r="BC7" s="311"/>
      <c r="BD7" s="311"/>
      <c r="BE7" s="311"/>
      <c r="BF7" s="311"/>
      <c r="BG7" s="311"/>
      <c r="BH7" s="311"/>
      <c r="BI7" s="311"/>
      <c r="BJ7" s="311"/>
      <c r="BK7" s="311"/>
      <c r="BL7" s="311"/>
      <c r="BM7" s="311"/>
      <c r="BN7" s="311"/>
      <c r="BO7" s="311"/>
      <c r="BP7" s="311"/>
      <c r="BQ7" s="311"/>
      <c r="BR7" s="311"/>
      <c r="BS7" s="311"/>
      <c r="BT7" s="311"/>
      <c r="BU7" s="311"/>
      <c r="BV7" s="311"/>
      <c r="BW7" s="311"/>
      <c r="BX7" s="311"/>
      <c r="BY7" s="311"/>
      <c r="BZ7" s="311"/>
      <c r="CA7" s="311"/>
      <c r="CB7" s="311"/>
      <c r="CC7" s="311"/>
      <c r="CD7" s="311"/>
      <c r="CE7" s="311"/>
      <c r="CF7" s="311"/>
      <c r="CG7" s="311"/>
      <c r="CH7" s="311"/>
      <c r="CI7" s="311"/>
      <c r="CJ7" s="311"/>
      <c r="CK7" s="311"/>
      <c r="CL7" s="311"/>
      <c r="CM7" s="311"/>
      <c r="CN7" s="311"/>
      <c r="CO7" s="311"/>
      <c r="CP7" s="311"/>
      <c r="CQ7" s="311"/>
      <c r="CR7" s="311"/>
      <c r="CS7" s="311"/>
      <c r="CT7" s="311"/>
      <c r="CU7" s="311"/>
      <c r="CV7" s="311"/>
      <c r="CW7" s="311"/>
      <c r="CX7" s="311"/>
      <c r="CY7" s="311"/>
      <c r="CZ7" s="311"/>
      <c r="DA7" s="311"/>
      <c r="DB7" s="311"/>
      <c r="DC7" s="311"/>
      <c r="DD7" s="311"/>
      <c r="DE7" s="311"/>
      <c r="DF7" s="311"/>
      <c r="DG7" s="311"/>
      <c r="DH7" s="311"/>
      <c r="DI7" s="311"/>
      <c r="DJ7" s="311"/>
      <c r="DK7" s="311"/>
      <c r="DL7" s="311"/>
      <c r="DM7" s="311"/>
      <c r="DN7" s="311"/>
      <c r="DO7" s="311"/>
      <c r="DP7" s="311"/>
      <c r="DQ7" s="311"/>
      <c r="DR7" s="311"/>
      <c r="DS7" s="311"/>
      <c r="DT7" s="311"/>
      <c r="DU7" s="311"/>
      <c r="DV7" s="311"/>
      <c r="DW7" s="311"/>
      <c r="DX7" s="311"/>
      <c r="DY7" s="311"/>
      <c r="DZ7" s="311"/>
      <c r="EA7" s="311"/>
      <c r="EB7" s="311"/>
      <c r="EC7" s="311"/>
      <c r="ED7" s="311"/>
      <c r="EE7" s="311"/>
      <c r="EF7" s="311"/>
      <c r="EG7" s="311"/>
      <c r="EH7" s="311"/>
      <c r="EI7" s="311"/>
      <c r="EJ7" s="311"/>
      <c r="EK7" s="311"/>
      <c r="EL7" s="311"/>
      <c r="EM7" s="311"/>
      <c r="EN7" s="311"/>
      <c r="EO7" s="311"/>
      <c r="EP7" s="311"/>
      <c r="EQ7" s="311"/>
      <c r="ER7" s="311"/>
      <c r="ES7" s="311"/>
      <c r="ET7" s="311"/>
      <c r="EU7" s="311"/>
      <c r="EV7" s="311"/>
      <c r="EW7" s="311"/>
      <c r="EX7" s="311"/>
      <c r="EY7" s="311"/>
      <c r="EZ7" s="311"/>
      <c r="FA7" s="311"/>
      <c r="FB7" s="311"/>
      <c r="FC7" s="311"/>
      <c r="FD7" s="311"/>
      <c r="FE7" s="311"/>
      <c r="FF7" s="311"/>
      <c r="FG7" s="311"/>
      <c r="FH7" s="311"/>
      <c r="FI7" s="311"/>
      <c r="FJ7" s="311"/>
      <c r="FK7" s="311"/>
      <c r="FL7" s="311"/>
      <c r="FM7" s="311"/>
      <c r="FN7" s="311"/>
      <c r="FO7" s="311"/>
      <c r="FP7" s="311"/>
      <c r="FQ7" s="311"/>
      <c r="FR7" s="311"/>
      <c r="FS7" s="311"/>
      <c r="FT7" s="311"/>
      <c r="FU7" s="311"/>
      <c r="FV7" s="311"/>
      <c r="FW7" s="311"/>
      <c r="FX7" s="311"/>
      <c r="FY7" s="311"/>
      <c r="FZ7" s="311"/>
      <c r="GA7" s="311"/>
      <c r="GB7" s="311"/>
      <c r="GC7" s="311"/>
      <c r="GD7" s="311"/>
      <c r="GE7" s="311"/>
      <c r="GF7" s="311"/>
      <c r="GG7" s="311"/>
      <c r="GH7" s="311"/>
      <c r="GI7" s="311"/>
      <c r="GJ7" s="311"/>
      <c r="GK7" s="311"/>
      <c r="GL7" s="311"/>
      <c r="GM7" s="311"/>
      <c r="GN7" s="311"/>
      <c r="GO7" s="311"/>
      <c r="GP7" s="311"/>
      <c r="GQ7" s="311"/>
      <c r="GR7" s="311"/>
      <c r="GS7" s="311"/>
      <c r="GT7" s="311"/>
      <c r="GU7" s="311"/>
      <c r="GV7" s="311"/>
      <c r="GW7" s="311"/>
      <c r="GX7" s="311"/>
      <c r="GY7" s="311"/>
      <c r="GZ7" s="311"/>
      <c r="HA7" s="311"/>
      <c r="HB7" s="311"/>
      <c r="HC7" s="311"/>
      <c r="HD7" s="311"/>
      <c r="HE7" s="311"/>
      <c r="HF7" s="311"/>
      <c r="HG7" s="311"/>
      <c r="HH7" s="311"/>
      <c r="HI7" s="311"/>
      <c r="HJ7" s="311"/>
      <c r="HK7" s="311"/>
      <c r="HL7" s="311"/>
      <c r="HM7" s="311"/>
      <c r="HN7" s="311"/>
      <c r="HO7" s="311"/>
      <c r="HP7" s="311"/>
      <c r="HQ7" s="311"/>
      <c r="HR7" s="311"/>
      <c r="HS7" s="311"/>
      <c r="HT7" s="311"/>
      <c r="HU7" s="311"/>
      <c r="HV7" s="311"/>
      <c r="HW7" s="311"/>
      <c r="HX7" s="311"/>
      <c r="HY7" s="311"/>
      <c r="HZ7" s="311"/>
      <c r="IA7" s="311"/>
      <c r="IB7" s="311"/>
      <c r="IC7" s="311"/>
      <c r="ID7" s="311"/>
      <c r="IE7" s="311"/>
      <c r="IF7" s="311"/>
      <c r="IG7" s="311"/>
      <c r="IH7" s="311"/>
      <c r="II7" s="311"/>
      <c r="IJ7" s="311"/>
      <c r="IK7" s="311"/>
      <c r="IL7" s="311"/>
      <c r="IM7" s="311"/>
      <c r="IN7" s="311"/>
      <c r="IO7" s="311"/>
      <c r="IP7" s="311"/>
      <c r="IQ7" s="311"/>
      <c r="IR7" s="311"/>
      <c r="IS7" s="311"/>
      <c r="IT7" s="311"/>
      <c r="IU7" s="311"/>
      <c r="IV7" s="311"/>
      <c r="IW7" s="311"/>
      <c r="IX7" s="311"/>
      <c r="IY7" s="311"/>
      <c r="IZ7" s="311"/>
      <c r="JA7" s="311"/>
      <c r="JB7" s="311"/>
      <c r="JC7" s="311"/>
      <c r="JD7" s="311"/>
      <c r="JE7" s="311"/>
      <c r="JF7" s="311"/>
      <c r="JG7" s="311"/>
      <c r="JH7" s="311"/>
      <c r="JI7" s="311"/>
      <c r="JJ7" s="311"/>
      <c r="JK7" s="311"/>
      <c r="JL7" s="311"/>
      <c r="JM7" s="311"/>
      <c r="JN7" s="311"/>
      <c r="JO7" s="311"/>
      <c r="JP7" s="311"/>
      <c r="JQ7" s="311"/>
      <c r="JR7" s="311"/>
      <c r="JS7" s="311"/>
      <c r="JT7" s="311"/>
      <c r="JU7" s="311"/>
      <c r="JV7" s="311"/>
      <c r="JW7" s="311"/>
      <c r="JX7" s="311"/>
      <c r="JY7" s="311"/>
      <c r="JZ7" s="311"/>
      <c r="KA7" s="311"/>
      <c r="KB7" s="311"/>
      <c r="KC7" s="311"/>
      <c r="KD7" s="311"/>
      <c r="KE7" s="311"/>
      <c r="KF7" s="311"/>
      <c r="KG7" s="311"/>
      <c r="KH7" s="311"/>
      <c r="KI7" s="311"/>
      <c r="KJ7" s="311"/>
      <c r="KK7" s="311"/>
      <c r="KL7" s="311"/>
      <c r="KM7" s="311"/>
      <c r="KN7" s="311"/>
      <c r="KO7" s="311"/>
      <c r="KP7" s="311"/>
      <c r="KQ7" s="311"/>
    </row>
    <row r="8" s="303" customFormat="1" ht="33.75" spans="1:303">
      <c r="A8" s="307"/>
      <c r="B8" s="310" t="s">
        <v>712</v>
      </c>
      <c r="C8" s="310" t="s">
        <v>713</v>
      </c>
      <c r="D8" s="310" t="s">
        <v>714</v>
      </c>
      <c r="E8" s="309" t="s">
        <v>344</v>
      </c>
      <c r="F8" s="138" t="s">
        <v>57</v>
      </c>
      <c r="G8" s="310" t="s">
        <v>354</v>
      </c>
      <c r="H8" s="310" t="s">
        <v>715</v>
      </c>
      <c r="I8" s="312"/>
      <c r="J8" s="313"/>
      <c r="K8" s="313"/>
      <c r="L8" s="313"/>
      <c r="M8" s="313"/>
      <c r="N8" s="313"/>
      <c r="O8" s="313"/>
      <c r="P8" s="313"/>
      <c r="Q8" s="313"/>
      <c r="R8" s="313"/>
      <c r="S8" s="313"/>
      <c r="T8" s="313"/>
      <c r="U8" s="313"/>
      <c r="V8" s="313"/>
      <c r="W8" s="313"/>
      <c r="X8" s="313"/>
      <c r="Y8" s="313"/>
      <c r="Z8" s="313"/>
      <c r="AA8" s="313"/>
      <c r="AB8" s="313"/>
      <c r="AC8" s="313"/>
      <c r="AD8" s="313"/>
      <c r="AE8" s="313"/>
      <c r="AF8" s="313"/>
      <c r="AG8" s="313"/>
      <c r="AH8" s="313"/>
      <c r="AI8" s="313"/>
      <c r="AJ8" s="313"/>
      <c r="AK8" s="313"/>
      <c r="AL8" s="313"/>
      <c r="AM8" s="313"/>
      <c r="AN8" s="313"/>
      <c r="AO8" s="313"/>
      <c r="AP8" s="313"/>
      <c r="AQ8" s="313"/>
      <c r="AR8" s="313"/>
      <c r="AS8" s="313"/>
      <c r="AT8" s="313"/>
      <c r="AU8" s="313"/>
      <c r="AV8" s="313"/>
      <c r="AW8" s="313"/>
      <c r="AX8" s="313"/>
      <c r="AY8" s="313"/>
      <c r="AZ8" s="313"/>
      <c r="BA8" s="313"/>
      <c r="BB8" s="313"/>
      <c r="BC8" s="313"/>
      <c r="BD8" s="313"/>
      <c r="BE8" s="313"/>
      <c r="BF8" s="313"/>
      <c r="BG8" s="313"/>
      <c r="BH8" s="313"/>
      <c r="BI8" s="313"/>
      <c r="BJ8" s="313"/>
      <c r="BK8" s="313"/>
      <c r="BL8" s="313"/>
      <c r="BM8" s="313"/>
      <c r="BN8" s="313"/>
      <c r="BO8" s="313"/>
      <c r="BP8" s="313"/>
      <c r="BQ8" s="313"/>
      <c r="BR8" s="313"/>
      <c r="BS8" s="313"/>
      <c r="BT8" s="313"/>
      <c r="BU8" s="313"/>
      <c r="BV8" s="313"/>
      <c r="BW8" s="313"/>
      <c r="BX8" s="313"/>
      <c r="BY8" s="313"/>
      <c r="BZ8" s="313"/>
      <c r="CA8" s="313"/>
      <c r="CB8" s="313"/>
      <c r="CC8" s="313"/>
      <c r="CD8" s="313"/>
      <c r="CE8" s="313"/>
      <c r="CF8" s="313"/>
      <c r="CG8" s="313"/>
      <c r="CH8" s="313"/>
      <c r="CI8" s="313"/>
      <c r="CJ8" s="313"/>
      <c r="CK8" s="313"/>
      <c r="CL8" s="313"/>
      <c r="CM8" s="313"/>
      <c r="CN8" s="313"/>
      <c r="CO8" s="313"/>
      <c r="CP8" s="313"/>
      <c r="CQ8" s="313"/>
      <c r="CR8" s="313"/>
      <c r="CS8" s="313"/>
      <c r="CT8" s="313"/>
      <c r="CU8" s="313"/>
      <c r="CV8" s="313"/>
      <c r="CW8" s="313"/>
      <c r="CX8" s="313"/>
      <c r="CY8" s="313"/>
      <c r="CZ8" s="313"/>
      <c r="DA8" s="313"/>
      <c r="DB8" s="313"/>
      <c r="DC8" s="313"/>
      <c r="DD8" s="313"/>
      <c r="DE8" s="313"/>
      <c r="DF8" s="313"/>
      <c r="DG8" s="313"/>
      <c r="DH8" s="313"/>
      <c r="DI8" s="313"/>
      <c r="DJ8" s="313"/>
      <c r="DK8" s="313"/>
      <c r="DL8" s="313"/>
      <c r="DM8" s="313"/>
      <c r="DN8" s="313"/>
      <c r="DO8" s="313"/>
      <c r="DP8" s="313"/>
      <c r="DQ8" s="313"/>
      <c r="DR8" s="313"/>
      <c r="DS8" s="313"/>
      <c r="DT8" s="313"/>
      <c r="DU8" s="313"/>
      <c r="DV8" s="313"/>
      <c r="DW8" s="313"/>
      <c r="DX8" s="313"/>
      <c r="DY8" s="313"/>
      <c r="DZ8" s="313"/>
      <c r="EA8" s="313"/>
      <c r="EB8" s="313"/>
      <c r="EC8" s="313"/>
      <c r="ED8" s="313"/>
      <c r="EE8" s="313"/>
      <c r="EF8" s="313"/>
      <c r="EG8" s="313"/>
      <c r="EH8" s="313"/>
      <c r="EI8" s="313"/>
      <c r="EJ8" s="313"/>
      <c r="EK8" s="313"/>
      <c r="EL8" s="313"/>
      <c r="EM8" s="313"/>
      <c r="EN8" s="313"/>
      <c r="EO8" s="313"/>
      <c r="EP8" s="313"/>
      <c r="EQ8" s="313"/>
      <c r="ER8" s="313"/>
      <c r="ES8" s="313"/>
      <c r="ET8" s="313"/>
      <c r="EU8" s="313"/>
      <c r="EV8" s="313"/>
      <c r="EW8" s="313"/>
      <c r="EX8" s="313"/>
      <c r="EY8" s="313"/>
      <c r="EZ8" s="313"/>
      <c r="FA8" s="313"/>
      <c r="FB8" s="313"/>
      <c r="FC8" s="313"/>
      <c r="FD8" s="313"/>
      <c r="FE8" s="313"/>
      <c r="FF8" s="313"/>
      <c r="FG8" s="313"/>
      <c r="FH8" s="313"/>
      <c r="FI8" s="313"/>
      <c r="FJ8" s="313"/>
      <c r="FK8" s="313"/>
      <c r="FL8" s="313"/>
      <c r="FM8" s="313"/>
      <c r="FN8" s="313"/>
      <c r="FO8" s="313"/>
      <c r="FP8" s="313"/>
      <c r="FQ8" s="313"/>
      <c r="FR8" s="313"/>
      <c r="FS8" s="313"/>
      <c r="FT8" s="313"/>
      <c r="FU8" s="313"/>
      <c r="FV8" s="313"/>
      <c r="FW8" s="313"/>
      <c r="FX8" s="313"/>
      <c r="FY8" s="313"/>
      <c r="FZ8" s="313"/>
      <c r="GA8" s="313"/>
      <c r="GB8" s="313"/>
      <c r="GC8" s="313"/>
      <c r="GD8" s="313"/>
      <c r="GE8" s="313"/>
      <c r="GF8" s="313"/>
      <c r="GG8" s="313"/>
      <c r="GH8" s="313"/>
      <c r="GI8" s="313"/>
      <c r="GJ8" s="313"/>
      <c r="GK8" s="313"/>
      <c r="GL8" s="313"/>
      <c r="GM8" s="313"/>
      <c r="GN8" s="313"/>
      <c r="GO8" s="313"/>
      <c r="GP8" s="313"/>
      <c r="GQ8" s="313"/>
      <c r="GR8" s="313"/>
      <c r="GS8" s="313"/>
      <c r="GT8" s="313"/>
      <c r="GU8" s="313"/>
      <c r="GV8" s="313"/>
      <c r="GW8" s="313"/>
      <c r="GX8" s="313"/>
      <c r="GY8" s="313"/>
      <c r="GZ8" s="313"/>
      <c r="HA8" s="313"/>
      <c r="HB8" s="313"/>
      <c r="HC8" s="313"/>
      <c r="HD8" s="313"/>
      <c r="HE8" s="313"/>
      <c r="HF8" s="313"/>
      <c r="HG8" s="313"/>
      <c r="HH8" s="313"/>
      <c r="HI8" s="313"/>
      <c r="HJ8" s="313"/>
      <c r="HK8" s="313"/>
      <c r="HL8" s="313"/>
      <c r="HM8" s="313"/>
      <c r="HN8" s="313"/>
      <c r="HO8" s="313"/>
      <c r="HP8" s="313"/>
      <c r="HQ8" s="313"/>
      <c r="HR8" s="313"/>
      <c r="HS8" s="313"/>
      <c r="HT8" s="313"/>
      <c r="HU8" s="313"/>
      <c r="HV8" s="313"/>
      <c r="HW8" s="313"/>
      <c r="HX8" s="313"/>
      <c r="HY8" s="313"/>
      <c r="HZ8" s="313"/>
      <c r="IA8" s="313"/>
      <c r="IB8" s="313"/>
      <c r="IC8" s="313"/>
      <c r="ID8" s="313"/>
      <c r="IE8" s="313"/>
      <c r="IF8" s="313"/>
      <c r="IG8" s="313"/>
      <c r="IH8" s="313"/>
      <c r="II8" s="313"/>
      <c r="IJ8" s="313"/>
      <c r="IK8" s="313"/>
      <c r="IL8" s="313"/>
      <c r="IM8" s="313"/>
      <c r="IN8" s="313"/>
      <c r="IO8" s="313"/>
      <c r="IP8" s="313"/>
      <c r="IQ8" s="313"/>
      <c r="IR8" s="313"/>
      <c r="IS8" s="313"/>
      <c r="IT8" s="313"/>
      <c r="IU8" s="313"/>
      <c r="IV8" s="313"/>
      <c r="IW8" s="313"/>
      <c r="IX8" s="313"/>
      <c r="IY8" s="313"/>
      <c r="IZ8" s="313"/>
      <c r="JA8" s="313"/>
      <c r="JB8" s="313"/>
      <c r="JC8" s="313"/>
      <c r="JD8" s="313"/>
      <c r="JE8" s="313"/>
      <c r="JF8" s="313"/>
      <c r="JG8" s="313"/>
      <c r="JH8" s="313"/>
      <c r="JI8" s="313"/>
      <c r="JJ8" s="313"/>
      <c r="JK8" s="313"/>
      <c r="JL8" s="313"/>
      <c r="JM8" s="313"/>
      <c r="JN8" s="313"/>
      <c r="JO8" s="313"/>
      <c r="JP8" s="313"/>
      <c r="JQ8" s="313"/>
      <c r="JR8" s="313"/>
      <c r="JS8" s="313"/>
      <c r="JT8" s="313"/>
      <c r="JU8" s="313"/>
      <c r="JV8" s="313"/>
      <c r="JW8" s="313"/>
      <c r="JX8" s="313"/>
      <c r="JY8" s="313"/>
      <c r="JZ8" s="313"/>
      <c r="KA8" s="313"/>
      <c r="KB8" s="313"/>
      <c r="KC8" s="313"/>
      <c r="KD8" s="313"/>
      <c r="KE8" s="313"/>
      <c r="KF8" s="313"/>
      <c r="KG8" s="313"/>
      <c r="KH8" s="313"/>
      <c r="KI8" s="313"/>
      <c r="KJ8" s="313"/>
      <c r="KK8" s="313"/>
      <c r="KL8" s="313"/>
      <c r="KM8" s="313"/>
      <c r="KN8" s="313"/>
      <c r="KO8" s="313"/>
      <c r="KP8" s="313"/>
      <c r="KQ8" s="313"/>
    </row>
    <row r="9" s="303" customFormat="1" spans="1:303">
      <c r="A9" s="307"/>
      <c r="B9" s="310" t="s">
        <v>716</v>
      </c>
      <c r="C9" s="310" t="s">
        <v>717</v>
      </c>
      <c r="D9" s="310" t="s">
        <v>718</v>
      </c>
      <c r="E9" s="309" t="s">
        <v>344</v>
      </c>
      <c r="F9" s="138" t="s">
        <v>57</v>
      </c>
      <c r="G9" s="310" t="s">
        <v>354</v>
      </c>
      <c r="H9" s="310" t="s">
        <v>346</v>
      </c>
      <c r="I9" s="312"/>
      <c r="J9" s="313"/>
      <c r="K9" s="313"/>
      <c r="L9" s="313"/>
      <c r="M9" s="313"/>
      <c r="N9" s="313"/>
      <c r="O9" s="313"/>
      <c r="P9" s="313"/>
      <c r="Q9" s="313"/>
      <c r="R9" s="313"/>
      <c r="S9" s="313"/>
      <c r="T9" s="313"/>
      <c r="U9" s="313"/>
      <c r="V9" s="313"/>
      <c r="W9" s="313"/>
      <c r="X9" s="313"/>
      <c r="Y9" s="313"/>
      <c r="Z9" s="313"/>
      <c r="AA9" s="313"/>
      <c r="AB9" s="313"/>
      <c r="AC9" s="313"/>
      <c r="AD9" s="313"/>
      <c r="AE9" s="313"/>
      <c r="AF9" s="313"/>
      <c r="AG9" s="313"/>
      <c r="AH9" s="313"/>
      <c r="AI9" s="313"/>
      <c r="AJ9" s="313"/>
      <c r="AK9" s="313"/>
      <c r="AL9" s="313"/>
      <c r="AM9" s="313"/>
      <c r="AN9" s="313"/>
      <c r="AO9" s="313"/>
      <c r="AP9" s="313"/>
      <c r="AQ9" s="313"/>
      <c r="AR9" s="313"/>
      <c r="AS9" s="313"/>
      <c r="AT9" s="313"/>
      <c r="AU9" s="313"/>
      <c r="AV9" s="313"/>
      <c r="AW9" s="313"/>
      <c r="AX9" s="313"/>
      <c r="AY9" s="313"/>
      <c r="AZ9" s="313"/>
      <c r="BA9" s="313"/>
      <c r="BB9" s="313"/>
      <c r="BC9" s="313"/>
      <c r="BD9" s="313"/>
      <c r="BE9" s="313"/>
      <c r="BF9" s="313"/>
      <c r="BG9" s="313"/>
      <c r="BH9" s="313"/>
      <c r="BI9" s="313"/>
      <c r="BJ9" s="313"/>
      <c r="BK9" s="313"/>
      <c r="BL9" s="313"/>
      <c r="BM9" s="313"/>
      <c r="BN9" s="313"/>
      <c r="BO9" s="313"/>
      <c r="BP9" s="313"/>
      <c r="BQ9" s="313"/>
      <c r="BR9" s="313"/>
      <c r="BS9" s="313"/>
      <c r="BT9" s="313"/>
      <c r="BU9" s="313"/>
      <c r="BV9" s="313"/>
      <c r="BW9" s="313"/>
      <c r="BX9" s="313"/>
      <c r="BY9" s="313"/>
      <c r="BZ9" s="313"/>
      <c r="CA9" s="313"/>
      <c r="CB9" s="313"/>
      <c r="CC9" s="313"/>
      <c r="CD9" s="313"/>
      <c r="CE9" s="313"/>
      <c r="CF9" s="313"/>
      <c r="CG9" s="313"/>
      <c r="CH9" s="313"/>
      <c r="CI9" s="313"/>
      <c r="CJ9" s="313"/>
      <c r="CK9" s="313"/>
      <c r="CL9" s="313"/>
      <c r="CM9" s="313"/>
      <c r="CN9" s="313"/>
      <c r="CO9" s="313"/>
      <c r="CP9" s="313"/>
      <c r="CQ9" s="313"/>
      <c r="CR9" s="313"/>
      <c r="CS9" s="313"/>
      <c r="CT9" s="313"/>
      <c r="CU9" s="313"/>
      <c r="CV9" s="313"/>
      <c r="CW9" s="313"/>
      <c r="CX9" s="313"/>
      <c r="CY9" s="313"/>
      <c r="CZ9" s="313"/>
      <c r="DA9" s="313"/>
      <c r="DB9" s="313"/>
      <c r="DC9" s="313"/>
      <c r="DD9" s="313"/>
      <c r="DE9" s="313"/>
      <c r="DF9" s="313"/>
      <c r="DG9" s="313"/>
      <c r="DH9" s="313"/>
      <c r="DI9" s="313"/>
      <c r="DJ9" s="313"/>
      <c r="DK9" s="313"/>
      <c r="DL9" s="313"/>
      <c r="DM9" s="313"/>
      <c r="DN9" s="313"/>
      <c r="DO9" s="313"/>
      <c r="DP9" s="313"/>
      <c r="DQ9" s="313"/>
      <c r="DR9" s="313"/>
      <c r="DS9" s="313"/>
      <c r="DT9" s="313"/>
      <c r="DU9" s="313"/>
      <c r="DV9" s="313"/>
      <c r="DW9" s="313"/>
      <c r="DX9" s="313"/>
      <c r="DY9" s="313"/>
      <c r="DZ9" s="313"/>
      <c r="EA9" s="313"/>
      <c r="EB9" s="313"/>
      <c r="EC9" s="313"/>
      <c r="ED9" s="313"/>
      <c r="EE9" s="313"/>
      <c r="EF9" s="313"/>
      <c r="EG9" s="313"/>
      <c r="EH9" s="313"/>
      <c r="EI9" s="313"/>
      <c r="EJ9" s="313"/>
      <c r="EK9" s="313"/>
      <c r="EL9" s="313"/>
      <c r="EM9" s="313"/>
      <c r="EN9" s="313"/>
      <c r="EO9" s="313"/>
      <c r="EP9" s="313"/>
      <c r="EQ9" s="313"/>
      <c r="ER9" s="313"/>
      <c r="ES9" s="313"/>
      <c r="ET9" s="313"/>
      <c r="EU9" s="313"/>
      <c r="EV9" s="313"/>
      <c r="EW9" s="313"/>
      <c r="EX9" s="313"/>
      <c r="EY9" s="313"/>
      <c r="EZ9" s="313"/>
      <c r="FA9" s="313"/>
      <c r="FB9" s="313"/>
      <c r="FC9" s="313"/>
      <c r="FD9" s="313"/>
      <c r="FE9" s="313"/>
      <c r="FF9" s="313"/>
      <c r="FG9" s="313"/>
      <c r="FH9" s="313"/>
      <c r="FI9" s="313"/>
      <c r="FJ9" s="313"/>
      <c r="FK9" s="313"/>
      <c r="FL9" s="313"/>
      <c r="FM9" s="313"/>
      <c r="FN9" s="313"/>
      <c r="FO9" s="313"/>
      <c r="FP9" s="313"/>
      <c r="FQ9" s="313"/>
      <c r="FR9" s="313"/>
      <c r="FS9" s="313"/>
      <c r="FT9" s="313"/>
      <c r="FU9" s="313"/>
      <c r="FV9" s="313"/>
      <c r="FW9" s="313"/>
      <c r="FX9" s="313"/>
      <c r="FY9" s="313"/>
      <c r="FZ9" s="313"/>
      <c r="GA9" s="313"/>
      <c r="GB9" s="313"/>
      <c r="GC9" s="313"/>
      <c r="GD9" s="313"/>
      <c r="GE9" s="313"/>
      <c r="GF9" s="313"/>
      <c r="GG9" s="313"/>
      <c r="GH9" s="313"/>
      <c r="GI9" s="313"/>
      <c r="GJ9" s="313"/>
      <c r="GK9" s="313"/>
      <c r="GL9" s="313"/>
      <c r="GM9" s="313"/>
      <c r="GN9" s="313"/>
      <c r="GO9" s="313"/>
      <c r="GP9" s="313"/>
      <c r="GQ9" s="313"/>
      <c r="GR9" s="313"/>
      <c r="GS9" s="313"/>
      <c r="GT9" s="313"/>
      <c r="GU9" s="313"/>
      <c r="GV9" s="313"/>
      <c r="GW9" s="313"/>
      <c r="GX9" s="313"/>
      <c r="GY9" s="313"/>
      <c r="GZ9" s="313"/>
      <c r="HA9" s="313"/>
      <c r="HB9" s="313"/>
      <c r="HC9" s="313"/>
      <c r="HD9" s="313"/>
      <c r="HE9" s="313"/>
      <c r="HF9" s="313"/>
      <c r="HG9" s="313"/>
      <c r="HH9" s="313"/>
      <c r="HI9" s="313"/>
      <c r="HJ9" s="313"/>
      <c r="HK9" s="313"/>
      <c r="HL9" s="313"/>
      <c r="HM9" s="313"/>
      <c r="HN9" s="313"/>
      <c r="HO9" s="313"/>
      <c r="HP9" s="313"/>
      <c r="HQ9" s="313"/>
      <c r="HR9" s="313"/>
      <c r="HS9" s="313"/>
      <c r="HT9" s="313"/>
      <c r="HU9" s="313"/>
      <c r="HV9" s="313"/>
      <c r="HW9" s="313"/>
      <c r="HX9" s="313"/>
      <c r="HY9" s="313"/>
      <c r="HZ9" s="313"/>
      <c r="IA9" s="313"/>
      <c r="IB9" s="313"/>
      <c r="IC9" s="313"/>
      <c r="ID9" s="313"/>
      <c r="IE9" s="313"/>
      <c r="IF9" s="313"/>
      <c r="IG9" s="313"/>
      <c r="IH9" s="313"/>
      <c r="II9" s="313"/>
      <c r="IJ9" s="313"/>
      <c r="IK9" s="313"/>
      <c r="IL9" s="313"/>
      <c r="IM9" s="313"/>
      <c r="IN9" s="313"/>
      <c r="IO9" s="313"/>
      <c r="IP9" s="313"/>
      <c r="IQ9" s="313"/>
      <c r="IR9" s="313"/>
      <c r="IS9" s="313"/>
      <c r="IT9" s="313"/>
      <c r="IU9" s="313"/>
      <c r="IV9" s="313"/>
      <c r="IW9" s="313"/>
      <c r="IX9" s="313"/>
      <c r="IY9" s="313"/>
      <c r="IZ9" s="313"/>
      <c r="JA9" s="313"/>
      <c r="JB9" s="313"/>
      <c r="JC9" s="313"/>
      <c r="JD9" s="313"/>
      <c r="JE9" s="313"/>
      <c r="JF9" s="313"/>
      <c r="JG9" s="313"/>
      <c r="JH9" s="313"/>
      <c r="JI9" s="313"/>
      <c r="JJ9" s="313"/>
      <c r="JK9" s="313"/>
      <c r="JL9" s="313"/>
      <c r="JM9" s="313"/>
      <c r="JN9" s="313"/>
      <c r="JO9" s="313"/>
      <c r="JP9" s="313"/>
      <c r="JQ9" s="313"/>
      <c r="JR9" s="313"/>
      <c r="JS9" s="313"/>
      <c r="JT9" s="313"/>
      <c r="JU9" s="313"/>
      <c r="JV9" s="313"/>
      <c r="JW9" s="313"/>
      <c r="JX9" s="313"/>
      <c r="JY9" s="313"/>
      <c r="JZ9" s="313"/>
      <c r="KA9" s="313"/>
      <c r="KB9" s="313"/>
      <c r="KC9" s="313"/>
      <c r="KD9" s="313"/>
      <c r="KE9" s="313"/>
      <c r="KF9" s="313"/>
      <c r="KG9" s="313"/>
      <c r="KH9" s="313"/>
      <c r="KI9" s="313"/>
      <c r="KJ9" s="313"/>
      <c r="KK9" s="313"/>
      <c r="KL9" s="313"/>
      <c r="KM9" s="313"/>
      <c r="KN9" s="313"/>
      <c r="KO9" s="313"/>
      <c r="KP9" s="313"/>
      <c r="KQ9" s="313"/>
    </row>
    <row r="10" s="303" customFormat="1" spans="1:303">
      <c r="A10" s="307"/>
      <c r="B10" s="310" t="s">
        <v>719</v>
      </c>
      <c r="C10" s="310" t="s">
        <v>720</v>
      </c>
      <c r="D10" s="310" t="s">
        <v>721</v>
      </c>
      <c r="E10" s="309" t="s">
        <v>344</v>
      </c>
      <c r="F10" s="138" t="s">
        <v>57</v>
      </c>
      <c r="G10" s="310" t="s">
        <v>722</v>
      </c>
      <c r="H10" s="310" t="s">
        <v>346</v>
      </c>
      <c r="I10" s="312"/>
      <c r="J10" s="313"/>
      <c r="K10" s="313"/>
      <c r="L10" s="313"/>
      <c r="M10" s="313"/>
      <c r="N10" s="313"/>
      <c r="O10" s="313"/>
      <c r="P10" s="313"/>
      <c r="Q10" s="313"/>
      <c r="R10" s="313"/>
      <c r="S10" s="313"/>
      <c r="T10" s="313"/>
      <c r="U10" s="313"/>
      <c r="V10" s="313"/>
      <c r="W10" s="313"/>
      <c r="X10" s="313"/>
      <c r="Y10" s="313"/>
      <c r="Z10" s="313"/>
      <c r="AA10" s="313"/>
      <c r="AB10" s="313"/>
      <c r="AC10" s="313"/>
      <c r="AD10" s="313"/>
      <c r="AE10" s="313"/>
      <c r="AF10" s="313"/>
      <c r="AG10" s="313"/>
      <c r="AH10" s="313"/>
      <c r="AI10" s="313"/>
      <c r="AJ10" s="313"/>
      <c r="AK10" s="313"/>
      <c r="AL10" s="313"/>
      <c r="AM10" s="313"/>
      <c r="AN10" s="313"/>
      <c r="AO10" s="313"/>
      <c r="AP10" s="313"/>
      <c r="AQ10" s="313"/>
      <c r="AR10" s="313"/>
      <c r="AS10" s="313"/>
      <c r="AT10" s="313"/>
      <c r="AU10" s="313"/>
      <c r="AV10" s="313"/>
      <c r="AW10" s="313"/>
      <c r="AX10" s="313"/>
      <c r="AY10" s="313"/>
      <c r="AZ10" s="313"/>
      <c r="BA10" s="313"/>
      <c r="BB10" s="313"/>
      <c r="BC10" s="313"/>
      <c r="BD10" s="313"/>
      <c r="BE10" s="313"/>
      <c r="BF10" s="313"/>
      <c r="BG10" s="313"/>
      <c r="BH10" s="313"/>
      <c r="BI10" s="313"/>
      <c r="BJ10" s="313"/>
      <c r="BK10" s="313"/>
      <c r="BL10" s="313"/>
      <c r="BM10" s="313"/>
      <c r="BN10" s="313"/>
      <c r="BO10" s="313"/>
      <c r="BP10" s="313"/>
      <c r="BQ10" s="313"/>
      <c r="BR10" s="313"/>
      <c r="BS10" s="313"/>
      <c r="BT10" s="313"/>
      <c r="BU10" s="313"/>
      <c r="BV10" s="313"/>
      <c r="BW10" s="313"/>
      <c r="BX10" s="313"/>
      <c r="BY10" s="313"/>
      <c r="BZ10" s="313"/>
      <c r="CA10" s="313"/>
      <c r="CB10" s="313"/>
      <c r="CC10" s="313"/>
      <c r="CD10" s="313"/>
      <c r="CE10" s="313"/>
      <c r="CF10" s="313"/>
      <c r="CG10" s="313"/>
      <c r="CH10" s="313"/>
      <c r="CI10" s="313"/>
      <c r="CJ10" s="313"/>
      <c r="CK10" s="313"/>
      <c r="CL10" s="313"/>
      <c r="CM10" s="313"/>
      <c r="CN10" s="313"/>
      <c r="CO10" s="313"/>
      <c r="CP10" s="313"/>
      <c r="CQ10" s="313"/>
      <c r="CR10" s="313"/>
      <c r="CS10" s="313"/>
      <c r="CT10" s="313"/>
      <c r="CU10" s="313"/>
      <c r="CV10" s="313"/>
      <c r="CW10" s="313"/>
      <c r="CX10" s="313"/>
      <c r="CY10" s="313"/>
      <c r="CZ10" s="313"/>
      <c r="DA10" s="313"/>
      <c r="DB10" s="313"/>
      <c r="DC10" s="313"/>
      <c r="DD10" s="313"/>
      <c r="DE10" s="313"/>
      <c r="DF10" s="313"/>
      <c r="DG10" s="313"/>
      <c r="DH10" s="313"/>
      <c r="DI10" s="313"/>
      <c r="DJ10" s="313"/>
      <c r="DK10" s="313"/>
      <c r="DL10" s="313"/>
      <c r="DM10" s="313"/>
      <c r="DN10" s="313"/>
      <c r="DO10" s="313"/>
      <c r="DP10" s="313"/>
      <c r="DQ10" s="313"/>
      <c r="DR10" s="313"/>
      <c r="DS10" s="313"/>
      <c r="DT10" s="313"/>
      <c r="DU10" s="313"/>
      <c r="DV10" s="313"/>
      <c r="DW10" s="313"/>
      <c r="DX10" s="313"/>
      <c r="DY10" s="313"/>
      <c r="DZ10" s="313"/>
      <c r="EA10" s="313"/>
      <c r="EB10" s="313"/>
      <c r="EC10" s="313"/>
      <c r="ED10" s="313"/>
      <c r="EE10" s="313"/>
      <c r="EF10" s="313"/>
      <c r="EG10" s="313"/>
      <c r="EH10" s="313"/>
      <c r="EI10" s="313"/>
      <c r="EJ10" s="313"/>
      <c r="EK10" s="313"/>
      <c r="EL10" s="313"/>
      <c r="EM10" s="313"/>
      <c r="EN10" s="313"/>
      <c r="EO10" s="313"/>
      <c r="EP10" s="313"/>
      <c r="EQ10" s="313"/>
      <c r="ER10" s="313"/>
      <c r="ES10" s="313"/>
      <c r="ET10" s="313"/>
      <c r="EU10" s="313"/>
      <c r="EV10" s="313"/>
      <c r="EW10" s="313"/>
      <c r="EX10" s="313"/>
      <c r="EY10" s="313"/>
      <c r="EZ10" s="313"/>
      <c r="FA10" s="313"/>
      <c r="FB10" s="313"/>
      <c r="FC10" s="313"/>
      <c r="FD10" s="313"/>
      <c r="FE10" s="313"/>
      <c r="FF10" s="313"/>
      <c r="FG10" s="313"/>
      <c r="FH10" s="313"/>
      <c r="FI10" s="313"/>
      <c r="FJ10" s="313"/>
      <c r="FK10" s="313"/>
      <c r="FL10" s="313"/>
      <c r="FM10" s="313"/>
      <c r="FN10" s="313"/>
      <c r="FO10" s="313"/>
      <c r="FP10" s="313"/>
      <c r="FQ10" s="313"/>
      <c r="FR10" s="313"/>
      <c r="FS10" s="313"/>
      <c r="FT10" s="313"/>
      <c r="FU10" s="313"/>
      <c r="FV10" s="313"/>
      <c r="FW10" s="313"/>
      <c r="FX10" s="313"/>
      <c r="FY10" s="313"/>
      <c r="FZ10" s="313"/>
      <c r="GA10" s="313"/>
      <c r="GB10" s="313"/>
      <c r="GC10" s="313"/>
      <c r="GD10" s="313"/>
      <c r="GE10" s="313"/>
      <c r="GF10" s="313"/>
      <c r="GG10" s="313"/>
      <c r="GH10" s="313"/>
      <c r="GI10" s="313"/>
      <c r="GJ10" s="313"/>
      <c r="GK10" s="313"/>
      <c r="GL10" s="313"/>
      <c r="GM10" s="313"/>
      <c r="GN10" s="313"/>
      <c r="GO10" s="313"/>
      <c r="GP10" s="313"/>
      <c r="GQ10" s="313"/>
      <c r="GR10" s="313"/>
      <c r="GS10" s="313"/>
      <c r="GT10" s="313"/>
      <c r="GU10" s="313"/>
      <c r="GV10" s="313"/>
      <c r="GW10" s="313"/>
      <c r="GX10" s="313"/>
      <c r="GY10" s="313"/>
      <c r="GZ10" s="313"/>
      <c r="HA10" s="313"/>
      <c r="HB10" s="313"/>
      <c r="HC10" s="313"/>
      <c r="HD10" s="313"/>
      <c r="HE10" s="313"/>
      <c r="HF10" s="313"/>
      <c r="HG10" s="313"/>
      <c r="HH10" s="313"/>
      <c r="HI10" s="313"/>
      <c r="HJ10" s="313"/>
      <c r="HK10" s="313"/>
      <c r="HL10" s="313"/>
      <c r="HM10" s="313"/>
      <c r="HN10" s="313"/>
      <c r="HO10" s="313"/>
      <c r="HP10" s="313"/>
      <c r="HQ10" s="313"/>
      <c r="HR10" s="313"/>
      <c r="HS10" s="313"/>
      <c r="HT10" s="313"/>
      <c r="HU10" s="313"/>
      <c r="HV10" s="313"/>
      <c r="HW10" s="313"/>
      <c r="HX10" s="313"/>
      <c r="HY10" s="313"/>
      <c r="HZ10" s="313"/>
      <c r="IA10" s="313"/>
      <c r="IB10" s="313"/>
      <c r="IC10" s="313"/>
      <c r="ID10" s="313"/>
      <c r="IE10" s="313"/>
      <c r="IF10" s="313"/>
      <c r="IG10" s="313"/>
      <c r="IH10" s="313"/>
      <c r="II10" s="313"/>
      <c r="IJ10" s="313"/>
      <c r="IK10" s="313"/>
      <c r="IL10" s="313"/>
      <c r="IM10" s="313"/>
      <c r="IN10" s="313"/>
      <c r="IO10" s="313"/>
      <c r="IP10" s="313"/>
      <c r="IQ10" s="313"/>
      <c r="IR10" s="313"/>
      <c r="IS10" s="313"/>
      <c r="IT10" s="313"/>
      <c r="IU10" s="313"/>
      <c r="IV10" s="313"/>
      <c r="IW10" s="313"/>
      <c r="IX10" s="313"/>
      <c r="IY10" s="313"/>
      <c r="IZ10" s="313"/>
      <c r="JA10" s="313"/>
      <c r="JB10" s="313"/>
      <c r="JC10" s="313"/>
      <c r="JD10" s="313"/>
      <c r="JE10" s="313"/>
      <c r="JF10" s="313"/>
      <c r="JG10" s="313"/>
      <c r="JH10" s="313"/>
      <c r="JI10" s="313"/>
      <c r="JJ10" s="313"/>
      <c r="JK10" s="313"/>
      <c r="JL10" s="313"/>
      <c r="JM10" s="313"/>
      <c r="JN10" s="313"/>
      <c r="JO10" s="313"/>
      <c r="JP10" s="313"/>
      <c r="JQ10" s="313"/>
      <c r="JR10" s="313"/>
      <c r="JS10" s="313"/>
      <c r="JT10" s="313"/>
      <c r="JU10" s="313"/>
      <c r="JV10" s="313"/>
      <c r="JW10" s="313"/>
      <c r="JX10" s="313"/>
      <c r="JY10" s="313"/>
      <c r="JZ10" s="313"/>
      <c r="KA10" s="313"/>
      <c r="KB10" s="313"/>
      <c r="KC10" s="313"/>
      <c r="KD10" s="313"/>
      <c r="KE10" s="313"/>
      <c r="KF10" s="313"/>
      <c r="KG10" s="313"/>
      <c r="KH10" s="313"/>
      <c r="KI10" s="313"/>
      <c r="KJ10" s="313"/>
      <c r="KK10" s="313"/>
      <c r="KL10" s="313"/>
      <c r="KM10" s="313"/>
      <c r="KN10" s="313"/>
      <c r="KO10" s="313"/>
      <c r="KP10" s="313"/>
      <c r="KQ10" s="313"/>
    </row>
    <row r="11" s="303" customFormat="1" ht="33.75" spans="1:303">
      <c r="A11" s="307"/>
      <c r="B11" s="310" t="s">
        <v>723</v>
      </c>
      <c r="C11" s="310" t="s">
        <v>724</v>
      </c>
      <c r="D11" s="310" t="s">
        <v>725</v>
      </c>
      <c r="E11" s="309" t="s">
        <v>344</v>
      </c>
      <c r="F11" s="138" t="s">
        <v>57</v>
      </c>
      <c r="G11" s="310" t="s">
        <v>419</v>
      </c>
      <c r="H11" s="310" t="s">
        <v>726</v>
      </c>
      <c r="I11" s="312"/>
      <c r="J11" s="313"/>
      <c r="K11" s="313"/>
      <c r="L11" s="313"/>
      <c r="M11" s="313"/>
      <c r="N11" s="313"/>
      <c r="O11" s="313"/>
      <c r="P11" s="313"/>
      <c r="Q11" s="313"/>
      <c r="R11" s="313"/>
      <c r="S11" s="313"/>
      <c r="T11" s="313"/>
      <c r="U11" s="313"/>
      <c r="V11" s="313"/>
      <c r="W11" s="313"/>
      <c r="X11" s="313"/>
      <c r="Y11" s="313"/>
      <c r="Z11" s="313"/>
      <c r="AA11" s="313"/>
      <c r="AB11" s="313"/>
      <c r="AC11" s="313"/>
      <c r="AD11" s="313"/>
      <c r="AE11" s="313"/>
      <c r="AF11" s="313"/>
      <c r="AG11" s="313"/>
      <c r="AH11" s="313"/>
      <c r="AI11" s="313"/>
      <c r="AJ11" s="313"/>
      <c r="AK11" s="313"/>
      <c r="AL11" s="313"/>
      <c r="AM11" s="313"/>
      <c r="AN11" s="313"/>
      <c r="AO11" s="313"/>
      <c r="AP11" s="313"/>
      <c r="AQ11" s="313"/>
      <c r="AR11" s="313"/>
      <c r="AS11" s="313"/>
      <c r="AT11" s="313"/>
      <c r="AU11" s="313"/>
      <c r="AV11" s="313"/>
      <c r="AW11" s="313"/>
      <c r="AX11" s="313"/>
      <c r="AY11" s="313"/>
      <c r="AZ11" s="313"/>
      <c r="BA11" s="313"/>
      <c r="BB11" s="313"/>
      <c r="BC11" s="313"/>
      <c r="BD11" s="313"/>
      <c r="BE11" s="313"/>
      <c r="BF11" s="313"/>
      <c r="BG11" s="313"/>
      <c r="BH11" s="313"/>
      <c r="BI11" s="313"/>
      <c r="BJ11" s="313"/>
      <c r="BK11" s="313"/>
      <c r="BL11" s="313"/>
      <c r="BM11" s="313"/>
      <c r="BN11" s="313"/>
      <c r="BO11" s="313"/>
      <c r="BP11" s="313"/>
      <c r="BQ11" s="313"/>
      <c r="BR11" s="313"/>
      <c r="BS11" s="313"/>
      <c r="BT11" s="313"/>
      <c r="BU11" s="313"/>
      <c r="BV11" s="313"/>
      <c r="BW11" s="313"/>
      <c r="BX11" s="313"/>
      <c r="BY11" s="313"/>
      <c r="BZ11" s="313"/>
      <c r="CA11" s="313"/>
      <c r="CB11" s="313"/>
      <c r="CC11" s="313"/>
      <c r="CD11" s="313"/>
      <c r="CE11" s="313"/>
      <c r="CF11" s="313"/>
      <c r="CG11" s="313"/>
      <c r="CH11" s="313"/>
      <c r="CI11" s="313"/>
      <c r="CJ11" s="313"/>
      <c r="CK11" s="313"/>
      <c r="CL11" s="313"/>
      <c r="CM11" s="313"/>
      <c r="CN11" s="313"/>
      <c r="CO11" s="313"/>
      <c r="CP11" s="313"/>
      <c r="CQ11" s="313"/>
      <c r="CR11" s="313"/>
      <c r="CS11" s="313"/>
      <c r="CT11" s="313"/>
      <c r="CU11" s="313"/>
      <c r="CV11" s="313"/>
      <c r="CW11" s="313"/>
      <c r="CX11" s="313"/>
      <c r="CY11" s="313"/>
      <c r="CZ11" s="313"/>
      <c r="DA11" s="313"/>
      <c r="DB11" s="313"/>
      <c r="DC11" s="313"/>
      <c r="DD11" s="313"/>
      <c r="DE11" s="313"/>
      <c r="DF11" s="313"/>
      <c r="DG11" s="313"/>
      <c r="DH11" s="313"/>
      <c r="DI11" s="313"/>
      <c r="DJ11" s="313"/>
      <c r="DK11" s="313"/>
      <c r="DL11" s="313"/>
      <c r="DM11" s="313"/>
      <c r="DN11" s="313"/>
      <c r="DO11" s="313"/>
      <c r="DP11" s="313"/>
      <c r="DQ11" s="313"/>
      <c r="DR11" s="313"/>
      <c r="DS11" s="313"/>
      <c r="DT11" s="313"/>
      <c r="DU11" s="313"/>
      <c r="DV11" s="313"/>
      <c r="DW11" s="313"/>
      <c r="DX11" s="313"/>
      <c r="DY11" s="313"/>
      <c r="DZ11" s="313"/>
      <c r="EA11" s="313"/>
      <c r="EB11" s="313"/>
      <c r="EC11" s="313"/>
      <c r="ED11" s="313"/>
      <c r="EE11" s="313"/>
      <c r="EF11" s="313"/>
      <c r="EG11" s="313"/>
      <c r="EH11" s="313"/>
      <c r="EI11" s="313"/>
      <c r="EJ11" s="313"/>
      <c r="EK11" s="313"/>
      <c r="EL11" s="313"/>
      <c r="EM11" s="313"/>
      <c r="EN11" s="313"/>
      <c r="EO11" s="313"/>
      <c r="EP11" s="313"/>
      <c r="EQ11" s="313"/>
      <c r="ER11" s="313"/>
      <c r="ES11" s="313"/>
      <c r="ET11" s="313"/>
      <c r="EU11" s="313"/>
      <c r="EV11" s="313"/>
      <c r="EW11" s="313"/>
      <c r="EX11" s="313"/>
      <c r="EY11" s="313"/>
      <c r="EZ11" s="313"/>
      <c r="FA11" s="313"/>
      <c r="FB11" s="313"/>
      <c r="FC11" s="313"/>
      <c r="FD11" s="313"/>
      <c r="FE11" s="313"/>
      <c r="FF11" s="313"/>
      <c r="FG11" s="313"/>
      <c r="FH11" s="313"/>
      <c r="FI11" s="313"/>
      <c r="FJ11" s="313"/>
      <c r="FK11" s="313"/>
      <c r="FL11" s="313"/>
      <c r="FM11" s="313"/>
      <c r="FN11" s="313"/>
      <c r="FO11" s="313"/>
      <c r="FP11" s="313"/>
      <c r="FQ11" s="313"/>
      <c r="FR11" s="313"/>
      <c r="FS11" s="313"/>
      <c r="FT11" s="313"/>
      <c r="FU11" s="313"/>
      <c r="FV11" s="313"/>
      <c r="FW11" s="313"/>
      <c r="FX11" s="313"/>
      <c r="FY11" s="313"/>
      <c r="FZ11" s="313"/>
      <c r="GA11" s="313"/>
      <c r="GB11" s="313"/>
      <c r="GC11" s="313"/>
      <c r="GD11" s="313"/>
      <c r="GE11" s="313"/>
      <c r="GF11" s="313"/>
      <c r="GG11" s="313"/>
      <c r="GH11" s="313"/>
      <c r="GI11" s="313"/>
      <c r="GJ11" s="313"/>
      <c r="GK11" s="313"/>
      <c r="GL11" s="313"/>
      <c r="GM11" s="313"/>
      <c r="GN11" s="313"/>
      <c r="GO11" s="313"/>
      <c r="GP11" s="313"/>
      <c r="GQ11" s="313"/>
      <c r="GR11" s="313"/>
      <c r="GS11" s="313"/>
      <c r="GT11" s="313"/>
      <c r="GU11" s="313"/>
      <c r="GV11" s="313"/>
      <c r="GW11" s="313"/>
      <c r="GX11" s="313"/>
      <c r="GY11" s="313"/>
      <c r="GZ11" s="313"/>
      <c r="HA11" s="313"/>
      <c r="HB11" s="313"/>
      <c r="HC11" s="313"/>
      <c r="HD11" s="313"/>
      <c r="HE11" s="313"/>
      <c r="HF11" s="313"/>
      <c r="HG11" s="313"/>
      <c r="HH11" s="313"/>
      <c r="HI11" s="313"/>
      <c r="HJ11" s="313"/>
      <c r="HK11" s="313"/>
      <c r="HL11" s="313"/>
      <c r="HM11" s="313"/>
      <c r="HN11" s="313"/>
      <c r="HO11" s="313"/>
      <c r="HP11" s="313"/>
      <c r="HQ11" s="313"/>
      <c r="HR11" s="313"/>
      <c r="HS11" s="313"/>
      <c r="HT11" s="313"/>
      <c r="HU11" s="313"/>
      <c r="HV11" s="313"/>
      <c r="HW11" s="313"/>
      <c r="HX11" s="313"/>
      <c r="HY11" s="313"/>
      <c r="HZ11" s="313"/>
      <c r="IA11" s="313"/>
      <c r="IB11" s="313"/>
      <c r="IC11" s="313"/>
      <c r="ID11" s="313"/>
      <c r="IE11" s="313"/>
      <c r="IF11" s="313"/>
      <c r="IG11" s="313"/>
      <c r="IH11" s="313"/>
      <c r="II11" s="313"/>
      <c r="IJ11" s="313"/>
      <c r="IK11" s="313"/>
      <c r="IL11" s="313"/>
      <c r="IM11" s="313"/>
      <c r="IN11" s="313"/>
      <c r="IO11" s="313"/>
      <c r="IP11" s="313"/>
      <c r="IQ11" s="313"/>
      <c r="IR11" s="313"/>
      <c r="IS11" s="313"/>
      <c r="IT11" s="313"/>
      <c r="IU11" s="313"/>
      <c r="IV11" s="313"/>
      <c r="IW11" s="313"/>
      <c r="IX11" s="313"/>
      <c r="IY11" s="313"/>
      <c r="IZ11" s="313"/>
      <c r="JA11" s="313"/>
      <c r="JB11" s="313"/>
      <c r="JC11" s="313"/>
      <c r="JD11" s="313"/>
      <c r="JE11" s="313"/>
      <c r="JF11" s="313"/>
      <c r="JG11" s="313"/>
      <c r="JH11" s="313"/>
      <c r="JI11" s="313"/>
      <c r="JJ11" s="313"/>
      <c r="JK11" s="313"/>
      <c r="JL11" s="313"/>
      <c r="JM11" s="313"/>
      <c r="JN11" s="313"/>
      <c r="JO11" s="313"/>
      <c r="JP11" s="313"/>
      <c r="JQ11" s="313"/>
      <c r="JR11" s="313"/>
      <c r="JS11" s="313"/>
      <c r="JT11" s="313"/>
      <c r="JU11" s="313"/>
      <c r="JV11" s="313"/>
      <c r="JW11" s="313"/>
      <c r="JX11" s="313"/>
      <c r="JY11" s="313"/>
      <c r="JZ11" s="313"/>
      <c r="KA11" s="313"/>
      <c r="KB11" s="313"/>
      <c r="KC11" s="313"/>
      <c r="KD11" s="313"/>
      <c r="KE11" s="313"/>
      <c r="KF11" s="313"/>
      <c r="KG11" s="313"/>
      <c r="KH11" s="313"/>
      <c r="KI11" s="313"/>
      <c r="KJ11" s="313"/>
      <c r="KK11" s="313"/>
      <c r="KL11" s="313"/>
      <c r="KM11" s="313"/>
      <c r="KN11" s="313"/>
      <c r="KO11" s="313"/>
      <c r="KP11" s="313"/>
      <c r="KQ11" s="313"/>
    </row>
    <row r="12" s="303" customFormat="1" spans="1:303">
      <c r="A12" s="307"/>
      <c r="B12" s="310" t="s">
        <v>727</v>
      </c>
      <c r="C12" s="310" t="s">
        <v>728</v>
      </c>
      <c r="D12" s="310" t="s">
        <v>729</v>
      </c>
      <c r="E12" s="309" t="s">
        <v>344</v>
      </c>
      <c r="F12" s="138" t="s">
        <v>24</v>
      </c>
      <c r="G12" s="310" t="s">
        <v>419</v>
      </c>
      <c r="H12" s="310" t="s">
        <v>346</v>
      </c>
      <c r="I12" s="312" t="s">
        <v>730</v>
      </c>
      <c r="J12" s="313"/>
      <c r="K12" s="313"/>
      <c r="L12" s="313"/>
      <c r="M12" s="313"/>
      <c r="N12" s="313"/>
      <c r="O12" s="313"/>
      <c r="P12" s="313"/>
      <c r="Q12" s="313"/>
      <c r="R12" s="313"/>
      <c r="S12" s="313"/>
      <c r="T12" s="313"/>
      <c r="U12" s="313"/>
      <c r="V12" s="313"/>
      <c r="W12" s="313"/>
      <c r="X12" s="313"/>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3"/>
      <c r="AV12" s="313"/>
      <c r="AW12" s="313"/>
      <c r="AX12" s="313"/>
      <c r="AY12" s="313"/>
      <c r="AZ12" s="313"/>
      <c r="BA12" s="313"/>
      <c r="BB12" s="313"/>
      <c r="BC12" s="313"/>
      <c r="BD12" s="313"/>
      <c r="BE12" s="313"/>
      <c r="BF12" s="313"/>
      <c r="BG12" s="313"/>
      <c r="BH12" s="313"/>
      <c r="BI12" s="313"/>
      <c r="BJ12" s="313"/>
      <c r="BK12" s="313"/>
      <c r="BL12" s="313"/>
      <c r="BM12" s="313"/>
      <c r="BN12" s="313"/>
      <c r="BO12" s="313"/>
      <c r="BP12" s="313"/>
      <c r="BQ12" s="313"/>
      <c r="BR12" s="313"/>
      <c r="BS12" s="313"/>
      <c r="BT12" s="313"/>
      <c r="BU12" s="313"/>
      <c r="BV12" s="313"/>
      <c r="BW12" s="313"/>
      <c r="BX12" s="313"/>
      <c r="BY12" s="313"/>
      <c r="BZ12" s="313"/>
      <c r="CA12" s="313"/>
      <c r="CB12" s="313"/>
      <c r="CC12" s="313"/>
      <c r="CD12" s="313"/>
      <c r="CE12" s="313"/>
      <c r="CF12" s="313"/>
      <c r="CG12" s="313"/>
      <c r="CH12" s="313"/>
      <c r="CI12" s="313"/>
      <c r="CJ12" s="313"/>
      <c r="CK12" s="313"/>
      <c r="CL12" s="313"/>
      <c r="CM12" s="313"/>
      <c r="CN12" s="313"/>
      <c r="CO12" s="313"/>
      <c r="CP12" s="313"/>
      <c r="CQ12" s="313"/>
      <c r="CR12" s="313"/>
      <c r="CS12" s="313"/>
      <c r="CT12" s="313"/>
      <c r="CU12" s="313"/>
      <c r="CV12" s="313"/>
      <c r="CW12" s="313"/>
      <c r="CX12" s="313"/>
      <c r="CY12" s="313"/>
      <c r="CZ12" s="313"/>
      <c r="DA12" s="313"/>
      <c r="DB12" s="313"/>
      <c r="DC12" s="313"/>
      <c r="DD12" s="313"/>
      <c r="DE12" s="313"/>
      <c r="DF12" s="313"/>
      <c r="DG12" s="313"/>
      <c r="DH12" s="313"/>
      <c r="DI12" s="313"/>
      <c r="DJ12" s="313"/>
      <c r="DK12" s="313"/>
      <c r="DL12" s="313"/>
      <c r="DM12" s="313"/>
      <c r="DN12" s="313"/>
      <c r="DO12" s="313"/>
      <c r="DP12" s="313"/>
      <c r="DQ12" s="313"/>
      <c r="DR12" s="313"/>
      <c r="DS12" s="313"/>
      <c r="DT12" s="313"/>
      <c r="DU12" s="313"/>
      <c r="DV12" s="313"/>
      <c r="DW12" s="313"/>
      <c r="DX12" s="313"/>
      <c r="DY12" s="313"/>
      <c r="DZ12" s="313"/>
      <c r="EA12" s="313"/>
      <c r="EB12" s="313"/>
      <c r="EC12" s="313"/>
      <c r="ED12" s="313"/>
      <c r="EE12" s="313"/>
      <c r="EF12" s="313"/>
      <c r="EG12" s="313"/>
      <c r="EH12" s="313"/>
      <c r="EI12" s="313"/>
      <c r="EJ12" s="313"/>
      <c r="EK12" s="313"/>
      <c r="EL12" s="313"/>
      <c r="EM12" s="313"/>
      <c r="EN12" s="313"/>
      <c r="EO12" s="313"/>
      <c r="EP12" s="313"/>
      <c r="EQ12" s="313"/>
      <c r="ER12" s="313"/>
      <c r="ES12" s="313"/>
      <c r="ET12" s="313"/>
      <c r="EU12" s="313"/>
      <c r="EV12" s="313"/>
      <c r="EW12" s="313"/>
      <c r="EX12" s="313"/>
      <c r="EY12" s="313"/>
      <c r="EZ12" s="313"/>
      <c r="FA12" s="313"/>
      <c r="FB12" s="313"/>
      <c r="FC12" s="313"/>
      <c r="FD12" s="313"/>
      <c r="FE12" s="313"/>
      <c r="FF12" s="313"/>
      <c r="FG12" s="313"/>
      <c r="FH12" s="313"/>
      <c r="FI12" s="313"/>
      <c r="FJ12" s="313"/>
      <c r="FK12" s="313"/>
      <c r="FL12" s="313"/>
      <c r="FM12" s="313"/>
      <c r="FN12" s="313"/>
      <c r="FO12" s="313"/>
      <c r="FP12" s="313"/>
      <c r="FQ12" s="313"/>
      <c r="FR12" s="313"/>
      <c r="FS12" s="313"/>
      <c r="FT12" s="313"/>
      <c r="FU12" s="313"/>
      <c r="FV12" s="313"/>
      <c r="FW12" s="313"/>
      <c r="FX12" s="313"/>
      <c r="FY12" s="313"/>
      <c r="FZ12" s="313"/>
      <c r="GA12" s="313"/>
      <c r="GB12" s="313"/>
      <c r="GC12" s="313"/>
      <c r="GD12" s="313"/>
      <c r="GE12" s="313"/>
      <c r="GF12" s="313"/>
      <c r="GG12" s="313"/>
      <c r="GH12" s="313"/>
      <c r="GI12" s="313"/>
      <c r="GJ12" s="313"/>
      <c r="GK12" s="313"/>
      <c r="GL12" s="313"/>
      <c r="GM12" s="313"/>
      <c r="GN12" s="313"/>
      <c r="GO12" s="313"/>
      <c r="GP12" s="313"/>
      <c r="GQ12" s="313"/>
      <c r="GR12" s="313"/>
      <c r="GS12" s="313"/>
      <c r="GT12" s="313"/>
      <c r="GU12" s="313"/>
      <c r="GV12" s="313"/>
      <c r="GW12" s="313"/>
      <c r="GX12" s="313"/>
      <c r="GY12" s="313"/>
      <c r="GZ12" s="313"/>
      <c r="HA12" s="313"/>
      <c r="HB12" s="313"/>
      <c r="HC12" s="313"/>
      <c r="HD12" s="313"/>
      <c r="HE12" s="313"/>
      <c r="HF12" s="313"/>
      <c r="HG12" s="313"/>
      <c r="HH12" s="313"/>
      <c r="HI12" s="313"/>
      <c r="HJ12" s="313"/>
      <c r="HK12" s="313"/>
      <c r="HL12" s="313"/>
      <c r="HM12" s="313"/>
      <c r="HN12" s="313"/>
      <c r="HO12" s="313"/>
      <c r="HP12" s="313"/>
      <c r="HQ12" s="313"/>
      <c r="HR12" s="313"/>
      <c r="HS12" s="313"/>
      <c r="HT12" s="313"/>
      <c r="HU12" s="313"/>
      <c r="HV12" s="313"/>
      <c r="HW12" s="313"/>
      <c r="HX12" s="313"/>
      <c r="HY12" s="313"/>
      <c r="HZ12" s="313"/>
      <c r="IA12" s="313"/>
      <c r="IB12" s="313"/>
      <c r="IC12" s="313"/>
      <c r="ID12" s="313"/>
      <c r="IE12" s="313"/>
      <c r="IF12" s="313"/>
      <c r="IG12" s="313"/>
      <c r="IH12" s="313"/>
      <c r="II12" s="313"/>
      <c r="IJ12" s="313"/>
      <c r="IK12" s="313"/>
      <c r="IL12" s="313"/>
      <c r="IM12" s="313"/>
      <c r="IN12" s="313"/>
      <c r="IO12" s="313"/>
      <c r="IP12" s="313"/>
      <c r="IQ12" s="313"/>
      <c r="IR12" s="313"/>
      <c r="IS12" s="313"/>
      <c r="IT12" s="313"/>
      <c r="IU12" s="313"/>
      <c r="IV12" s="313"/>
      <c r="IW12" s="313"/>
      <c r="IX12" s="313"/>
      <c r="IY12" s="313"/>
      <c r="IZ12" s="313"/>
      <c r="JA12" s="313"/>
      <c r="JB12" s="313"/>
      <c r="JC12" s="313"/>
      <c r="JD12" s="313"/>
      <c r="JE12" s="313"/>
      <c r="JF12" s="313"/>
      <c r="JG12" s="313"/>
      <c r="JH12" s="313"/>
      <c r="JI12" s="313"/>
      <c r="JJ12" s="313"/>
      <c r="JK12" s="313"/>
      <c r="JL12" s="313"/>
      <c r="JM12" s="313"/>
      <c r="JN12" s="313"/>
      <c r="JO12" s="313"/>
      <c r="JP12" s="313"/>
      <c r="JQ12" s="313"/>
      <c r="JR12" s="313"/>
      <c r="JS12" s="313"/>
      <c r="JT12" s="313"/>
      <c r="JU12" s="313"/>
      <c r="JV12" s="313"/>
      <c r="JW12" s="313"/>
      <c r="JX12" s="313"/>
      <c r="JY12" s="313"/>
      <c r="JZ12" s="313"/>
      <c r="KA12" s="313"/>
      <c r="KB12" s="313"/>
      <c r="KC12" s="313"/>
      <c r="KD12" s="313"/>
      <c r="KE12" s="313"/>
      <c r="KF12" s="313"/>
      <c r="KG12" s="313"/>
      <c r="KH12" s="313"/>
      <c r="KI12" s="313"/>
      <c r="KJ12" s="313"/>
      <c r="KK12" s="313"/>
      <c r="KL12" s="313"/>
      <c r="KM12" s="313"/>
      <c r="KN12" s="313"/>
      <c r="KO12" s="313"/>
      <c r="KP12" s="313"/>
      <c r="KQ12" s="313"/>
    </row>
    <row r="13" s="303" customFormat="1" spans="1:303">
      <c r="A13" s="307"/>
      <c r="B13" s="310" t="s">
        <v>731</v>
      </c>
      <c r="C13" s="310" t="s">
        <v>732</v>
      </c>
      <c r="D13" s="310" t="s">
        <v>733</v>
      </c>
      <c r="E13" s="309" t="s">
        <v>344</v>
      </c>
      <c r="F13" s="138" t="s">
        <v>57</v>
      </c>
      <c r="G13" s="310" t="s">
        <v>354</v>
      </c>
      <c r="H13" s="310" t="s">
        <v>346</v>
      </c>
      <c r="I13" s="312"/>
      <c r="J13" s="313"/>
      <c r="K13" s="313"/>
      <c r="L13" s="313"/>
      <c r="M13" s="313"/>
      <c r="N13" s="313"/>
      <c r="O13" s="313"/>
      <c r="P13" s="313"/>
      <c r="Q13" s="313"/>
      <c r="R13" s="313"/>
      <c r="S13" s="313"/>
      <c r="T13" s="313"/>
      <c r="U13" s="313"/>
      <c r="V13" s="313"/>
      <c r="W13" s="313"/>
      <c r="X13" s="313"/>
      <c r="Y13" s="313"/>
      <c r="Z13" s="313"/>
      <c r="AA13" s="313"/>
      <c r="AB13" s="313"/>
      <c r="AC13" s="313"/>
      <c r="AD13" s="313"/>
      <c r="AE13" s="313"/>
      <c r="AF13" s="313"/>
      <c r="AG13" s="313"/>
      <c r="AH13" s="313"/>
      <c r="AI13" s="313"/>
      <c r="AJ13" s="313"/>
      <c r="AK13" s="313"/>
      <c r="AL13" s="313"/>
      <c r="AM13" s="313"/>
      <c r="AN13" s="313"/>
      <c r="AO13" s="313"/>
      <c r="AP13" s="313"/>
      <c r="AQ13" s="313"/>
      <c r="AR13" s="313"/>
      <c r="AS13" s="313"/>
      <c r="AT13" s="313"/>
      <c r="AU13" s="313"/>
      <c r="AV13" s="313"/>
      <c r="AW13" s="313"/>
      <c r="AX13" s="313"/>
      <c r="AY13" s="313"/>
      <c r="AZ13" s="313"/>
      <c r="BA13" s="313"/>
      <c r="BB13" s="313"/>
      <c r="BC13" s="313"/>
      <c r="BD13" s="313"/>
      <c r="BE13" s="313"/>
      <c r="BF13" s="313"/>
      <c r="BG13" s="313"/>
      <c r="BH13" s="313"/>
      <c r="BI13" s="313"/>
      <c r="BJ13" s="313"/>
      <c r="BK13" s="313"/>
      <c r="BL13" s="313"/>
      <c r="BM13" s="313"/>
      <c r="BN13" s="313"/>
      <c r="BO13" s="313"/>
      <c r="BP13" s="313"/>
      <c r="BQ13" s="313"/>
      <c r="BR13" s="313"/>
      <c r="BS13" s="313"/>
      <c r="BT13" s="313"/>
      <c r="BU13" s="313"/>
      <c r="BV13" s="313"/>
      <c r="BW13" s="313"/>
      <c r="BX13" s="313"/>
      <c r="BY13" s="313"/>
      <c r="BZ13" s="313"/>
      <c r="CA13" s="313"/>
      <c r="CB13" s="313"/>
      <c r="CC13" s="313"/>
      <c r="CD13" s="313"/>
      <c r="CE13" s="313"/>
      <c r="CF13" s="313"/>
      <c r="CG13" s="313"/>
      <c r="CH13" s="313"/>
      <c r="CI13" s="313"/>
      <c r="CJ13" s="313"/>
      <c r="CK13" s="313"/>
      <c r="CL13" s="313"/>
      <c r="CM13" s="313"/>
      <c r="CN13" s="313"/>
      <c r="CO13" s="313"/>
      <c r="CP13" s="313"/>
      <c r="CQ13" s="313"/>
      <c r="CR13" s="313"/>
      <c r="CS13" s="313"/>
      <c r="CT13" s="313"/>
      <c r="CU13" s="313"/>
      <c r="CV13" s="313"/>
      <c r="CW13" s="313"/>
      <c r="CX13" s="313"/>
      <c r="CY13" s="313"/>
      <c r="CZ13" s="313"/>
      <c r="DA13" s="313"/>
      <c r="DB13" s="313"/>
      <c r="DC13" s="313"/>
      <c r="DD13" s="313"/>
      <c r="DE13" s="313"/>
      <c r="DF13" s="313"/>
      <c r="DG13" s="313"/>
      <c r="DH13" s="313"/>
      <c r="DI13" s="313"/>
      <c r="DJ13" s="313"/>
      <c r="DK13" s="313"/>
      <c r="DL13" s="313"/>
      <c r="DM13" s="313"/>
      <c r="DN13" s="313"/>
      <c r="DO13" s="313"/>
      <c r="DP13" s="313"/>
      <c r="DQ13" s="313"/>
      <c r="DR13" s="313"/>
      <c r="DS13" s="313"/>
      <c r="DT13" s="313"/>
      <c r="DU13" s="313"/>
      <c r="DV13" s="313"/>
      <c r="DW13" s="313"/>
      <c r="DX13" s="313"/>
      <c r="DY13" s="313"/>
      <c r="DZ13" s="313"/>
      <c r="EA13" s="313"/>
      <c r="EB13" s="313"/>
      <c r="EC13" s="313"/>
      <c r="ED13" s="313"/>
      <c r="EE13" s="313"/>
      <c r="EF13" s="313"/>
      <c r="EG13" s="313"/>
      <c r="EH13" s="313"/>
      <c r="EI13" s="313"/>
      <c r="EJ13" s="313"/>
      <c r="EK13" s="313"/>
      <c r="EL13" s="313"/>
      <c r="EM13" s="313"/>
      <c r="EN13" s="313"/>
      <c r="EO13" s="313"/>
      <c r="EP13" s="313"/>
      <c r="EQ13" s="313"/>
      <c r="ER13" s="313"/>
      <c r="ES13" s="313"/>
      <c r="ET13" s="313"/>
      <c r="EU13" s="313"/>
      <c r="EV13" s="313"/>
      <c r="EW13" s="313"/>
      <c r="EX13" s="313"/>
      <c r="EY13" s="313"/>
      <c r="EZ13" s="313"/>
      <c r="FA13" s="313"/>
      <c r="FB13" s="313"/>
      <c r="FC13" s="313"/>
      <c r="FD13" s="313"/>
      <c r="FE13" s="313"/>
      <c r="FF13" s="313"/>
      <c r="FG13" s="313"/>
      <c r="FH13" s="313"/>
      <c r="FI13" s="313"/>
      <c r="FJ13" s="313"/>
      <c r="FK13" s="313"/>
      <c r="FL13" s="313"/>
      <c r="FM13" s="313"/>
      <c r="FN13" s="313"/>
      <c r="FO13" s="313"/>
      <c r="FP13" s="313"/>
      <c r="FQ13" s="313"/>
      <c r="FR13" s="313"/>
      <c r="FS13" s="313"/>
      <c r="FT13" s="313"/>
      <c r="FU13" s="313"/>
      <c r="FV13" s="313"/>
      <c r="FW13" s="313"/>
      <c r="FX13" s="313"/>
      <c r="FY13" s="313"/>
      <c r="FZ13" s="313"/>
      <c r="GA13" s="313"/>
      <c r="GB13" s="313"/>
      <c r="GC13" s="313"/>
      <c r="GD13" s="313"/>
      <c r="GE13" s="313"/>
      <c r="GF13" s="313"/>
      <c r="GG13" s="313"/>
      <c r="GH13" s="313"/>
      <c r="GI13" s="313"/>
      <c r="GJ13" s="313"/>
      <c r="GK13" s="313"/>
      <c r="GL13" s="313"/>
      <c r="GM13" s="313"/>
      <c r="GN13" s="313"/>
      <c r="GO13" s="313"/>
      <c r="GP13" s="313"/>
      <c r="GQ13" s="313"/>
      <c r="GR13" s="313"/>
      <c r="GS13" s="313"/>
      <c r="GT13" s="313"/>
      <c r="GU13" s="313"/>
      <c r="GV13" s="313"/>
      <c r="GW13" s="313"/>
      <c r="GX13" s="313"/>
      <c r="GY13" s="313"/>
      <c r="GZ13" s="313"/>
      <c r="HA13" s="313"/>
      <c r="HB13" s="313"/>
      <c r="HC13" s="313"/>
      <c r="HD13" s="313"/>
      <c r="HE13" s="313"/>
      <c r="HF13" s="313"/>
      <c r="HG13" s="313"/>
      <c r="HH13" s="313"/>
      <c r="HI13" s="313"/>
      <c r="HJ13" s="313"/>
      <c r="HK13" s="313"/>
      <c r="HL13" s="313"/>
      <c r="HM13" s="313"/>
      <c r="HN13" s="313"/>
      <c r="HO13" s="313"/>
      <c r="HP13" s="313"/>
      <c r="HQ13" s="313"/>
      <c r="HR13" s="313"/>
      <c r="HS13" s="313"/>
      <c r="HT13" s="313"/>
      <c r="HU13" s="313"/>
      <c r="HV13" s="313"/>
      <c r="HW13" s="313"/>
      <c r="HX13" s="313"/>
      <c r="HY13" s="313"/>
      <c r="HZ13" s="313"/>
      <c r="IA13" s="313"/>
      <c r="IB13" s="313"/>
      <c r="IC13" s="313"/>
      <c r="ID13" s="313"/>
      <c r="IE13" s="313"/>
      <c r="IF13" s="313"/>
      <c r="IG13" s="313"/>
      <c r="IH13" s="313"/>
      <c r="II13" s="313"/>
      <c r="IJ13" s="313"/>
      <c r="IK13" s="313"/>
      <c r="IL13" s="313"/>
      <c r="IM13" s="313"/>
      <c r="IN13" s="313"/>
      <c r="IO13" s="313"/>
      <c r="IP13" s="313"/>
      <c r="IQ13" s="313"/>
      <c r="IR13" s="313"/>
      <c r="IS13" s="313"/>
      <c r="IT13" s="313"/>
      <c r="IU13" s="313"/>
      <c r="IV13" s="313"/>
      <c r="IW13" s="313"/>
      <c r="IX13" s="313"/>
      <c r="IY13" s="313"/>
      <c r="IZ13" s="313"/>
      <c r="JA13" s="313"/>
      <c r="JB13" s="313"/>
      <c r="JC13" s="313"/>
      <c r="JD13" s="313"/>
      <c r="JE13" s="313"/>
      <c r="JF13" s="313"/>
      <c r="JG13" s="313"/>
      <c r="JH13" s="313"/>
      <c r="JI13" s="313"/>
      <c r="JJ13" s="313"/>
      <c r="JK13" s="313"/>
      <c r="JL13" s="313"/>
      <c r="JM13" s="313"/>
      <c r="JN13" s="313"/>
      <c r="JO13" s="313"/>
      <c r="JP13" s="313"/>
      <c r="JQ13" s="313"/>
      <c r="JR13" s="313"/>
      <c r="JS13" s="313"/>
      <c r="JT13" s="313"/>
      <c r="JU13" s="313"/>
      <c r="JV13" s="313"/>
      <c r="JW13" s="313"/>
      <c r="JX13" s="313"/>
      <c r="JY13" s="313"/>
      <c r="JZ13" s="313"/>
      <c r="KA13" s="313"/>
      <c r="KB13" s="313"/>
      <c r="KC13" s="313"/>
      <c r="KD13" s="313"/>
      <c r="KE13" s="313"/>
      <c r="KF13" s="313"/>
      <c r="KG13" s="313"/>
      <c r="KH13" s="313"/>
      <c r="KI13" s="313"/>
      <c r="KJ13" s="313"/>
      <c r="KK13" s="313"/>
      <c r="KL13" s="313"/>
      <c r="KM13" s="313"/>
      <c r="KN13" s="313"/>
      <c r="KO13" s="313"/>
      <c r="KP13" s="313"/>
      <c r="KQ13" s="313"/>
    </row>
    <row r="14" s="303" customFormat="1" spans="1:303">
      <c r="A14" s="307"/>
      <c r="B14" s="310" t="s">
        <v>734</v>
      </c>
      <c r="C14" s="310" t="s">
        <v>356</v>
      </c>
      <c r="D14" s="310" t="s">
        <v>735</v>
      </c>
      <c r="E14" s="309" t="s">
        <v>344</v>
      </c>
      <c r="F14" s="138" t="s">
        <v>57</v>
      </c>
      <c r="G14" s="310" t="s">
        <v>354</v>
      </c>
      <c r="H14" s="310" t="s">
        <v>346</v>
      </c>
      <c r="I14" s="312"/>
      <c r="J14" s="313"/>
      <c r="K14" s="313"/>
      <c r="L14" s="313"/>
      <c r="M14" s="313"/>
      <c r="N14" s="313"/>
      <c r="O14" s="313"/>
      <c r="P14" s="313"/>
      <c r="Q14" s="313"/>
      <c r="R14" s="313"/>
      <c r="S14" s="313"/>
      <c r="T14" s="313"/>
      <c r="U14" s="313"/>
      <c r="V14" s="313"/>
      <c r="W14" s="313"/>
      <c r="X14" s="313"/>
      <c r="Y14" s="313"/>
      <c r="Z14" s="313"/>
      <c r="AA14" s="313"/>
      <c r="AB14" s="313"/>
      <c r="AC14" s="313"/>
      <c r="AD14" s="313"/>
      <c r="AE14" s="313"/>
      <c r="AF14" s="313"/>
      <c r="AG14" s="313"/>
      <c r="AH14" s="313"/>
      <c r="AI14" s="313"/>
      <c r="AJ14" s="313"/>
      <c r="AK14" s="313"/>
      <c r="AL14" s="313"/>
      <c r="AM14" s="313"/>
      <c r="AN14" s="313"/>
      <c r="AO14" s="313"/>
      <c r="AP14" s="313"/>
      <c r="AQ14" s="313"/>
      <c r="AR14" s="313"/>
      <c r="AS14" s="313"/>
      <c r="AT14" s="313"/>
      <c r="AU14" s="313"/>
      <c r="AV14" s="313"/>
      <c r="AW14" s="313"/>
      <c r="AX14" s="313"/>
      <c r="AY14" s="313"/>
      <c r="AZ14" s="313"/>
      <c r="BA14" s="313"/>
      <c r="BB14" s="313"/>
      <c r="BC14" s="313"/>
      <c r="BD14" s="313"/>
      <c r="BE14" s="313"/>
      <c r="BF14" s="313"/>
      <c r="BG14" s="313"/>
      <c r="BH14" s="313"/>
      <c r="BI14" s="313"/>
      <c r="BJ14" s="313"/>
      <c r="BK14" s="313"/>
      <c r="BL14" s="313"/>
      <c r="BM14" s="313"/>
      <c r="BN14" s="313"/>
      <c r="BO14" s="313"/>
      <c r="BP14" s="313"/>
      <c r="BQ14" s="313"/>
      <c r="BR14" s="313"/>
      <c r="BS14" s="313"/>
      <c r="BT14" s="313"/>
      <c r="BU14" s="313"/>
      <c r="BV14" s="313"/>
      <c r="BW14" s="313"/>
      <c r="BX14" s="313"/>
      <c r="BY14" s="313"/>
      <c r="BZ14" s="313"/>
      <c r="CA14" s="313"/>
      <c r="CB14" s="313"/>
      <c r="CC14" s="313"/>
      <c r="CD14" s="313"/>
      <c r="CE14" s="313"/>
      <c r="CF14" s="313"/>
      <c r="CG14" s="313"/>
      <c r="CH14" s="313"/>
      <c r="CI14" s="313"/>
      <c r="CJ14" s="313"/>
      <c r="CK14" s="313"/>
      <c r="CL14" s="313"/>
      <c r="CM14" s="313"/>
      <c r="CN14" s="313"/>
      <c r="CO14" s="313"/>
      <c r="CP14" s="313"/>
      <c r="CQ14" s="313"/>
      <c r="CR14" s="313"/>
      <c r="CS14" s="313"/>
      <c r="CT14" s="313"/>
      <c r="CU14" s="313"/>
      <c r="CV14" s="313"/>
      <c r="CW14" s="313"/>
      <c r="CX14" s="313"/>
      <c r="CY14" s="313"/>
      <c r="CZ14" s="313"/>
      <c r="DA14" s="313"/>
      <c r="DB14" s="313"/>
      <c r="DC14" s="313"/>
      <c r="DD14" s="313"/>
      <c r="DE14" s="313"/>
      <c r="DF14" s="313"/>
      <c r="DG14" s="313"/>
      <c r="DH14" s="313"/>
      <c r="DI14" s="313"/>
      <c r="DJ14" s="313"/>
      <c r="DK14" s="313"/>
      <c r="DL14" s="313"/>
      <c r="DM14" s="313"/>
      <c r="DN14" s="313"/>
      <c r="DO14" s="313"/>
      <c r="DP14" s="313"/>
      <c r="DQ14" s="313"/>
      <c r="DR14" s="313"/>
      <c r="DS14" s="313"/>
      <c r="DT14" s="313"/>
      <c r="DU14" s="313"/>
      <c r="DV14" s="313"/>
      <c r="DW14" s="313"/>
      <c r="DX14" s="313"/>
      <c r="DY14" s="313"/>
      <c r="DZ14" s="313"/>
      <c r="EA14" s="313"/>
      <c r="EB14" s="313"/>
      <c r="EC14" s="313"/>
      <c r="ED14" s="313"/>
      <c r="EE14" s="313"/>
      <c r="EF14" s="313"/>
      <c r="EG14" s="313"/>
      <c r="EH14" s="313"/>
      <c r="EI14" s="313"/>
      <c r="EJ14" s="313"/>
      <c r="EK14" s="313"/>
      <c r="EL14" s="313"/>
      <c r="EM14" s="313"/>
      <c r="EN14" s="313"/>
      <c r="EO14" s="313"/>
      <c r="EP14" s="313"/>
      <c r="EQ14" s="313"/>
      <c r="ER14" s="313"/>
      <c r="ES14" s="313"/>
      <c r="ET14" s="313"/>
      <c r="EU14" s="313"/>
      <c r="EV14" s="313"/>
      <c r="EW14" s="313"/>
      <c r="EX14" s="313"/>
      <c r="EY14" s="313"/>
      <c r="EZ14" s="313"/>
      <c r="FA14" s="313"/>
      <c r="FB14" s="313"/>
      <c r="FC14" s="313"/>
      <c r="FD14" s="313"/>
      <c r="FE14" s="313"/>
      <c r="FF14" s="313"/>
      <c r="FG14" s="313"/>
      <c r="FH14" s="313"/>
      <c r="FI14" s="313"/>
      <c r="FJ14" s="313"/>
      <c r="FK14" s="313"/>
      <c r="FL14" s="313"/>
      <c r="FM14" s="313"/>
      <c r="FN14" s="313"/>
      <c r="FO14" s="313"/>
      <c r="FP14" s="313"/>
      <c r="FQ14" s="313"/>
      <c r="FR14" s="313"/>
      <c r="FS14" s="313"/>
      <c r="FT14" s="313"/>
      <c r="FU14" s="313"/>
      <c r="FV14" s="313"/>
      <c r="FW14" s="313"/>
      <c r="FX14" s="313"/>
      <c r="FY14" s="313"/>
      <c r="FZ14" s="313"/>
      <c r="GA14" s="313"/>
      <c r="GB14" s="313"/>
      <c r="GC14" s="313"/>
      <c r="GD14" s="313"/>
      <c r="GE14" s="313"/>
      <c r="GF14" s="313"/>
      <c r="GG14" s="313"/>
      <c r="GH14" s="313"/>
      <c r="GI14" s="313"/>
      <c r="GJ14" s="313"/>
      <c r="GK14" s="313"/>
      <c r="GL14" s="313"/>
      <c r="GM14" s="313"/>
      <c r="GN14" s="313"/>
      <c r="GO14" s="313"/>
      <c r="GP14" s="313"/>
      <c r="GQ14" s="313"/>
      <c r="GR14" s="313"/>
      <c r="GS14" s="313"/>
      <c r="GT14" s="313"/>
      <c r="GU14" s="313"/>
      <c r="GV14" s="313"/>
      <c r="GW14" s="313"/>
      <c r="GX14" s="313"/>
      <c r="GY14" s="313"/>
      <c r="GZ14" s="313"/>
      <c r="HA14" s="313"/>
      <c r="HB14" s="313"/>
      <c r="HC14" s="313"/>
      <c r="HD14" s="313"/>
      <c r="HE14" s="313"/>
      <c r="HF14" s="313"/>
      <c r="HG14" s="313"/>
      <c r="HH14" s="313"/>
      <c r="HI14" s="313"/>
      <c r="HJ14" s="313"/>
      <c r="HK14" s="313"/>
      <c r="HL14" s="313"/>
      <c r="HM14" s="313"/>
      <c r="HN14" s="313"/>
      <c r="HO14" s="313"/>
      <c r="HP14" s="313"/>
      <c r="HQ14" s="313"/>
      <c r="HR14" s="313"/>
      <c r="HS14" s="313"/>
      <c r="HT14" s="313"/>
      <c r="HU14" s="313"/>
      <c r="HV14" s="313"/>
      <c r="HW14" s="313"/>
      <c r="HX14" s="313"/>
      <c r="HY14" s="313"/>
      <c r="HZ14" s="313"/>
      <c r="IA14" s="313"/>
      <c r="IB14" s="313"/>
      <c r="IC14" s="313"/>
      <c r="ID14" s="313"/>
      <c r="IE14" s="313"/>
      <c r="IF14" s="313"/>
      <c r="IG14" s="313"/>
      <c r="IH14" s="313"/>
      <c r="II14" s="313"/>
      <c r="IJ14" s="313"/>
      <c r="IK14" s="313"/>
      <c r="IL14" s="313"/>
      <c r="IM14" s="313"/>
      <c r="IN14" s="313"/>
      <c r="IO14" s="313"/>
      <c r="IP14" s="313"/>
      <c r="IQ14" s="313"/>
      <c r="IR14" s="313"/>
      <c r="IS14" s="313"/>
      <c r="IT14" s="313"/>
      <c r="IU14" s="313"/>
      <c r="IV14" s="313"/>
      <c r="IW14" s="313"/>
      <c r="IX14" s="313"/>
      <c r="IY14" s="313"/>
      <c r="IZ14" s="313"/>
      <c r="JA14" s="313"/>
      <c r="JB14" s="313"/>
      <c r="JC14" s="313"/>
      <c r="JD14" s="313"/>
      <c r="JE14" s="313"/>
      <c r="JF14" s="313"/>
      <c r="JG14" s="313"/>
      <c r="JH14" s="313"/>
      <c r="JI14" s="313"/>
      <c r="JJ14" s="313"/>
      <c r="JK14" s="313"/>
      <c r="JL14" s="313"/>
      <c r="JM14" s="313"/>
      <c r="JN14" s="313"/>
      <c r="JO14" s="313"/>
      <c r="JP14" s="313"/>
      <c r="JQ14" s="313"/>
      <c r="JR14" s="313"/>
      <c r="JS14" s="313"/>
      <c r="JT14" s="313"/>
      <c r="JU14" s="313"/>
      <c r="JV14" s="313"/>
      <c r="JW14" s="313"/>
      <c r="JX14" s="313"/>
      <c r="JY14" s="313"/>
      <c r="JZ14" s="313"/>
      <c r="KA14" s="313"/>
      <c r="KB14" s="313"/>
      <c r="KC14" s="313"/>
      <c r="KD14" s="313"/>
      <c r="KE14" s="313"/>
      <c r="KF14" s="313"/>
      <c r="KG14" s="313"/>
      <c r="KH14" s="313"/>
      <c r="KI14" s="313"/>
      <c r="KJ14" s="313"/>
      <c r="KK14" s="313"/>
      <c r="KL14" s="313"/>
      <c r="KM14" s="313"/>
      <c r="KN14" s="313"/>
      <c r="KO14" s="313"/>
      <c r="KP14" s="313"/>
      <c r="KQ14" s="313"/>
    </row>
    <row r="15" s="303" customFormat="1" spans="1:303">
      <c r="A15" s="307"/>
      <c r="B15" s="310" t="s">
        <v>736</v>
      </c>
      <c r="C15" s="310" t="s">
        <v>737</v>
      </c>
      <c r="D15" s="310" t="s">
        <v>738</v>
      </c>
      <c r="E15" s="309" t="s">
        <v>344</v>
      </c>
      <c r="F15" s="138" t="s">
        <v>57</v>
      </c>
      <c r="G15" s="310" t="s">
        <v>354</v>
      </c>
      <c r="H15" s="310" t="s">
        <v>346</v>
      </c>
      <c r="I15" s="312"/>
      <c r="J15" s="313"/>
      <c r="K15" s="313"/>
      <c r="L15" s="313"/>
      <c r="M15" s="313"/>
      <c r="N15" s="313"/>
      <c r="O15" s="313"/>
      <c r="P15" s="313"/>
      <c r="Q15" s="313"/>
      <c r="R15" s="313"/>
      <c r="S15" s="313"/>
      <c r="T15" s="313"/>
      <c r="U15" s="313"/>
      <c r="V15" s="313"/>
      <c r="W15" s="313"/>
      <c r="X15" s="313"/>
      <c r="Y15" s="313"/>
      <c r="Z15" s="313"/>
      <c r="AA15" s="313"/>
      <c r="AB15" s="313"/>
      <c r="AC15" s="313"/>
      <c r="AD15" s="313"/>
      <c r="AE15" s="313"/>
      <c r="AF15" s="313"/>
      <c r="AG15" s="313"/>
      <c r="AH15" s="313"/>
      <c r="AI15" s="313"/>
      <c r="AJ15" s="313"/>
      <c r="AK15" s="313"/>
      <c r="AL15" s="313"/>
      <c r="AM15" s="313"/>
      <c r="AN15" s="313"/>
      <c r="AO15" s="313"/>
      <c r="AP15" s="313"/>
      <c r="AQ15" s="313"/>
      <c r="AR15" s="313"/>
      <c r="AS15" s="313"/>
      <c r="AT15" s="313"/>
      <c r="AU15" s="313"/>
      <c r="AV15" s="313"/>
      <c r="AW15" s="313"/>
      <c r="AX15" s="313"/>
      <c r="AY15" s="313"/>
      <c r="AZ15" s="313"/>
      <c r="BA15" s="313"/>
      <c r="BB15" s="313"/>
      <c r="BC15" s="313"/>
      <c r="BD15" s="313"/>
      <c r="BE15" s="313"/>
      <c r="BF15" s="313"/>
      <c r="BG15" s="313"/>
      <c r="BH15" s="313"/>
      <c r="BI15" s="313"/>
      <c r="BJ15" s="313"/>
      <c r="BK15" s="313"/>
      <c r="BL15" s="313"/>
      <c r="BM15" s="313"/>
      <c r="BN15" s="313"/>
      <c r="BO15" s="313"/>
      <c r="BP15" s="313"/>
      <c r="BQ15" s="313"/>
      <c r="BR15" s="313"/>
      <c r="BS15" s="313"/>
      <c r="BT15" s="313"/>
      <c r="BU15" s="313"/>
      <c r="BV15" s="313"/>
      <c r="BW15" s="313"/>
      <c r="BX15" s="313"/>
      <c r="BY15" s="313"/>
      <c r="BZ15" s="313"/>
      <c r="CA15" s="313"/>
      <c r="CB15" s="313"/>
      <c r="CC15" s="313"/>
      <c r="CD15" s="313"/>
      <c r="CE15" s="313"/>
      <c r="CF15" s="313"/>
      <c r="CG15" s="313"/>
      <c r="CH15" s="313"/>
      <c r="CI15" s="313"/>
      <c r="CJ15" s="313"/>
      <c r="CK15" s="313"/>
      <c r="CL15" s="313"/>
      <c r="CM15" s="313"/>
      <c r="CN15" s="313"/>
      <c r="CO15" s="313"/>
      <c r="CP15" s="313"/>
      <c r="CQ15" s="313"/>
      <c r="CR15" s="313"/>
      <c r="CS15" s="313"/>
      <c r="CT15" s="313"/>
      <c r="CU15" s="313"/>
      <c r="CV15" s="313"/>
      <c r="CW15" s="313"/>
      <c r="CX15" s="313"/>
      <c r="CY15" s="313"/>
      <c r="CZ15" s="313"/>
      <c r="DA15" s="313"/>
      <c r="DB15" s="313"/>
      <c r="DC15" s="313"/>
      <c r="DD15" s="313"/>
      <c r="DE15" s="313"/>
      <c r="DF15" s="313"/>
      <c r="DG15" s="313"/>
      <c r="DH15" s="313"/>
      <c r="DI15" s="313"/>
      <c r="DJ15" s="313"/>
      <c r="DK15" s="313"/>
      <c r="DL15" s="313"/>
      <c r="DM15" s="313"/>
      <c r="DN15" s="313"/>
      <c r="DO15" s="313"/>
      <c r="DP15" s="313"/>
      <c r="DQ15" s="313"/>
      <c r="DR15" s="313"/>
      <c r="DS15" s="313"/>
      <c r="DT15" s="313"/>
      <c r="DU15" s="313"/>
      <c r="DV15" s="313"/>
      <c r="DW15" s="313"/>
      <c r="DX15" s="313"/>
      <c r="DY15" s="313"/>
      <c r="DZ15" s="313"/>
      <c r="EA15" s="313"/>
      <c r="EB15" s="313"/>
      <c r="EC15" s="313"/>
      <c r="ED15" s="313"/>
      <c r="EE15" s="313"/>
      <c r="EF15" s="313"/>
      <c r="EG15" s="313"/>
      <c r="EH15" s="313"/>
      <c r="EI15" s="313"/>
      <c r="EJ15" s="313"/>
      <c r="EK15" s="313"/>
      <c r="EL15" s="313"/>
      <c r="EM15" s="313"/>
      <c r="EN15" s="313"/>
      <c r="EO15" s="313"/>
      <c r="EP15" s="313"/>
      <c r="EQ15" s="313"/>
      <c r="ER15" s="313"/>
      <c r="ES15" s="313"/>
      <c r="ET15" s="313"/>
      <c r="EU15" s="313"/>
      <c r="EV15" s="313"/>
      <c r="EW15" s="313"/>
      <c r="EX15" s="313"/>
      <c r="EY15" s="313"/>
      <c r="EZ15" s="313"/>
      <c r="FA15" s="313"/>
      <c r="FB15" s="313"/>
      <c r="FC15" s="313"/>
      <c r="FD15" s="313"/>
      <c r="FE15" s="313"/>
      <c r="FF15" s="313"/>
      <c r="FG15" s="313"/>
      <c r="FH15" s="313"/>
      <c r="FI15" s="313"/>
      <c r="FJ15" s="313"/>
      <c r="FK15" s="313"/>
      <c r="FL15" s="313"/>
      <c r="FM15" s="313"/>
      <c r="FN15" s="313"/>
      <c r="FO15" s="313"/>
      <c r="FP15" s="313"/>
      <c r="FQ15" s="313"/>
      <c r="FR15" s="313"/>
      <c r="FS15" s="313"/>
      <c r="FT15" s="313"/>
      <c r="FU15" s="313"/>
      <c r="FV15" s="313"/>
      <c r="FW15" s="313"/>
      <c r="FX15" s="313"/>
      <c r="FY15" s="313"/>
      <c r="FZ15" s="313"/>
      <c r="GA15" s="313"/>
      <c r="GB15" s="313"/>
      <c r="GC15" s="313"/>
      <c r="GD15" s="313"/>
      <c r="GE15" s="313"/>
      <c r="GF15" s="313"/>
      <c r="GG15" s="313"/>
      <c r="GH15" s="313"/>
      <c r="GI15" s="313"/>
      <c r="GJ15" s="313"/>
      <c r="GK15" s="313"/>
      <c r="GL15" s="313"/>
      <c r="GM15" s="313"/>
      <c r="GN15" s="313"/>
      <c r="GO15" s="313"/>
      <c r="GP15" s="313"/>
      <c r="GQ15" s="313"/>
      <c r="GR15" s="313"/>
      <c r="GS15" s="313"/>
      <c r="GT15" s="313"/>
      <c r="GU15" s="313"/>
      <c r="GV15" s="313"/>
      <c r="GW15" s="313"/>
      <c r="GX15" s="313"/>
      <c r="GY15" s="313"/>
      <c r="GZ15" s="313"/>
      <c r="HA15" s="313"/>
      <c r="HB15" s="313"/>
      <c r="HC15" s="313"/>
      <c r="HD15" s="313"/>
      <c r="HE15" s="313"/>
      <c r="HF15" s="313"/>
      <c r="HG15" s="313"/>
      <c r="HH15" s="313"/>
      <c r="HI15" s="313"/>
      <c r="HJ15" s="313"/>
      <c r="HK15" s="313"/>
      <c r="HL15" s="313"/>
      <c r="HM15" s="313"/>
      <c r="HN15" s="313"/>
      <c r="HO15" s="313"/>
      <c r="HP15" s="313"/>
      <c r="HQ15" s="313"/>
      <c r="HR15" s="313"/>
      <c r="HS15" s="313"/>
      <c r="HT15" s="313"/>
      <c r="HU15" s="313"/>
      <c r="HV15" s="313"/>
      <c r="HW15" s="313"/>
      <c r="HX15" s="313"/>
      <c r="HY15" s="313"/>
      <c r="HZ15" s="313"/>
      <c r="IA15" s="313"/>
      <c r="IB15" s="313"/>
      <c r="IC15" s="313"/>
      <c r="ID15" s="313"/>
      <c r="IE15" s="313"/>
      <c r="IF15" s="313"/>
      <c r="IG15" s="313"/>
      <c r="IH15" s="313"/>
      <c r="II15" s="313"/>
      <c r="IJ15" s="313"/>
      <c r="IK15" s="313"/>
      <c r="IL15" s="313"/>
      <c r="IM15" s="313"/>
      <c r="IN15" s="313"/>
      <c r="IO15" s="313"/>
      <c r="IP15" s="313"/>
      <c r="IQ15" s="313"/>
      <c r="IR15" s="313"/>
      <c r="IS15" s="313"/>
      <c r="IT15" s="313"/>
      <c r="IU15" s="313"/>
      <c r="IV15" s="313"/>
      <c r="IW15" s="313"/>
      <c r="IX15" s="313"/>
      <c r="IY15" s="313"/>
      <c r="IZ15" s="313"/>
      <c r="JA15" s="313"/>
      <c r="JB15" s="313"/>
      <c r="JC15" s="313"/>
      <c r="JD15" s="313"/>
      <c r="JE15" s="313"/>
      <c r="JF15" s="313"/>
      <c r="JG15" s="313"/>
      <c r="JH15" s="313"/>
      <c r="JI15" s="313"/>
      <c r="JJ15" s="313"/>
      <c r="JK15" s="313"/>
      <c r="JL15" s="313"/>
      <c r="JM15" s="313"/>
      <c r="JN15" s="313"/>
      <c r="JO15" s="313"/>
      <c r="JP15" s="313"/>
      <c r="JQ15" s="313"/>
      <c r="JR15" s="313"/>
      <c r="JS15" s="313"/>
      <c r="JT15" s="313"/>
      <c r="JU15" s="313"/>
      <c r="JV15" s="313"/>
      <c r="JW15" s="313"/>
      <c r="JX15" s="313"/>
      <c r="JY15" s="313"/>
      <c r="JZ15" s="313"/>
      <c r="KA15" s="313"/>
      <c r="KB15" s="313"/>
      <c r="KC15" s="313"/>
      <c r="KD15" s="313"/>
      <c r="KE15" s="313"/>
      <c r="KF15" s="313"/>
      <c r="KG15" s="313"/>
      <c r="KH15" s="313"/>
      <c r="KI15" s="313"/>
      <c r="KJ15" s="313"/>
      <c r="KK15" s="313"/>
      <c r="KL15" s="313"/>
      <c r="KM15" s="313"/>
      <c r="KN15" s="313"/>
      <c r="KO15" s="313"/>
      <c r="KP15" s="313"/>
      <c r="KQ15" s="313"/>
    </row>
    <row r="16" s="303" customFormat="1" ht="33.75" spans="1:303">
      <c r="A16" s="307"/>
      <c r="B16" s="310" t="s">
        <v>739</v>
      </c>
      <c r="C16" s="310" t="s">
        <v>740</v>
      </c>
      <c r="D16" s="310" t="s">
        <v>741</v>
      </c>
      <c r="E16" s="309" t="s">
        <v>344</v>
      </c>
      <c r="F16" s="138" t="s">
        <v>57</v>
      </c>
      <c r="G16" s="310" t="s">
        <v>397</v>
      </c>
      <c r="H16" s="310" t="s">
        <v>398</v>
      </c>
      <c r="I16" s="312"/>
      <c r="J16" s="313"/>
      <c r="K16" s="313"/>
      <c r="L16" s="313"/>
      <c r="M16" s="313"/>
      <c r="N16" s="313"/>
      <c r="O16" s="313"/>
      <c r="P16" s="313"/>
      <c r="Q16" s="313"/>
      <c r="R16" s="313"/>
      <c r="S16" s="313"/>
      <c r="T16" s="313"/>
      <c r="U16" s="313"/>
      <c r="V16" s="313"/>
      <c r="W16" s="313"/>
      <c r="X16" s="313"/>
      <c r="Y16" s="313"/>
      <c r="Z16" s="313"/>
      <c r="AA16" s="313"/>
      <c r="AB16" s="313"/>
      <c r="AC16" s="313"/>
      <c r="AD16" s="313"/>
      <c r="AE16" s="313"/>
      <c r="AF16" s="313"/>
      <c r="AG16" s="313"/>
      <c r="AH16" s="313"/>
      <c r="AI16" s="313"/>
      <c r="AJ16" s="313"/>
      <c r="AK16" s="313"/>
      <c r="AL16" s="313"/>
      <c r="AM16" s="313"/>
      <c r="AN16" s="313"/>
      <c r="AO16" s="313"/>
      <c r="AP16" s="313"/>
      <c r="AQ16" s="313"/>
      <c r="AR16" s="313"/>
      <c r="AS16" s="313"/>
      <c r="AT16" s="313"/>
      <c r="AU16" s="313"/>
      <c r="AV16" s="313"/>
      <c r="AW16" s="313"/>
      <c r="AX16" s="313"/>
      <c r="AY16" s="313"/>
      <c r="AZ16" s="313"/>
      <c r="BA16" s="313"/>
      <c r="BB16" s="313"/>
      <c r="BC16" s="313"/>
      <c r="BD16" s="313"/>
      <c r="BE16" s="313"/>
      <c r="BF16" s="313"/>
      <c r="BG16" s="313"/>
      <c r="BH16" s="313"/>
      <c r="BI16" s="313"/>
      <c r="BJ16" s="313"/>
      <c r="BK16" s="313"/>
      <c r="BL16" s="313"/>
      <c r="BM16" s="313"/>
      <c r="BN16" s="313"/>
      <c r="BO16" s="313"/>
      <c r="BP16" s="313"/>
      <c r="BQ16" s="313"/>
      <c r="BR16" s="313"/>
      <c r="BS16" s="313"/>
      <c r="BT16" s="313"/>
      <c r="BU16" s="313"/>
      <c r="BV16" s="313"/>
      <c r="BW16" s="313"/>
      <c r="BX16" s="313"/>
      <c r="BY16" s="313"/>
      <c r="BZ16" s="313"/>
      <c r="CA16" s="313"/>
      <c r="CB16" s="313"/>
      <c r="CC16" s="313"/>
      <c r="CD16" s="313"/>
      <c r="CE16" s="313"/>
      <c r="CF16" s="313"/>
      <c r="CG16" s="313"/>
      <c r="CH16" s="313"/>
      <c r="CI16" s="313"/>
      <c r="CJ16" s="313"/>
      <c r="CK16" s="313"/>
      <c r="CL16" s="313"/>
      <c r="CM16" s="313"/>
      <c r="CN16" s="313"/>
      <c r="CO16" s="313"/>
      <c r="CP16" s="313"/>
      <c r="CQ16" s="313"/>
      <c r="CR16" s="313"/>
      <c r="CS16" s="313"/>
      <c r="CT16" s="313"/>
      <c r="CU16" s="313"/>
      <c r="CV16" s="313"/>
      <c r="CW16" s="313"/>
      <c r="CX16" s="313"/>
      <c r="CY16" s="313"/>
      <c r="CZ16" s="313"/>
      <c r="DA16" s="313"/>
      <c r="DB16" s="313"/>
      <c r="DC16" s="313"/>
      <c r="DD16" s="313"/>
      <c r="DE16" s="313"/>
      <c r="DF16" s="313"/>
      <c r="DG16" s="313"/>
      <c r="DH16" s="313"/>
      <c r="DI16" s="313"/>
      <c r="DJ16" s="313"/>
      <c r="DK16" s="313"/>
      <c r="DL16" s="313"/>
      <c r="DM16" s="313"/>
      <c r="DN16" s="313"/>
      <c r="DO16" s="313"/>
      <c r="DP16" s="313"/>
      <c r="DQ16" s="313"/>
      <c r="DR16" s="313"/>
      <c r="DS16" s="313"/>
      <c r="DT16" s="313"/>
      <c r="DU16" s="313"/>
      <c r="DV16" s="313"/>
      <c r="DW16" s="313"/>
      <c r="DX16" s="313"/>
      <c r="DY16" s="313"/>
      <c r="DZ16" s="313"/>
      <c r="EA16" s="313"/>
      <c r="EB16" s="313"/>
      <c r="EC16" s="313"/>
      <c r="ED16" s="313"/>
      <c r="EE16" s="313"/>
      <c r="EF16" s="313"/>
      <c r="EG16" s="313"/>
      <c r="EH16" s="313"/>
      <c r="EI16" s="313"/>
      <c r="EJ16" s="313"/>
      <c r="EK16" s="313"/>
      <c r="EL16" s="313"/>
      <c r="EM16" s="313"/>
      <c r="EN16" s="313"/>
      <c r="EO16" s="313"/>
      <c r="EP16" s="313"/>
      <c r="EQ16" s="313"/>
      <c r="ER16" s="313"/>
      <c r="ES16" s="313"/>
      <c r="ET16" s="313"/>
      <c r="EU16" s="313"/>
      <c r="EV16" s="313"/>
      <c r="EW16" s="313"/>
      <c r="EX16" s="313"/>
      <c r="EY16" s="313"/>
      <c r="EZ16" s="313"/>
      <c r="FA16" s="313"/>
      <c r="FB16" s="313"/>
      <c r="FC16" s="313"/>
      <c r="FD16" s="313"/>
      <c r="FE16" s="313"/>
      <c r="FF16" s="313"/>
      <c r="FG16" s="313"/>
      <c r="FH16" s="313"/>
      <c r="FI16" s="313"/>
      <c r="FJ16" s="313"/>
      <c r="FK16" s="313"/>
      <c r="FL16" s="313"/>
      <c r="FM16" s="313"/>
      <c r="FN16" s="313"/>
      <c r="FO16" s="313"/>
      <c r="FP16" s="313"/>
      <c r="FQ16" s="313"/>
      <c r="FR16" s="313"/>
      <c r="FS16" s="313"/>
      <c r="FT16" s="313"/>
      <c r="FU16" s="313"/>
      <c r="FV16" s="313"/>
      <c r="FW16" s="313"/>
      <c r="FX16" s="313"/>
      <c r="FY16" s="313"/>
      <c r="FZ16" s="313"/>
      <c r="GA16" s="313"/>
      <c r="GB16" s="313"/>
      <c r="GC16" s="313"/>
      <c r="GD16" s="313"/>
      <c r="GE16" s="313"/>
      <c r="GF16" s="313"/>
      <c r="GG16" s="313"/>
      <c r="GH16" s="313"/>
      <c r="GI16" s="313"/>
      <c r="GJ16" s="313"/>
      <c r="GK16" s="313"/>
      <c r="GL16" s="313"/>
      <c r="GM16" s="313"/>
      <c r="GN16" s="313"/>
      <c r="GO16" s="313"/>
      <c r="GP16" s="313"/>
      <c r="GQ16" s="313"/>
      <c r="GR16" s="313"/>
      <c r="GS16" s="313"/>
      <c r="GT16" s="313"/>
      <c r="GU16" s="313"/>
      <c r="GV16" s="313"/>
      <c r="GW16" s="313"/>
      <c r="GX16" s="313"/>
      <c r="GY16" s="313"/>
      <c r="GZ16" s="313"/>
      <c r="HA16" s="313"/>
      <c r="HB16" s="313"/>
      <c r="HC16" s="313"/>
      <c r="HD16" s="313"/>
      <c r="HE16" s="313"/>
      <c r="HF16" s="313"/>
      <c r="HG16" s="313"/>
      <c r="HH16" s="313"/>
      <c r="HI16" s="313"/>
      <c r="HJ16" s="313"/>
      <c r="HK16" s="313"/>
      <c r="HL16" s="313"/>
      <c r="HM16" s="313"/>
      <c r="HN16" s="313"/>
      <c r="HO16" s="313"/>
      <c r="HP16" s="313"/>
      <c r="HQ16" s="313"/>
      <c r="HR16" s="313"/>
      <c r="HS16" s="313"/>
      <c r="HT16" s="313"/>
      <c r="HU16" s="313"/>
      <c r="HV16" s="313"/>
      <c r="HW16" s="313"/>
      <c r="HX16" s="313"/>
      <c r="HY16" s="313"/>
      <c r="HZ16" s="313"/>
      <c r="IA16" s="313"/>
      <c r="IB16" s="313"/>
      <c r="IC16" s="313"/>
      <c r="ID16" s="313"/>
      <c r="IE16" s="313"/>
      <c r="IF16" s="313"/>
      <c r="IG16" s="313"/>
      <c r="IH16" s="313"/>
      <c r="II16" s="313"/>
      <c r="IJ16" s="313"/>
      <c r="IK16" s="313"/>
      <c r="IL16" s="313"/>
      <c r="IM16" s="313"/>
      <c r="IN16" s="313"/>
      <c r="IO16" s="313"/>
      <c r="IP16" s="313"/>
      <c r="IQ16" s="313"/>
      <c r="IR16" s="313"/>
      <c r="IS16" s="313"/>
      <c r="IT16" s="313"/>
      <c r="IU16" s="313"/>
      <c r="IV16" s="313"/>
      <c r="IW16" s="313"/>
      <c r="IX16" s="313"/>
      <c r="IY16" s="313"/>
      <c r="IZ16" s="313"/>
      <c r="JA16" s="313"/>
      <c r="JB16" s="313"/>
      <c r="JC16" s="313"/>
      <c r="JD16" s="313"/>
      <c r="JE16" s="313"/>
      <c r="JF16" s="313"/>
      <c r="JG16" s="313"/>
      <c r="JH16" s="313"/>
      <c r="JI16" s="313"/>
      <c r="JJ16" s="313"/>
      <c r="JK16" s="313"/>
      <c r="JL16" s="313"/>
      <c r="JM16" s="313"/>
      <c r="JN16" s="313"/>
      <c r="JO16" s="313"/>
      <c r="JP16" s="313"/>
      <c r="JQ16" s="313"/>
      <c r="JR16" s="313"/>
      <c r="JS16" s="313"/>
      <c r="JT16" s="313"/>
      <c r="JU16" s="313"/>
      <c r="JV16" s="313"/>
      <c r="JW16" s="313"/>
      <c r="JX16" s="313"/>
      <c r="JY16" s="313"/>
      <c r="JZ16" s="313"/>
      <c r="KA16" s="313"/>
      <c r="KB16" s="313"/>
      <c r="KC16" s="313"/>
      <c r="KD16" s="313"/>
      <c r="KE16" s="313"/>
      <c r="KF16" s="313"/>
      <c r="KG16" s="313"/>
      <c r="KH16" s="313"/>
      <c r="KI16" s="313"/>
      <c r="KJ16" s="313"/>
      <c r="KK16" s="313"/>
      <c r="KL16" s="313"/>
      <c r="KM16" s="313"/>
      <c r="KN16" s="313"/>
      <c r="KO16" s="313"/>
      <c r="KP16" s="313"/>
      <c r="KQ16" s="313"/>
    </row>
    <row r="17" s="303" customFormat="1" ht="33.75" spans="1:303">
      <c r="A17" s="307"/>
      <c r="B17" s="310" t="s">
        <v>742</v>
      </c>
      <c r="C17" s="310" t="s">
        <v>743</v>
      </c>
      <c r="D17" s="310" t="s">
        <v>744</v>
      </c>
      <c r="E17" s="309" t="s">
        <v>344</v>
      </c>
      <c r="F17" s="138" t="s">
        <v>57</v>
      </c>
      <c r="G17" s="310" t="s">
        <v>397</v>
      </c>
      <c r="H17" s="310" t="s">
        <v>398</v>
      </c>
      <c r="I17" s="312"/>
      <c r="J17" s="313"/>
      <c r="K17" s="313"/>
      <c r="L17" s="313"/>
      <c r="M17" s="313"/>
      <c r="N17" s="313"/>
      <c r="O17" s="313"/>
      <c r="P17" s="313"/>
      <c r="Q17" s="313"/>
      <c r="R17" s="313"/>
      <c r="S17" s="313"/>
      <c r="T17" s="313"/>
      <c r="U17" s="313"/>
      <c r="V17" s="313"/>
      <c r="W17" s="313"/>
      <c r="X17" s="313"/>
      <c r="Y17" s="313"/>
      <c r="Z17" s="313"/>
      <c r="AA17" s="313"/>
      <c r="AB17" s="313"/>
      <c r="AC17" s="313"/>
      <c r="AD17" s="313"/>
      <c r="AE17" s="313"/>
      <c r="AF17" s="313"/>
      <c r="AG17" s="313"/>
      <c r="AH17" s="313"/>
      <c r="AI17" s="313"/>
      <c r="AJ17" s="313"/>
      <c r="AK17" s="313"/>
      <c r="AL17" s="313"/>
      <c r="AM17" s="313"/>
      <c r="AN17" s="313"/>
      <c r="AO17" s="313"/>
      <c r="AP17" s="313"/>
      <c r="AQ17" s="313"/>
      <c r="AR17" s="313"/>
      <c r="AS17" s="313"/>
      <c r="AT17" s="313"/>
      <c r="AU17" s="313"/>
      <c r="AV17" s="313"/>
      <c r="AW17" s="313"/>
      <c r="AX17" s="313"/>
      <c r="AY17" s="313"/>
      <c r="AZ17" s="313"/>
      <c r="BA17" s="313"/>
      <c r="BB17" s="313"/>
      <c r="BC17" s="313"/>
      <c r="BD17" s="313"/>
      <c r="BE17" s="313"/>
      <c r="BF17" s="313"/>
      <c r="BG17" s="313"/>
      <c r="BH17" s="313"/>
      <c r="BI17" s="313"/>
      <c r="BJ17" s="313"/>
      <c r="BK17" s="313"/>
      <c r="BL17" s="313"/>
      <c r="BM17" s="313"/>
      <c r="BN17" s="313"/>
      <c r="BO17" s="313"/>
      <c r="BP17" s="313"/>
      <c r="BQ17" s="313"/>
      <c r="BR17" s="313"/>
      <c r="BS17" s="313"/>
      <c r="BT17" s="313"/>
      <c r="BU17" s="313"/>
      <c r="BV17" s="313"/>
      <c r="BW17" s="313"/>
      <c r="BX17" s="313"/>
      <c r="BY17" s="313"/>
      <c r="BZ17" s="313"/>
      <c r="CA17" s="313"/>
      <c r="CB17" s="313"/>
      <c r="CC17" s="313"/>
      <c r="CD17" s="313"/>
      <c r="CE17" s="313"/>
      <c r="CF17" s="313"/>
      <c r="CG17" s="313"/>
      <c r="CH17" s="313"/>
      <c r="CI17" s="313"/>
      <c r="CJ17" s="313"/>
      <c r="CK17" s="313"/>
      <c r="CL17" s="313"/>
      <c r="CM17" s="313"/>
      <c r="CN17" s="313"/>
      <c r="CO17" s="313"/>
      <c r="CP17" s="313"/>
      <c r="CQ17" s="313"/>
      <c r="CR17" s="313"/>
      <c r="CS17" s="313"/>
      <c r="CT17" s="313"/>
      <c r="CU17" s="313"/>
      <c r="CV17" s="313"/>
      <c r="CW17" s="313"/>
      <c r="CX17" s="313"/>
      <c r="CY17" s="313"/>
      <c r="CZ17" s="313"/>
      <c r="DA17" s="313"/>
      <c r="DB17" s="313"/>
      <c r="DC17" s="313"/>
      <c r="DD17" s="313"/>
      <c r="DE17" s="313"/>
      <c r="DF17" s="313"/>
      <c r="DG17" s="313"/>
      <c r="DH17" s="313"/>
      <c r="DI17" s="313"/>
      <c r="DJ17" s="313"/>
      <c r="DK17" s="313"/>
      <c r="DL17" s="313"/>
      <c r="DM17" s="313"/>
      <c r="DN17" s="313"/>
      <c r="DO17" s="313"/>
      <c r="DP17" s="313"/>
      <c r="DQ17" s="313"/>
      <c r="DR17" s="313"/>
      <c r="DS17" s="313"/>
      <c r="DT17" s="313"/>
      <c r="DU17" s="313"/>
      <c r="DV17" s="313"/>
      <c r="DW17" s="313"/>
      <c r="DX17" s="313"/>
      <c r="DY17" s="313"/>
      <c r="DZ17" s="313"/>
      <c r="EA17" s="313"/>
      <c r="EB17" s="313"/>
      <c r="EC17" s="313"/>
      <c r="ED17" s="313"/>
      <c r="EE17" s="313"/>
      <c r="EF17" s="313"/>
      <c r="EG17" s="313"/>
      <c r="EH17" s="313"/>
      <c r="EI17" s="313"/>
      <c r="EJ17" s="313"/>
      <c r="EK17" s="313"/>
      <c r="EL17" s="313"/>
      <c r="EM17" s="313"/>
      <c r="EN17" s="313"/>
      <c r="EO17" s="313"/>
      <c r="EP17" s="313"/>
      <c r="EQ17" s="313"/>
      <c r="ER17" s="313"/>
      <c r="ES17" s="313"/>
      <c r="ET17" s="313"/>
      <c r="EU17" s="313"/>
      <c r="EV17" s="313"/>
      <c r="EW17" s="313"/>
      <c r="EX17" s="313"/>
      <c r="EY17" s="313"/>
      <c r="EZ17" s="313"/>
      <c r="FA17" s="313"/>
      <c r="FB17" s="313"/>
      <c r="FC17" s="313"/>
      <c r="FD17" s="313"/>
      <c r="FE17" s="313"/>
      <c r="FF17" s="313"/>
      <c r="FG17" s="313"/>
      <c r="FH17" s="313"/>
      <c r="FI17" s="313"/>
      <c r="FJ17" s="313"/>
      <c r="FK17" s="313"/>
      <c r="FL17" s="313"/>
      <c r="FM17" s="313"/>
      <c r="FN17" s="313"/>
      <c r="FO17" s="313"/>
      <c r="FP17" s="313"/>
      <c r="FQ17" s="313"/>
      <c r="FR17" s="313"/>
      <c r="FS17" s="313"/>
      <c r="FT17" s="313"/>
      <c r="FU17" s="313"/>
      <c r="FV17" s="313"/>
      <c r="FW17" s="313"/>
      <c r="FX17" s="313"/>
      <c r="FY17" s="313"/>
      <c r="FZ17" s="313"/>
      <c r="GA17" s="313"/>
      <c r="GB17" s="313"/>
      <c r="GC17" s="313"/>
      <c r="GD17" s="313"/>
      <c r="GE17" s="313"/>
      <c r="GF17" s="313"/>
      <c r="GG17" s="313"/>
      <c r="GH17" s="313"/>
      <c r="GI17" s="313"/>
      <c r="GJ17" s="313"/>
      <c r="GK17" s="313"/>
      <c r="GL17" s="313"/>
      <c r="GM17" s="313"/>
      <c r="GN17" s="313"/>
      <c r="GO17" s="313"/>
      <c r="GP17" s="313"/>
      <c r="GQ17" s="313"/>
      <c r="GR17" s="313"/>
      <c r="GS17" s="313"/>
      <c r="GT17" s="313"/>
      <c r="GU17" s="313"/>
      <c r="GV17" s="313"/>
      <c r="GW17" s="313"/>
      <c r="GX17" s="313"/>
      <c r="GY17" s="313"/>
      <c r="GZ17" s="313"/>
      <c r="HA17" s="313"/>
      <c r="HB17" s="313"/>
      <c r="HC17" s="313"/>
      <c r="HD17" s="313"/>
      <c r="HE17" s="313"/>
      <c r="HF17" s="313"/>
      <c r="HG17" s="313"/>
      <c r="HH17" s="313"/>
      <c r="HI17" s="313"/>
      <c r="HJ17" s="313"/>
      <c r="HK17" s="313"/>
      <c r="HL17" s="313"/>
      <c r="HM17" s="313"/>
      <c r="HN17" s="313"/>
      <c r="HO17" s="313"/>
      <c r="HP17" s="313"/>
      <c r="HQ17" s="313"/>
      <c r="HR17" s="313"/>
      <c r="HS17" s="313"/>
      <c r="HT17" s="313"/>
      <c r="HU17" s="313"/>
      <c r="HV17" s="313"/>
      <c r="HW17" s="313"/>
      <c r="HX17" s="313"/>
      <c r="HY17" s="313"/>
      <c r="HZ17" s="313"/>
      <c r="IA17" s="313"/>
      <c r="IB17" s="313"/>
      <c r="IC17" s="313"/>
      <c r="ID17" s="313"/>
      <c r="IE17" s="313"/>
      <c r="IF17" s="313"/>
      <c r="IG17" s="313"/>
      <c r="IH17" s="313"/>
      <c r="II17" s="313"/>
      <c r="IJ17" s="313"/>
      <c r="IK17" s="313"/>
      <c r="IL17" s="313"/>
      <c r="IM17" s="313"/>
      <c r="IN17" s="313"/>
      <c r="IO17" s="313"/>
      <c r="IP17" s="313"/>
      <c r="IQ17" s="313"/>
      <c r="IR17" s="313"/>
      <c r="IS17" s="313"/>
      <c r="IT17" s="313"/>
      <c r="IU17" s="313"/>
      <c r="IV17" s="313"/>
      <c r="IW17" s="313"/>
      <c r="IX17" s="313"/>
      <c r="IY17" s="313"/>
      <c r="IZ17" s="313"/>
      <c r="JA17" s="313"/>
      <c r="JB17" s="313"/>
      <c r="JC17" s="313"/>
      <c r="JD17" s="313"/>
      <c r="JE17" s="313"/>
      <c r="JF17" s="313"/>
      <c r="JG17" s="313"/>
      <c r="JH17" s="313"/>
      <c r="JI17" s="313"/>
      <c r="JJ17" s="313"/>
      <c r="JK17" s="313"/>
      <c r="JL17" s="313"/>
      <c r="JM17" s="313"/>
      <c r="JN17" s="313"/>
      <c r="JO17" s="313"/>
      <c r="JP17" s="313"/>
      <c r="JQ17" s="313"/>
      <c r="JR17" s="313"/>
      <c r="JS17" s="313"/>
      <c r="JT17" s="313"/>
      <c r="JU17" s="313"/>
      <c r="JV17" s="313"/>
      <c r="JW17" s="313"/>
      <c r="JX17" s="313"/>
      <c r="JY17" s="313"/>
      <c r="JZ17" s="313"/>
      <c r="KA17" s="313"/>
      <c r="KB17" s="313"/>
      <c r="KC17" s="313"/>
      <c r="KD17" s="313"/>
      <c r="KE17" s="313"/>
      <c r="KF17" s="313"/>
      <c r="KG17" s="313"/>
      <c r="KH17" s="313"/>
      <c r="KI17" s="313"/>
      <c r="KJ17" s="313"/>
      <c r="KK17" s="313"/>
      <c r="KL17" s="313"/>
      <c r="KM17" s="313"/>
      <c r="KN17" s="313"/>
      <c r="KO17" s="313"/>
      <c r="KP17" s="313"/>
      <c r="KQ17" s="313"/>
    </row>
    <row r="18" s="303" customFormat="1" ht="22.5" spans="1:58">
      <c r="A18" s="307"/>
      <c r="B18" s="310" t="s">
        <v>745</v>
      </c>
      <c r="C18" s="310" t="s">
        <v>746</v>
      </c>
      <c r="D18" s="310" t="s">
        <v>747</v>
      </c>
      <c r="E18" s="309" t="s">
        <v>344</v>
      </c>
      <c r="F18" s="138" t="s">
        <v>57</v>
      </c>
      <c r="G18" s="310" t="s">
        <v>545</v>
      </c>
      <c r="H18" s="310" t="s">
        <v>748</v>
      </c>
      <c r="I18" s="314"/>
      <c r="J18" s="313"/>
      <c r="K18" s="313"/>
      <c r="L18" s="313"/>
      <c r="M18" s="313"/>
      <c r="N18" s="313"/>
      <c r="O18" s="313"/>
      <c r="P18" s="313"/>
      <c r="Q18" s="313"/>
      <c r="R18" s="313"/>
      <c r="S18" s="313"/>
      <c r="T18" s="313"/>
      <c r="U18" s="313"/>
      <c r="V18" s="313"/>
      <c r="W18" s="313"/>
      <c r="X18" s="313"/>
      <c r="Y18" s="313"/>
      <c r="Z18" s="313"/>
      <c r="AA18" s="313"/>
      <c r="AB18" s="313"/>
      <c r="AC18" s="313"/>
      <c r="AD18" s="313"/>
      <c r="AE18" s="313"/>
      <c r="AF18" s="313"/>
      <c r="AG18" s="313"/>
      <c r="AH18" s="313"/>
      <c r="AI18" s="313"/>
      <c r="AJ18" s="313"/>
      <c r="AK18" s="313"/>
      <c r="AL18" s="313"/>
      <c r="AM18" s="313"/>
      <c r="AN18" s="313"/>
      <c r="AO18" s="313"/>
      <c r="AP18" s="313"/>
      <c r="AQ18" s="313"/>
      <c r="AR18" s="313"/>
      <c r="AS18" s="313"/>
      <c r="AT18" s="313"/>
      <c r="AU18" s="313"/>
      <c r="AV18" s="313"/>
      <c r="AW18" s="313"/>
      <c r="AX18" s="313"/>
      <c r="AY18" s="313"/>
      <c r="AZ18" s="313"/>
      <c r="BA18" s="313"/>
      <c r="BB18" s="313"/>
      <c r="BC18" s="313"/>
      <c r="BD18" s="313"/>
      <c r="BE18" s="313"/>
      <c r="BF18" s="313"/>
    </row>
    <row r="19" s="303" customFormat="1" ht="33.75" spans="1:58">
      <c r="A19" s="307"/>
      <c r="B19" s="310" t="s">
        <v>749</v>
      </c>
      <c r="C19" s="310" t="s">
        <v>713</v>
      </c>
      <c r="D19" s="310" t="s">
        <v>714</v>
      </c>
      <c r="E19" s="309" t="s">
        <v>344</v>
      </c>
      <c r="F19" s="138" t="s">
        <v>57</v>
      </c>
      <c r="G19" s="310" t="s">
        <v>354</v>
      </c>
      <c r="H19" s="310" t="s">
        <v>715</v>
      </c>
      <c r="I19" s="315"/>
      <c r="J19" s="313"/>
      <c r="K19" s="313"/>
      <c r="L19" s="313"/>
      <c r="M19" s="313"/>
      <c r="N19" s="313"/>
      <c r="O19" s="313"/>
      <c r="P19" s="313"/>
      <c r="Q19" s="313"/>
      <c r="R19" s="313"/>
      <c r="S19" s="313"/>
      <c r="T19" s="313"/>
      <c r="U19" s="313"/>
      <c r="V19" s="313"/>
      <c r="W19" s="313"/>
      <c r="X19" s="313"/>
      <c r="Y19" s="313"/>
      <c r="Z19" s="313"/>
      <c r="AA19" s="313"/>
      <c r="AB19" s="313"/>
      <c r="AC19" s="313"/>
      <c r="AD19" s="313"/>
      <c r="AE19" s="313"/>
      <c r="AF19" s="313"/>
      <c r="AG19" s="313"/>
      <c r="AH19" s="313"/>
      <c r="AI19" s="313"/>
      <c r="AJ19" s="313"/>
      <c r="AK19" s="313"/>
      <c r="AL19" s="313"/>
      <c r="AM19" s="313"/>
      <c r="AN19" s="313"/>
      <c r="AO19" s="313"/>
      <c r="AP19" s="313"/>
      <c r="AQ19" s="313"/>
      <c r="AR19" s="313"/>
      <c r="AS19" s="313"/>
      <c r="AT19" s="313"/>
      <c r="AU19" s="313"/>
      <c r="AV19" s="313"/>
      <c r="AW19" s="313"/>
      <c r="AX19" s="313"/>
      <c r="AY19" s="313"/>
      <c r="AZ19" s="313"/>
      <c r="BA19" s="313"/>
      <c r="BB19" s="313"/>
      <c r="BC19" s="313"/>
      <c r="BD19" s="313"/>
      <c r="BE19" s="313"/>
      <c r="BF19" s="313"/>
    </row>
    <row r="20" s="303" customFormat="1" spans="1:58">
      <c r="A20" s="307"/>
      <c r="B20" s="310" t="s">
        <v>750</v>
      </c>
      <c r="C20" s="310" t="s">
        <v>717</v>
      </c>
      <c r="D20" s="310" t="s">
        <v>718</v>
      </c>
      <c r="E20" s="309" t="s">
        <v>344</v>
      </c>
      <c r="F20" s="138" t="s">
        <v>57</v>
      </c>
      <c r="G20" s="310" t="s">
        <v>354</v>
      </c>
      <c r="H20" s="310" t="s">
        <v>346</v>
      </c>
      <c r="I20" s="315"/>
      <c r="J20" s="313"/>
      <c r="K20" s="313"/>
      <c r="L20" s="313"/>
      <c r="M20" s="313"/>
      <c r="N20" s="313"/>
      <c r="O20" s="313"/>
      <c r="P20" s="313"/>
      <c r="Q20" s="313"/>
      <c r="R20" s="313"/>
      <c r="S20" s="313"/>
      <c r="T20" s="313"/>
      <c r="U20" s="313"/>
      <c r="V20" s="313"/>
      <c r="W20" s="313"/>
      <c r="X20" s="313"/>
      <c r="Y20" s="313"/>
      <c r="Z20" s="313"/>
      <c r="AA20" s="313"/>
      <c r="AB20" s="313"/>
      <c r="AC20" s="313"/>
      <c r="AD20" s="313"/>
      <c r="AE20" s="313"/>
      <c r="AF20" s="313"/>
      <c r="AG20" s="313"/>
      <c r="AH20" s="313"/>
      <c r="AI20" s="313"/>
      <c r="AJ20" s="313"/>
      <c r="AK20" s="313"/>
      <c r="AL20" s="313"/>
      <c r="AM20" s="313"/>
      <c r="AN20" s="313"/>
      <c r="AO20" s="313"/>
      <c r="AP20" s="313"/>
      <c r="AQ20" s="313"/>
      <c r="AR20" s="313"/>
      <c r="AS20" s="313"/>
      <c r="AT20" s="313"/>
      <c r="AU20" s="313"/>
      <c r="AV20" s="313"/>
      <c r="AW20" s="313"/>
      <c r="AX20" s="313"/>
      <c r="AY20" s="313"/>
      <c r="AZ20" s="313"/>
      <c r="BA20" s="313"/>
      <c r="BB20" s="313"/>
      <c r="BC20" s="313"/>
      <c r="BD20" s="313"/>
      <c r="BE20" s="313"/>
      <c r="BF20" s="313"/>
    </row>
    <row r="21" s="303" customFormat="1" spans="1:58">
      <c r="A21" s="307"/>
      <c r="B21" s="310" t="s">
        <v>751</v>
      </c>
      <c r="C21" s="310" t="s">
        <v>720</v>
      </c>
      <c r="D21" s="310" t="s">
        <v>721</v>
      </c>
      <c r="E21" s="309" t="s">
        <v>344</v>
      </c>
      <c r="F21" s="138" t="s">
        <v>57</v>
      </c>
      <c r="G21" s="310" t="s">
        <v>722</v>
      </c>
      <c r="H21" s="310" t="s">
        <v>346</v>
      </c>
      <c r="I21" s="315"/>
      <c r="J21" s="313"/>
      <c r="K21" s="313"/>
      <c r="L21" s="313"/>
      <c r="M21" s="313"/>
      <c r="N21" s="313"/>
      <c r="O21" s="313"/>
      <c r="P21" s="313"/>
      <c r="Q21" s="313"/>
      <c r="R21" s="313"/>
      <c r="S21" s="313"/>
      <c r="T21" s="313"/>
      <c r="U21" s="313"/>
      <c r="V21" s="313"/>
      <c r="W21" s="313"/>
      <c r="X21" s="313"/>
      <c r="Y21" s="313"/>
      <c r="Z21" s="313"/>
      <c r="AA21" s="313"/>
      <c r="AB21" s="313"/>
      <c r="AC21" s="313"/>
      <c r="AD21" s="313"/>
      <c r="AE21" s="313"/>
      <c r="AF21" s="313"/>
      <c r="AG21" s="313"/>
      <c r="AH21" s="313"/>
      <c r="AI21" s="313"/>
      <c r="AJ21" s="313"/>
      <c r="AK21" s="313"/>
      <c r="AL21" s="313"/>
      <c r="AM21" s="313"/>
      <c r="AN21" s="313"/>
      <c r="AO21" s="313"/>
      <c r="AP21" s="313"/>
      <c r="AQ21" s="313"/>
      <c r="AR21" s="313"/>
      <c r="AS21" s="313"/>
      <c r="AT21" s="313"/>
      <c r="AU21" s="313"/>
      <c r="AV21" s="313"/>
      <c r="AW21" s="313"/>
      <c r="AX21" s="313"/>
      <c r="AY21" s="313"/>
      <c r="AZ21" s="313"/>
      <c r="BA21" s="313"/>
      <c r="BB21" s="313"/>
      <c r="BC21" s="313"/>
      <c r="BD21" s="313"/>
      <c r="BE21" s="313"/>
      <c r="BF21" s="313"/>
    </row>
    <row r="22" s="303" customFormat="1" ht="33.75" spans="1:58">
      <c r="A22" s="307"/>
      <c r="B22" s="310" t="s">
        <v>752</v>
      </c>
      <c r="C22" s="310" t="s">
        <v>724</v>
      </c>
      <c r="D22" s="310" t="s">
        <v>753</v>
      </c>
      <c r="E22" s="309" t="s">
        <v>344</v>
      </c>
      <c r="F22" s="138" t="s">
        <v>57</v>
      </c>
      <c r="G22" s="310" t="s">
        <v>419</v>
      </c>
      <c r="H22" s="310" t="s">
        <v>726</v>
      </c>
      <c r="I22" s="315"/>
      <c r="J22" s="313"/>
      <c r="K22" s="313"/>
      <c r="L22" s="313"/>
      <c r="M22" s="313"/>
      <c r="N22" s="313"/>
      <c r="O22" s="313"/>
      <c r="P22" s="313"/>
      <c r="Q22" s="313"/>
      <c r="R22" s="313"/>
      <c r="S22" s="313"/>
      <c r="T22" s="313"/>
      <c r="U22" s="313"/>
      <c r="V22" s="313"/>
      <c r="W22" s="313"/>
      <c r="X22" s="313"/>
      <c r="Y22" s="313"/>
      <c r="Z22" s="313"/>
      <c r="AA22" s="313"/>
      <c r="AB22" s="313"/>
      <c r="AC22" s="313"/>
      <c r="AD22" s="313"/>
      <c r="AE22" s="313"/>
      <c r="AF22" s="313"/>
      <c r="AG22" s="313"/>
      <c r="AH22" s="313"/>
      <c r="AI22" s="313"/>
      <c r="AJ22" s="313"/>
      <c r="AK22" s="313"/>
      <c r="AL22" s="313"/>
      <c r="AM22" s="313"/>
      <c r="AN22" s="313"/>
      <c r="AO22" s="313"/>
      <c r="AP22" s="313"/>
      <c r="AQ22" s="313"/>
      <c r="AR22" s="313"/>
      <c r="AS22" s="313"/>
      <c r="AT22" s="313"/>
      <c r="AU22" s="313"/>
      <c r="AV22" s="313"/>
      <c r="AW22" s="313"/>
      <c r="AX22" s="313"/>
      <c r="AY22" s="313"/>
      <c r="AZ22" s="313"/>
      <c r="BA22" s="313"/>
      <c r="BB22" s="313"/>
      <c r="BC22" s="313"/>
      <c r="BD22" s="313"/>
      <c r="BE22" s="313"/>
      <c r="BF22" s="313"/>
    </row>
    <row r="23" s="303" customFormat="1" spans="1:58">
      <c r="A23" s="307"/>
      <c r="B23" s="310" t="s">
        <v>754</v>
      </c>
      <c r="C23" s="310" t="s">
        <v>755</v>
      </c>
      <c r="D23" s="310" t="s">
        <v>756</v>
      </c>
      <c r="E23" s="309" t="s">
        <v>344</v>
      </c>
      <c r="F23" s="138" t="s">
        <v>57</v>
      </c>
      <c r="G23" s="310" t="s">
        <v>567</v>
      </c>
      <c r="H23" s="310" t="s">
        <v>757</v>
      </c>
      <c r="I23" s="315"/>
      <c r="J23" s="313"/>
      <c r="K23" s="313"/>
      <c r="L23" s="313"/>
      <c r="M23" s="313"/>
      <c r="N23" s="313"/>
      <c r="O23" s="313"/>
      <c r="P23" s="313"/>
      <c r="Q23" s="313"/>
      <c r="R23" s="313"/>
      <c r="S23" s="313"/>
      <c r="T23" s="313"/>
      <c r="U23" s="313"/>
      <c r="V23" s="313"/>
      <c r="W23" s="313"/>
      <c r="X23" s="313"/>
      <c r="Y23" s="313"/>
      <c r="Z23" s="313"/>
      <c r="AA23" s="313"/>
      <c r="AB23" s="313"/>
      <c r="AC23" s="313"/>
      <c r="AD23" s="313"/>
      <c r="AE23" s="313"/>
      <c r="AF23" s="313"/>
      <c r="AG23" s="313"/>
      <c r="AH23" s="313"/>
      <c r="AI23" s="313"/>
      <c r="AJ23" s="313"/>
      <c r="AK23" s="313"/>
      <c r="AL23" s="313"/>
      <c r="AM23" s="313"/>
      <c r="AN23" s="313"/>
      <c r="AO23" s="313"/>
      <c r="AP23" s="313"/>
      <c r="AQ23" s="313"/>
      <c r="AR23" s="313"/>
      <c r="AS23" s="313"/>
      <c r="AT23" s="313"/>
      <c r="AU23" s="313"/>
      <c r="AV23" s="313"/>
      <c r="AW23" s="313"/>
      <c r="AX23" s="313"/>
      <c r="AY23" s="313"/>
      <c r="AZ23" s="313"/>
      <c r="BA23" s="313"/>
      <c r="BB23" s="313"/>
      <c r="BC23" s="313"/>
      <c r="BD23" s="313"/>
      <c r="BE23" s="313"/>
      <c r="BF23" s="313"/>
    </row>
    <row r="24" s="303" customFormat="1" ht="33.75" spans="1:58">
      <c r="A24" s="307"/>
      <c r="B24" s="310" t="s">
        <v>758</v>
      </c>
      <c r="C24" s="310" t="s">
        <v>759</v>
      </c>
      <c r="D24" s="310" t="s">
        <v>760</v>
      </c>
      <c r="E24" s="309" t="s">
        <v>344</v>
      </c>
      <c r="F24" s="138" t="s">
        <v>57</v>
      </c>
      <c r="G24" s="310" t="s">
        <v>567</v>
      </c>
      <c r="H24" s="310" t="s">
        <v>761</v>
      </c>
      <c r="I24" s="316"/>
      <c r="J24" s="313"/>
      <c r="K24" s="313"/>
      <c r="L24" s="313"/>
      <c r="M24" s="313"/>
      <c r="N24" s="313"/>
      <c r="O24" s="313"/>
      <c r="P24" s="313"/>
      <c r="Q24" s="313"/>
      <c r="R24" s="313"/>
      <c r="S24" s="313"/>
      <c r="T24" s="313"/>
      <c r="U24" s="313"/>
      <c r="V24" s="313"/>
      <c r="W24" s="313"/>
      <c r="X24" s="313"/>
      <c r="Y24" s="313"/>
      <c r="Z24" s="313"/>
      <c r="AA24" s="313"/>
      <c r="AB24" s="313"/>
      <c r="AC24" s="313"/>
      <c r="AD24" s="313"/>
      <c r="AE24" s="313"/>
      <c r="AF24" s="313"/>
      <c r="AG24" s="313"/>
      <c r="AH24" s="313"/>
      <c r="AI24" s="313"/>
      <c r="AJ24" s="313"/>
      <c r="AK24" s="313"/>
      <c r="AL24" s="313"/>
      <c r="AM24" s="313"/>
      <c r="AN24" s="313"/>
      <c r="AO24" s="313"/>
      <c r="AP24" s="313"/>
      <c r="AQ24" s="313"/>
      <c r="AR24" s="313"/>
      <c r="AS24" s="313"/>
      <c r="AT24" s="313"/>
      <c r="AU24" s="313"/>
      <c r="AV24" s="313"/>
      <c r="AW24" s="313"/>
      <c r="AX24" s="313"/>
      <c r="AY24" s="313"/>
      <c r="AZ24" s="313"/>
      <c r="BA24" s="313"/>
      <c r="BB24" s="313"/>
      <c r="BC24" s="313"/>
      <c r="BD24" s="313"/>
      <c r="BE24" s="313"/>
      <c r="BF24" s="313"/>
    </row>
    <row r="25" s="303" customFormat="1" spans="1:303">
      <c r="A25" s="307"/>
      <c r="B25" s="310" t="s">
        <v>762</v>
      </c>
      <c r="C25" s="310" t="s">
        <v>356</v>
      </c>
      <c r="D25" s="310" t="s">
        <v>735</v>
      </c>
      <c r="E25" s="309" t="s">
        <v>344</v>
      </c>
      <c r="F25" s="138" t="s">
        <v>57</v>
      </c>
      <c r="G25" s="310" t="s">
        <v>354</v>
      </c>
      <c r="H25" s="310" t="s">
        <v>346</v>
      </c>
      <c r="I25" s="312"/>
      <c r="J25" s="313"/>
      <c r="K25" s="313"/>
      <c r="L25" s="313"/>
      <c r="M25" s="313"/>
      <c r="N25" s="313"/>
      <c r="O25" s="313"/>
      <c r="P25" s="313"/>
      <c r="Q25" s="313"/>
      <c r="R25" s="313"/>
      <c r="S25" s="313"/>
      <c r="T25" s="313"/>
      <c r="U25" s="313"/>
      <c r="V25" s="313"/>
      <c r="W25" s="313"/>
      <c r="X25" s="313"/>
      <c r="Y25" s="313"/>
      <c r="Z25" s="313"/>
      <c r="AA25" s="313"/>
      <c r="AB25" s="313"/>
      <c r="AC25" s="313"/>
      <c r="AD25" s="313"/>
      <c r="AE25" s="313"/>
      <c r="AF25" s="313"/>
      <c r="AG25" s="313"/>
      <c r="AH25" s="313"/>
      <c r="AI25" s="313"/>
      <c r="AJ25" s="313"/>
      <c r="AK25" s="313"/>
      <c r="AL25" s="313"/>
      <c r="AM25" s="313"/>
      <c r="AN25" s="313"/>
      <c r="AO25" s="313"/>
      <c r="AP25" s="313"/>
      <c r="AQ25" s="313"/>
      <c r="AR25" s="313"/>
      <c r="AS25" s="313"/>
      <c r="AT25" s="313"/>
      <c r="AU25" s="313"/>
      <c r="AV25" s="313"/>
      <c r="AW25" s="313"/>
      <c r="AX25" s="313"/>
      <c r="AY25" s="313"/>
      <c r="AZ25" s="313"/>
      <c r="BA25" s="313"/>
      <c r="BB25" s="313"/>
      <c r="BC25" s="313"/>
      <c r="BD25" s="313"/>
      <c r="BE25" s="313"/>
      <c r="BF25" s="313"/>
      <c r="BG25" s="313"/>
      <c r="BH25" s="313"/>
      <c r="BI25" s="313"/>
      <c r="BJ25" s="313"/>
      <c r="BK25" s="313"/>
      <c r="BL25" s="313"/>
      <c r="BM25" s="313"/>
      <c r="BN25" s="313"/>
      <c r="BO25" s="313"/>
      <c r="BP25" s="313"/>
      <c r="BQ25" s="313"/>
      <c r="BR25" s="313"/>
      <c r="BS25" s="313"/>
      <c r="BT25" s="313"/>
      <c r="BU25" s="313"/>
      <c r="BV25" s="313"/>
      <c r="BW25" s="313"/>
      <c r="BX25" s="313"/>
      <c r="BY25" s="313"/>
      <c r="BZ25" s="313"/>
      <c r="CA25" s="313"/>
      <c r="CB25" s="313"/>
      <c r="CC25" s="313"/>
      <c r="CD25" s="313"/>
      <c r="CE25" s="313"/>
      <c r="CF25" s="313"/>
      <c r="CG25" s="313"/>
      <c r="CH25" s="313"/>
      <c r="CI25" s="313"/>
      <c r="CJ25" s="313"/>
      <c r="CK25" s="313"/>
      <c r="CL25" s="313"/>
      <c r="CM25" s="313"/>
      <c r="CN25" s="313"/>
      <c r="CO25" s="313"/>
      <c r="CP25" s="313"/>
      <c r="CQ25" s="313"/>
      <c r="CR25" s="313"/>
      <c r="CS25" s="313"/>
      <c r="CT25" s="313"/>
      <c r="CU25" s="313"/>
      <c r="CV25" s="313"/>
      <c r="CW25" s="313"/>
      <c r="CX25" s="313"/>
      <c r="CY25" s="313"/>
      <c r="CZ25" s="313"/>
      <c r="DA25" s="313"/>
      <c r="DB25" s="313"/>
      <c r="DC25" s="313"/>
      <c r="DD25" s="313"/>
      <c r="DE25" s="313"/>
      <c r="DF25" s="313"/>
      <c r="DG25" s="313"/>
      <c r="DH25" s="313"/>
      <c r="DI25" s="313"/>
      <c r="DJ25" s="313"/>
      <c r="DK25" s="313"/>
      <c r="DL25" s="313"/>
      <c r="DM25" s="313"/>
      <c r="DN25" s="313"/>
      <c r="DO25" s="313"/>
      <c r="DP25" s="313"/>
      <c r="DQ25" s="313"/>
      <c r="DR25" s="313"/>
      <c r="DS25" s="313"/>
      <c r="DT25" s="313"/>
      <c r="DU25" s="313"/>
      <c r="DV25" s="313"/>
      <c r="DW25" s="313"/>
      <c r="DX25" s="313"/>
      <c r="DY25" s="313"/>
      <c r="DZ25" s="313"/>
      <c r="EA25" s="313"/>
      <c r="EB25" s="313"/>
      <c r="EC25" s="313"/>
      <c r="ED25" s="313"/>
      <c r="EE25" s="313"/>
      <c r="EF25" s="313"/>
      <c r="EG25" s="313"/>
      <c r="EH25" s="313"/>
      <c r="EI25" s="313"/>
      <c r="EJ25" s="313"/>
      <c r="EK25" s="313"/>
      <c r="EL25" s="313"/>
      <c r="EM25" s="313"/>
      <c r="EN25" s="313"/>
      <c r="EO25" s="313"/>
      <c r="EP25" s="313"/>
      <c r="EQ25" s="313"/>
      <c r="ER25" s="313"/>
      <c r="ES25" s="313"/>
      <c r="ET25" s="313"/>
      <c r="EU25" s="313"/>
      <c r="EV25" s="313"/>
      <c r="EW25" s="313"/>
      <c r="EX25" s="313"/>
      <c r="EY25" s="313"/>
      <c r="EZ25" s="313"/>
      <c r="FA25" s="313"/>
      <c r="FB25" s="313"/>
      <c r="FC25" s="313"/>
      <c r="FD25" s="313"/>
      <c r="FE25" s="313"/>
      <c r="FF25" s="313"/>
      <c r="FG25" s="313"/>
      <c r="FH25" s="313"/>
      <c r="FI25" s="313"/>
      <c r="FJ25" s="313"/>
      <c r="FK25" s="313"/>
      <c r="FL25" s="313"/>
      <c r="FM25" s="313"/>
      <c r="FN25" s="313"/>
      <c r="FO25" s="313"/>
      <c r="FP25" s="313"/>
      <c r="FQ25" s="313"/>
      <c r="FR25" s="313"/>
      <c r="FS25" s="313"/>
      <c r="FT25" s="313"/>
      <c r="FU25" s="313"/>
      <c r="FV25" s="313"/>
      <c r="FW25" s="313"/>
      <c r="FX25" s="313"/>
      <c r="FY25" s="313"/>
      <c r="FZ25" s="313"/>
      <c r="GA25" s="313"/>
      <c r="GB25" s="313"/>
      <c r="GC25" s="313"/>
      <c r="GD25" s="313"/>
      <c r="GE25" s="313"/>
      <c r="GF25" s="313"/>
      <c r="GG25" s="313"/>
      <c r="GH25" s="313"/>
      <c r="GI25" s="313"/>
      <c r="GJ25" s="313"/>
      <c r="GK25" s="313"/>
      <c r="GL25" s="313"/>
      <c r="GM25" s="313"/>
      <c r="GN25" s="313"/>
      <c r="GO25" s="313"/>
      <c r="GP25" s="313"/>
      <c r="GQ25" s="313"/>
      <c r="GR25" s="313"/>
      <c r="GS25" s="313"/>
      <c r="GT25" s="313"/>
      <c r="GU25" s="313"/>
      <c r="GV25" s="313"/>
      <c r="GW25" s="313"/>
      <c r="GX25" s="313"/>
      <c r="GY25" s="313"/>
      <c r="GZ25" s="313"/>
      <c r="HA25" s="313"/>
      <c r="HB25" s="313"/>
      <c r="HC25" s="313"/>
      <c r="HD25" s="313"/>
      <c r="HE25" s="313"/>
      <c r="HF25" s="313"/>
      <c r="HG25" s="313"/>
      <c r="HH25" s="313"/>
      <c r="HI25" s="313"/>
      <c r="HJ25" s="313"/>
      <c r="HK25" s="313"/>
      <c r="HL25" s="313"/>
      <c r="HM25" s="313"/>
      <c r="HN25" s="313"/>
      <c r="HO25" s="313"/>
      <c r="HP25" s="313"/>
      <c r="HQ25" s="313"/>
      <c r="HR25" s="313"/>
      <c r="HS25" s="313"/>
      <c r="HT25" s="313"/>
      <c r="HU25" s="313"/>
      <c r="HV25" s="313"/>
      <c r="HW25" s="313"/>
      <c r="HX25" s="313"/>
      <c r="HY25" s="313"/>
      <c r="HZ25" s="313"/>
      <c r="IA25" s="313"/>
      <c r="IB25" s="313"/>
      <c r="IC25" s="313"/>
      <c r="ID25" s="313"/>
      <c r="IE25" s="313"/>
      <c r="IF25" s="313"/>
      <c r="IG25" s="313"/>
      <c r="IH25" s="313"/>
      <c r="II25" s="313"/>
      <c r="IJ25" s="313"/>
      <c r="IK25" s="313"/>
      <c r="IL25" s="313"/>
      <c r="IM25" s="313"/>
      <c r="IN25" s="313"/>
      <c r="IO25" s="313"/>
      <c r="IP25" s="313"/>
      <c r="IQ25" s="313"/>
      <c r="IR25" s="313"/>
      <c r="IS25" s="313"/>
      <c r="IT25" s="313"/>
      <c r="IU25" s="313"/>
      <c r="IV25" s="313"/>
      <c r="IW25" s="313"/>
      <c r="IX25" s="313"/>
      <c r="IY25" s="313"/>
      <c r="IZ25" s="313"/>
      <c r="JA25" s="313"/>
      <c r="JB25" s="313"/>
      <c r="JC25" s="313"/>
      <c r="JD25" s="313"/>
      <c r="JE25" s="313"/>
      <c r="JF25" s="313"/>
      <c r="JG25" s="313"/>
      <c r="JH25" s="313"/>
      <c r="JI25" s="313"/>
      <c r="JJ25" s="313"/>
      <c r="JK25" s="313"/>
      <c r="JL25" s="313"/>
      <c r="JM25" s="313"/>
      <c r="JN25" s="313"/>
      <c r="JO25" s="313"/>
      <c r="JP25" s="313"/>
      <c r="JQ25" s="313"/>
      <c r="JR25" s="313"/>
      <c r="JS25" s="313"/>
      <c r="JT25" s="313"/>
      <c r="JU25" s="313"/>
      <c r="JV25" s="313"/>
      <c r="JW25" s="313"/>
      <c r="JX25" s="313"/>
      <c r="JY25" s="313"/>
      <c r="JZ25" s="313"/>
      <c r="KA25" s="313"/>
      <c r="KB25" s="313"/>
      <c r="KC25" s="313"/>
      <c r="KD25" s="313"/>
      <c r="KE25" s="313"/>
      <c r="KF25" s="313"/>
      <c r="KG25" s="313"/>
      <c r="KH25" s="313"/>
      <c r="KI25" s="313"/>
      <c r="KJ25" s="313"/>
      <c r="KK25" s="313"/>
      <c r="KL25" s="313"/>
      <c r="KM25" s="313"/>
      <c r="KN25" s="313"/>
      <c r="KO25" s="313"/>
      <c r="KP25" s="313"/>
      <c r="KQ25" s="313"/>
    </row>
    <row r="26" s="303" customFormat="1" spans="1:303">
      <c r="A26" s="307"/>
      <c r="B26" s="310" t="s">
        <v>763</v>
      </c>
      <c r="C26" s="310" t="s">
        <v>737</v>
      </c>
      <c r="D26" s="310" t="s">
        <v>738</v>
      </c>
      <c r="E26" s="309" t="s">
        <v>344</v>
      </c>
      <c r="F26" s="138" t="s">
        <v>57</v>
      </c>
      <c r="G26" s="310" t="s">
        <v>354</v>
      </c>
      <c r="H26" s="310" t="s">
        <v>346</v>
      </c>
      <c r="I26" s="312"/>
      <c r="J26" s="313"/>
      <c r="K26" s="313"/>
      <c r="L26" s="313"/>
      <c r="M26" s="313"/>
      <c r="N26" s="313"/>
      <c r="O26" s="313"/>
      <c r="P26" s="313"/>
      <c r="Q26" s="313"/>
      <c r="R26" s="313"/>
      <c r="S26" s="313"/>
      <c r="T26" s="313"/>
      <c r="U26" s="313"/>
      <c r="V26" s="313"/>
      <c r="W26" s="313"/>
      <c r="X26" s="313"/>
      <c r="Y26" s="313"/>
      <c r="Z26" s="313"/>
      <c r="AA26" s="313"/>
      <c r="AB26" s="313"/>
      <c r="AC26" s="313"/>
      <c r="AD26" s="313"/>
      <c r="AE26" s="313"/>
      <c r="AF26" s="313"/>
      <c r="AG26" s="313"/>
      <c r="AH26" s="313"/>
      <c r="AI26" s="313"/>
      <c r="AJ26" s="313"/>
      <c r="AK26" s="313"/>
      <c r="AL26" s="313"/>
      <c r="AM26" s="313"/>
      <c r="AN26" s="313"/>
      <c r="AO26" s="313"/>
      <c r="AP26" s="313"/>
      <c r="AQ26" s="313"/>
      <c r="AR26" s="313"/>
      <c r="AS26" s="313"/>
      <c r="AT26" s="313"/>
      <c r="AU26" s="313"/>
      <c r="AV26" s="313"/>
      <c r="AW26" s="313"/>
      <c r="AX26" s="313"/>
      <c r="AY26" s="313"/>
      <c r="AZ26" s="313"/>
      <c r="BA26" s="313"/>
      <c r="BB26" s="313"/>
      <c r="BC26" s="313"/>
      <c r="BD26" s="313"/>
      <c r="BE26" s="313"/>
      <c r="BF26" s="313"/>
      <c r="BG26" s="313"/>
      <c r="BH26" s="313"/>
      <c r="BI26" s="313"/>
      <c r="BJ26" s="313"/>
      <c r="BK26" s="313"/>
      <c r="BL26" s="313"/>
      <c r="BM26" s="313"/>
      <c r="BN26" s="313"/>
      <c r="BO26" s="313"/>
      <c r="BP26" s="313"/>
      <c r="BQ26" s="313"/>
      <c r="BR26" s="313"/>
      <c r="BS26" s="313"/>
      <c r="BT26" s="313"/>
      <c r="BU26" s="313"/>
      <c r="BV26" s="313"/>
      <c r="BW26" s="313"/>
      <c r="BX26" s="313"/>
      <c r="BY26" s="313"/>
      <c r="BZ26" s="313"/>
      <c r="CA26" s="313"/>
      <c r="CB26" s="313"/>
      <c r="CC26" s="313"/>
      <c r="CD26" s="313"/>
      <c r="CE26" s="313"/>
      <c r="CF26" s="313"/>
      <c r="CG26" s="313"/>
      <c r="CH26" s="313"/>
      <c r="CI26" s="313"/>
      <c r="CJ26" s="313"/>
      <c r="CK26" s="313"/>
      <c r="CL26" s="313"/>
      <c r="CM26" s="313"/>
      <c r="CN26" s="313"/>
      <c r="CO26" s="313"/>
      <c r="CP26" s="313"/>
      <c r="CQ26" s="313"/>
      <c r="CR26" s="313"/>
      <c r="CS26" s="313"/>
      <c r="CT26" s="313"/>
      <c r="CU26" s="313"/>
      <c r="CV26" s="313"/>
      <c r="CW26" s="313"/>
      <c r="CX26" s="313"/>
      <c r="CY26" s="313"/>
      <c r="CZ26" s="313"/>
      <c r="DA26" s="313"/>
      <c r="DB26" s="313"/>
      <c r="DC26" s="313"/>
      <c r="DD26" s="313"/>
      <c r="DE26" s="313"/>
      <c r="DF26" s="313"/>
      <c r="DG26" s="313"/>
      <c r="DH26" s="313"/>
      <c r="DI26" s="313"/>
      <c r="DJ26" s="313"/>
      <c r="DK26" s="313"/>
      <c r="DL26" s="313"/>
      <c r="DM26" s="313"/>
      <c r="DN26" s="313"/>
      <c r="DO26" s="313"/>
      <c r="DP26" s="313"/>
      <c r="DQ26" s="313"/>
      <c r="DR26" s="313"/>
      <c r="DS26" s="313"/>
      <c r="DT26" s="313"/>
      <c r="DU26" s="313"/>
      <c r="DV26" s="313"/>
      <c r="DW26" s="313"/>
      <c r="DX26" s="313"/>
      <c r="DY26" s="313"/>
      <c r="DZ26" s="313"/>
      <c r="EA26" s="313"/>
      <c r="EB26" s="313"/>
      <c r="EC26" s="313"/>
      <c r="ED26" s="313"/>
      <c r="EE26" s="313"/>
      <c r="EF26" s="313"/>
      <c r="EG26" s="313"/>
      <c r="EH26" s="313"/>
      <c r="EI26" s="313"/>
      <c r="EJ26" s="313"/>
      <c r="EK26" s="313"/>
      <c r="EL26" s="313"/>
      <c r="EM26" s="313"/>
      <c r="EN26" s="313"/>
      <c r="EO26" s="313"/>
      <c r="EP26" s="313"/>
      <c r="EQ26" s="313"/>
      <c r="ER26" s="313"/>
      <c r="ES26" s="313"/>
      <c r="ET26" s="313"/>
      <c r="EU26" s="313"/>
      <c r="EV26" s="313"/>
      <c r="EW26" s="313"/>
      <c r="EX26" s="313"/>
      <c r="EY26" s="313"/>
      <c r="EZ26" s="313"/>
      <c r="FA26" s="313"/>
      <c r="FB26" s="313"/>
      <c r="FC26" s="313"/>
      <c r="FD26" s="313"/>
      <c r="FE26" s="313"/>
      <c r="FF26" s="313"/>
      <c r="FG26" s="313"/>
      <c r="FH26" s="313"/>
      <c r="FI26" s="313"/>
      <c r="FJ26" s="313"/>
      <c r="FK26" s="313"/>
      <c r="FL26" s="313"/>
      <c r="FM26" s="313"/>
      <c r="FN26" s="313"/>
      <c r="FO26" s="313"/>
      <c r="FP26" s="313"/>
      <c r="FQ26" s="313"/>
      <c r="FR26" s="313"/>
      <c r="FS26" s="313"/>
      <c r="FT26" s="313"/>
      <c r="FU26" s="313"/>
      <c r="FV26" s="313"/>
      <c r="FW26" s="313"/>
      <c r="FX26" s="313"/>
      <c r="FY26" s="313"/>
      <c r="FZ26" s="313"/>
      <c r="GA26" s="313"/>
      <c r="GB26" s="313"/>
      <c r="GC26" s="313"/>
      <c r="GD26" s="313"/>
      <c r="GE26" s="313"/>
      <c r="GF26" s="313"/>
      <c r="GG26" s="313"/>
      <c r="GH26" s="313"/>
      <c r="GI26" s="313"/>
      <c r="GJ26" s="313"/>
      <c r="GK26" s="313"/>
      <c r="GL26" s="313"/>
      <c r="GM26" s="313"/>
      <c r="GN26" s="313"/>
      <c r="GO26" s="313"/>
      <c r="GP26" s="313"/>
      <c r="GQ26" s="313"/>
      <c r="GR26" s="313"/>
      <c r="GS26" s="313"/>
      <c r="GT26" s="313"/>
      <c r="GU26" s="313"/>
      <c r="GV26" s="313"/>
      <c r="GW26" s="313"/>
      <c r="GX26" s="313"/>
      <c r="GY26" s="313"/>
      <c r="GZ26" s="313"/>
      <c r="HA26" s="313"/>
      <c r="HB26" s="313"/>
      <c r="HC26" s="313"/>
      <c r="HD26" s="313"/>
      <c r="HE26" s="313"/>
      <c r="HF26" s="313"/>
      <c r="HG26" s="313"/>
      <c r="HH26" s="313"/>
      <c r="HI26" s="313"/>
      <c r="HJ26" s="313"/>
      <c r="HK26" s="313"/>
      <c r="HL26" s="313"/>
      <c r="HM26" s="313"/>
      <c r="HN26" s="313"/>
      <c r="HO26" s="313"/>
      <c r="HP26" s="313"/>
      <c r="HQ26" s="313"/>
      <c r="HR26" s="313"/>
      <c r="HS26" s="313"/>
      <c r="HT26" s="313"/>
      <c r="HU26" s="313"/>
      <c r="HV26" s="313"/>
      <c r="HW26" s="313"/>
      <c r="HX26" s="313"/>
      <c r="HY26" s="313"/>
      <c r="HZ26" s="313"/>
      <c r="IA26" s="313"/>
      <c r="IB26" s="313"/>
      <c r="IC26" s="313"/>
      <c r="ID26" s="313"/>
      <c r="IE26" s="313"/>
      <c r="IF26" s="313"/>
      <c r="IG26" s="313"/>
      <c r="IH26" s="313"/>
      <c r="II26" s="313"/>
      <c r="IJ26" s="313"/>
      <c r="IK26" s="313"/>
      <c r="IL26" s="313"/>
      <c r="IM26" s="313"/>
      <c r="IN26" s="313"/>
      <c r="IO26" s="313"/>
      <c r="IP26" s="313"/>
      <c r="IQ26" s="313"/>
      <c r="IR26" s="313"/>
      <c r="IS26" s="313"/>
      <c r="IT26" s="313"/>
      <c r="IU26" s="313"/>
      <c r="IV26" s="313"/>
      <c r="IW26" s="313"/>
      <c r="IX26" s="313"/>
      <c r="IY26" s="313"/>
      <c r="IZ26" s="313"/>
      <c r="JA26" s="313"/>
      <c r="JB26" s="313"/>
      <c r="JC26" s="313"/>
      <c r="JD26" s="313"/>
      <c r="JE26" s="313"/>
      <c r="JF26" s="313"/>
      <c r="JG26" s="313"/>
      <c r="JH26" s="313"/>
      <c r="JI26" s="313"/>
      <c r="JJ26" s="313"/>
      <c r="JK26" s="313"/>
      <c r="JL26" s="313"/>
      <c r="JM26" s="313"/>
      <c r="JN26" s="313"/>
      <c r="JO26" s="313"/>
      <c r="JP26" s="313"/>
      <c r="JQ26" s="313"/>
      <c r="JR26" s="313"/>
      <c r="JS26" s="313"/>
      <c r="JT26" s="313"/>
      <c r="JU26" s="313"/>
      <c r="JV26" s="313"/>
      <c r="JW26" s="313"/>
      <c r="JX26" s="313"/>
      <c r="JY26" s="313"/>
      <c r="JZ26" s="313"/>
      <c r="KA26" s="313"/>
      <c r="KB26" s="313"/>
      <c r="KC26" s="313"/>
      <c r="KD26" s="313"/>
      <c r="KE26" s="313"/>
      <c r="KF26" s="313"/>
      <c r="KG26" s="313"/>
      <c r="KH26" s="313"/>
      <c r="KI26" s="313"/>
      <c r="KJ26" s="313"/>
      <c r="KK26" s="313"/>
      <c r="KL26" s="313"/>
      <c r="KM26" s="313"/>
      <c r="KN26" s="313"/>
      <c r="KO26" s="313"/>
      <c r="KP26" s="313"/>
      <c r="KQ26" s="313"/>
    </row>
    <row r="27" s="303" customFormat="1" ht="33.75" spans="1:58">
      <c r="A27" s="307"/>
      <c r="B27" s="310" t="s">
        <v>764</v>
      </c>
      <c r="C27" s="310" t="s">
        <v>765</v>
      </c>
      <c r="D27" s="310" t="s">
        <v>766</v>
      </c>
      <c r="E27" s="309" t="s">
        <v>344</v>
      </c>
      <c r="F27" s="138" t="s">
        <v>57</v>
      </c>
      <c r="G27" s="310" t="s">
        <v>397</v>
      </c>
      <c r="H27" s="310" t="s">
        <v>398</v>
      </c>
      <c r="I27" s="312"/>
      <c r="J27" s="313"/>
      <c r="K27" s="313"/>
      <c r="L27" s="313"/>
      <c r="M27" s="313"/>
      <c r="N27" s="313"/>
      <c r="O27" s="313"/>
      <c r="P27" s="313"/>
      <c r="Q27" s="313"/>
      <c r="R27" s="313"/>
      <c r="S27" s="313"/>
      <c r="T27" s="313"/>
      <c r="U27" s="313"/>
      <c r="V27" s="313"/>
      <c r="W27" s="313"/>
      <c r="X27" s="313"/>
      <c r="Y27" s="313"/>
      <c r="Z27" s="313"/>
      <c r="AA27" s="313"/>
      <c r="AB27" s="313"/>
      <c r="AC27" s="313"/>
      <c r="AD27" s="313"/>
      <c r="AE27" s="313"/>
      <c r="AF27" s="313"/>
      <c r="AG27" s="313"/>
      <c r="AH27" s="313"/>
      <c r="AI27" s="313"/>
      <c r="AJ27" s="313"/>
      <c r="AK27" s="313"/>
      <c r="AL27" s="313"/>
      <c r="AM27" s="313"/>
      <c r="AN27" s="313"/>
      <c r="AO27" s="313"/>
      <c r="AP27" s="313"/>
      <c r="AQ27" s="313"/>
      <c r="AR27" s="313"/>
      <c r="AS27" s="313"/>
      <c r="AT27" s="313"/>
      <c r="AU27" s="313"/>
      <c r="AV27" s="313"/>
      <c r="AW27" s="313"/>
      <c r="AX27" s="313"/>
      <c r="AY27" s="313"/>
      <c r="AZ27" s="313"/>
      <c r="BA27" s="313"/>
      <c r="BB27" s="313"/>
      <c r="BC27" s="313"/>
      <c r="BD27" s="313"/>
      <c r="BE27" s="313"/>
      <c r="BF27" s="313"/>
    </row>
    <row r="28" s="303" customFormat="1" spans="1:58">
      <c r="A28" s="307"/>
      <c r="B28" s="310" t="s">
        <v>767</v>
      </c>
      <c r="C28" s="310" t="s">
        <v>732</v>
      </c>
      <c r="D28" s="310" t="s">
        <v>733</v>
      </c>
      <c r="E28" s="309" t="s">
        <v>344</v>
      </c>
      <c r="F28" s="138" t="s">
        <v>57</v>
      </c>
      <c r="G28" s="310" t="s">
        <v>354</v>
      </c>
      <c r="H28" s="310" t="s">
        <v>346</v>
      </c>
      <c r="I28" s="312"/>
      <c r="J28" s="313"/>
      <c r="K28" s="313"/>
      <c r="L28" s="313"/>
      <c r="M28" s="313"/>
      <c r="N28" s="313"/>
      <c r="O28" s="313"/>
      <c r="P28" s="313"/>
      <c r="Q28" s="313"/>
      <c r="R28" s="313"/>
      <c r="S28" s="313"/>
      <c r="T28" s="313"/>
      <c r="U28" s="313"/>
      <c r="V28" s="313"/>
      <c r="W28" s="313"/>
      <c r="X28" s="313"/>
      <c r="Y28" s="313"/>
      <c r="Z28" s="313"/>
      <c r="AA28" s="313"/>
      <c r="AB28" s="313"/>
      <c r="AC28" s="313"/>
      <c r="AD28" s="313"/>
      <c r="AE28" s="313"/>
      <c r="AF28" s="313"/>
      <c r="AG28" s="313"/>
      <c r="AH28" s="313"/>
      <c r="AI28" s="313"/>
      <c r="AJ28" s="313"/>
      <c r="AK28" s="313"/>
      <c r="AL28" s="313"/>
      <c r="AM28" s="313"/>
      <c r="AN28" s="313"/>
      <c r="AO28" s="313"/>
      <c r="AP28" s="313"/>
      <c r="AQ28" s="313"/>
      <c r="AR28" s="313"/>
      <c r="AS28" s="313"/>
      <c r="AT28" s="313"/>
      <c r="AU28" s="313"/>
      <c r="AV28" s="313"/>
      <c r="AW28" s="313"/>
      <c r="AX28" s="313"/>
      <c r="AY28" s="313"/>
      <c r="AZ28" s="313"/>
      <c r="BA28" s="313"/>
      <c r="BB28" s="313"/>
      <c r="BC28" s="313"/>
      <c r="BD28" s="313"/>
      <c r="BE28" s="313"/>
      <c r="BF28" s="313"/>
    </row>
    <row r="29" s="303" customFormat="1" spans="1:58">
      <c r="A29" s="307"/>
      <c r="B29" s="310" t="s">
        <v>768</v>
      </c>
      <c r="C29" s="310" t="s">
        <v>769</v>
      </c>
      <c r="D29" s="310" t="s">
        <v>770</v>
      </c>
      <c r="E29" s="309" t="s">
        <v>344</v>
      </c>
      <c r="F29" s="138" t="s">
        <v>57</v>
      </c>
      <c r="G29" s="310" t="s">
        <v>419</v>
      </c>
      <c r="H29" s="310" t="s">
        <v>346</v>
      </c>
      <c r="I29" s="312"/>
      <c r="J29" s="313"/>
      <c r="K29" s="313"/>
      <c r="L29" s="313"/>
      <c r="M29" s="313"/>
      <c r="N29" s="313"/>
      <c r="O29" s="313"/>
      <c r="P29" s="313"/>
      <c r="Q29" s="313"/>
      <c r="R29" s="313"/>
      <c r="S29" s="313"/>
      <c r="T29" s="313"/>
      <c r="U29" s="313"/>
      <c r="V29" s="313"/>
      <c r="W29" s="313"/>
      <c r="X29" s="313"/>
      <c r="Y29" s="313"/>
      <c r="Z29" s="313"/>
      <c r="AA29" s="313"/>
      <c r="AB29" s="313"/>
      <c r="AC29" s="313"/>
      <c r="AD29" s="313"/>
      <c r="AE29" s="313"/>
      <c r="AF29" s="313"/>
      <c r="AG29" s="313"/>
      <c r="AH29" s="313"/>
      <c r="AI29" s="313"/>
      <c r="AJ29" s="313"/>
      <c r="AK29" s="313"/>
      <c r="AL29" s="313"/>
      <c r="AM29" s="313"/>
      <c r="AN29" s="313"/>
      <c r="AO29" s="313"/>
      <c r="AP29" s="313"/>
      <c r="AQ29" s="313"/>
      <c r="AR29" s="313"/>
      <c r="AS29" s="313"/>
      <c r="AT29" s="313"/>
      <c r="AU29" s="313"/>
      <c r="AV29" s="313"/>
      <c r="AW29" s="313"/>
      <c r="AX29" s="313"/>
      <c r="AY29" s="313"/>
      <c r="AZ29" s="313"/>
      <c r="BA29" s="313"/>
      <c r="BB29" s="313"/>
      <c r="BC29" s="313"/>
      <c r="BD29" s="313"/>
      <c r="BE29" s="313"/>
      <c r="BF29" s="313"/>
    </row>
    <row r="30" s="303" customFormat="1" ht="22.5" spans="1:58">
      <c r="A30" s="307"/>
      <c r="B30" s="310" t="s">
        <v>771</v>
      </c>
      <c r="C30" s="310" t="s">
        <v>746</v>
      </c>
      <c r="D30" s="310" t="s">
        <v>747</v>
      </c>
      <c r="E30" s="309" t="s">
        <v>344</v>
      </c>
      <c r="F30" s="138" t="s">
        <v>57</v>
      </c>
      <c r="G30" s="310" t="s">
        <v>545</v>
      </c>
      <c r="H30" s="310" t="s">
        <v>748</v>
      </c>
      <c r="I30" s="312"/>
      <c r="J30" s="313"/>
      <c r="K30" s="313"/>
      <c r="L30" s="313"/>
      <c r="M30" s="313"/>
      <c r="N30" s="313"/>
      <c r="O30" s="313"/>
      <c r="P30" s="313"/>
      <c r="Q30" s="313"/>
      <c r="R30" s="313"/>
      <c r="S30" s="313"/>
      <c r="T30" s="313"/>
      <c r="U30" s="313"/>
      <c r="V30" s="313"/>
      <c r="W30" s="313"/>
      <c r="X30" s="313"/>
      <c r="Y30" s="313"/>
      <c r="Z30" s="313"/>
      <c r="AA30" s="313"/>
      <c r="AB30" s="313"/>
      <c r="AC30" s="313"/>
      <c r="AD30" s="313"/>
      <c r="AE30" s="313"/>
      <c r="AF30" s="313"/>
      <c r="AG30" s="313"/>
      <c r="AH30" s="313"/>
      <c r="AI30" s="313"/>
      <c r="AJ30" s="313"/>
      <c r="AK30" s="313"/>
      <c r="AL30" s="313"/>
      <c r="AM30" s="313"/>
      <c r="AN30" s="313"/>
      <c r="AO30" s="313"/>
      <c r="AP30" s="313"/>
      <c r="AQ30" s="313"/>
      <c r="AR30" s="313"/>
      <c r="AS30" s="313"/>
      <c r="AT30" s="313"/>
      <c r="AU30" s="313"/>
      <c r="AV30" s="313"/>
      <c r="AW30" s="313"/>
      <c r="AX30" s="313"/>
      <c r="AY30" s="313"/>
      <c r="AZ30" s="313"/>
      <c r="BA30" s="313"/>
      <c r="BB30" s="313"/>
      <c r="BC30" s="313"/>
      <c r="BD30" s="313"/>
      <c r="BE30" s="313"/>
      <c r="BF30" s="313"/>
    </row>
    <row r="31" s="303" customFormat="1" ht="33.75" spans="1:58">
      <c r="A31" s="307"/>
      <c r="B31" s="310" t="s">
        <v>772</v>
      </c>
      <c r="C31" s="310" t="s">
        <v>713</v>
      </c>
      <c r="D31" s="310" t="s">
        <v>714</v>
      </c>
      <c r="E31" s="309" t="s">
        <v>344</v>
      </c>
      <c r="F31" s="138" t="s">
        <v>57</v>
      </c>
      <c r="G31" s="310" t="s">
        <v>354</v>
      </c>
      <c r="H31" s="310" t="s">
        <v>715</v>
      </c>
      <c r="I31" s="312"/>
      <c r="J31" s="313"/>
      <c r="K31" s="313"/>
      <c r="L31" s="313"/>
      <c r="M31" s="313"/>
      <c r="N31" s="313"/>
      <c r="O31" s="313"/>
      <c r="P31" s="313"/>
      <c r="Q31" s="313"/>
      <c r="R31" s="313"/>
      <c r="S31" s="313"/>
      <c r="T31" s="313"/>
      <c r="U31" s="313"/>
      <c r="V31" s="313"/>
      <c r="W31" s="313"/>
      <c r="X31" s="313"/>
      <c r="Y31" s="313"/>
      <c r="Z31" s="313"/>
      <c r="AA31" s="313"/>
      <c r="AB31" s="313"/>
      <c r="AC31" s="313"/>
      <c r="AD31" s="313"/>
      <c r="AE31" s="313"/>
      <c r="AF31" s="313"/>
      <c r="AG31" s="313"/>
      <c r="AH31" s="313"/>
      <c r="AI31" s="313"/>
      <c r="AJ31" s="313"/>
      <c r="AK31" s="313"/>
      <c r="AL31" s="313"/>
      <c r="AM31" s="313"/>
      <c r="AN31" s="313"/>
      <c r="AO31" s="313"/>
      <c r="AP31" s="313"/>
      <c r="AQ31" s="313"/>
      <c r="AR31" s="313"/>
      <c r="AS31" s="313"/>
      <c r="AT31" s="313"/>
      <c r="AU31" s="313"/>
      <c r="AV31" s="313"/>
      <c r="AW31" s="313"/>
      <c r="AX31" s="313"/>
      <c r="AY31" s="313"/>
      <c r="AZ31" s="313"/>
      <c r="BA31" s="313"/>
      <c r="BB31" s="313"/>
      <c r="BC31" s="313"/>
      <c r="BD31" s="313"/>
      <c r="BE31" s="313"/>
      <c r="BF31" s="313"/>
    </row>
    <row r="32" s="303" customFormat="1" spans="1:58">
      <c r="A32" s="307"/>
      <c r="B32" s="310" t="s">
        <v>773</v>
      </c>
      <c r="C32" s="310" t="s">
        <v>717</v>
      </c>
      <c r="D32" s="310" t="s">
        <v>718</v>
      </c>
      <c r="E32" s="309" t="s">
        <v>344</v>
      </c>
      <c r="F32" s="138" t="s">
        <v>57</v>
      </c>
      <c r="G32" s="310" t="s">
        <v>354</v>
      </c>
      <c r="H32" s="310" t="s">
        <v>346</v>
      </c>
      <c r="I32" s="312"/>
      <c r="J32" s="313"/>
      <c r="K32" s="313"/>
      <c r="L32" s="313"/>
      <c r="M32" s="313"/>
      <c r="N32" s="313"/>
      <c r="O32" s="313"/>
      <c r="P32" s="313"/>
      <c r="Q32" s="313"/>
      <c r="R32" s="313"/>
      <c r="S32" s="313"/>
      <c r="T32" s="313"/>
      <c r="U32" s="313"/>
      <c r="V32" s="313"/>
      <c r="W32" s="313"/>
      <c r="X32" s="313"/>
      <c r="Y32" s="313"/>
      <c r="Z32" s="313"/>
      <c r="AA32" s="313"/>
      <c r="AB32" s="313"/>
      <c r="AC32" s="313"/>
      <c r="AD32" s="313"/>
      <c r="AE32" s="313"/>
      <c r="AF32" s="313"/>
      <c r="AG32" s="313"/>
      <c r="AH32" s="313"/>
      <c r="AI32" s="313"/>
      <c r="AJ32" s="313"/>
      <c r="AK32" s="313"/>
      <c r="AL32" s="313"/>
      <c r="AM32" s="313"/>
      <c r="AN32" s="313"/>
      <c r="AO32" s="313"/>
      <c r="AP32" s="313"/>
      <c r="AQ32" s="313"/>
      <c r="AR32" s="313"/>
      <c r="AS32" s="313"/>
      <c r="AT32" s="313"/>
      <c r="AU32" s="313"/>
      <c r="AV32" s="313"/>
      <c r="AW32" s="313"/>
      <c r="AX32" s="313"/>
      <c r="AY32" s="313"/>
      <c r="AZ32" s="313"/>
      <c r="BA32" s="313"/>
      <c r="BB32" s="313"/>
      <c r="BC32" s="313"/>
      <c r="BD32" s="313"/>
      <c r="BE32" s="313"/>
      <c r="BF32" s="313"/>
    </row>
    <row r="33" s="303" customFormat="1" spans="1:58">
      <c r="A33" s="307"/>
      <c r="B33" s="310" t="s">
        <v>774</v>
      </c>
      <c r="C33" s="310" t="s">
        <v>720</v>
      </c>
      <c r="D33" s="310" t="s">
        <v>721</v>
      </c>
      <c r="E33" s="309" t="s">
        <v>344</v>
      </c>
      <c r="F33" s="138" t="s">
        <v>57</v>
      </c>
      <c r="G33" s="310" t="s">
        <v>722</v>
      </c>
      <c r="H33" s="310" t="s">
        <v>346</v>
      </c>
      <c r="I33" s="312"/>
      <c r="J33" s="313"/>
      <c r="K33" s="313"/>
      <c r="L33" s="313"/>
      <c r="M33" s="313"/>
      <c r="N33" s="313"/>
      <c r="O33" s="313"/>
      <c r="P33" s="313"/>
      <c r="Q33" s="313"/>
      <c r="R33" s="313"/>
      <c r="S33" s="313"/>
      <c r="T33" s="313"/>
      <c r="U33" s="313"/>
      <c r="V33" s="313"/>
      <c r="W33" s="313"/>
      <c r="X33" s="313"/>
      <c r="Y33" s="313"/>
      <c r="Z33" s="313"/>
      <c r="AA33" s="313"/>
      <c r="AB33" s="313"/>
      <c r="AC33" s="313"/>
      <c r="AD33" s="313"/>
      <c r="AE33" s="313"/>
      <c r="AF33" s="313"/>
      <c r="AG33" s="313"/>
      <c r="AH33" s="313"/>
      <c r="AI33" s="313"/>
      <c r="AJ33" s="313"/>
      <c r="AK33" s="313"/>
      <c r="AL33" s="313"/>
      <c r="AM33" s="313"/>
      <c r="AN33" s="313"/>
      <c r="AO33" s="313"/>
      <c r="AP33" s="313"/>
      <c r="AQ33" s="313"/>
      <c r="AR33" s="313"/>
      <c r="AS33" s="313"/>
      <c r="AT33" s="313"/>
      <c r="AU33" s="313"/>
      <c r="AV33" s="313"/>
      <c r="AW33" s="313"/>
      <c r="AX33" s="313"/>
      <c r="AY33" s="313"/>
      <c r="AZ33" s="313"/>
      <c r="BA33" s="313"/>
      <c r="BB33" s="313"/>
      <c r="BC33" s="313"/>
      <c r="BD33" s="313"/>
      <c r="BE33" s="313"/>
      <c r="BF33" s="313"/>
    </row>
    <row r="34" s="303" customFormat="1" ht="33.75" spans="1:58">
      <c r="A34" s="307"/>
      <c r="B34" s="310" t="s">
        <v>775</v>
      </c>
      <c r="C34" s="310" t="s">
        <v>724</v>
      </c>
      <c r="D34" s="310" t="s">
        <v>776</v>
      </c>
      <c r="E34" s="309" t="s">
        <v>344</v>
      </c>
      <c r="F34" s="138" t="s">
        <v>57</v>
      </c>
      <c r="G34" s="310" t="s">
        <v>419</v>
      </c>
      <c r="H34" s="310" t="s">
        <v>726</v>
      </c>
      <c r="I34" s="312"/>
      <c r="J34" s="313"/>
      <c r="K34" s="313"/>
      <c r="L34" s="313"/>
      <c r="M34" s="313"/>
      <c r="N34" s="313"/>
      <c r="O34" s="313"/>
      <c r="P34" s="313"/>
      <c r="Q34" s="313"/>
      <c r="R34" s="313"/>
      <c r="S34" s="313"/>
      <c r="T34" s="313"/>
      <c r="U34" s="313"/>
      <c r="V34" s="313"/>
      <c r="W34" s="313"/>
      <c r="X34" s="313"/>
      <c r="Y34" s="313"/>
      <c r="Z34" s="313"/>
      <c r="AA34" s="313"/>
      <c r="AB34" s="313"/>
      <c r="AC34" s="313"/>
      <c r="AD34" s="313"/>
      <c r="AE34" s="313"/>
      <c r="AF34" s="313"/>
      <c r="AG34" s="313"/>
      <c r="AH34" s="313"/>
      <c r="AI34" s="313"/>
      <c r="AJ34" s="313"/>
      <c r="AK34" s="313"/>
      <c r="AL34" s="313"/>
      <c r="AM34" s="313"/>
      <c r="AN34" s="313"/>
      <c r="AO34" s="313"/>
      <c r="AP34" s="313"/>
      <c r="AQ34" s="313"/>
      <c r="AR34" s="313"/>
      <c r="AS34" s="313"/>
      <c r="AT34" s="313"/>
      <c r="AU34" s="313"/>
      <c r="AV34" s="313"/>
      <c r="AW34" s="313"/>
      <c r="AX34" s="313"/>
      <c r="AY34" s="313"/>
      <c r="AZ34" s="313"/>
      <c r="BA34" s="313"/>
      <c r="BB34" s="313"/>
      <c r="BC34" s="313"/>
      <c r="BD34" s="313"/>
      <c r="BE34" s="313"/>
      <c r="BF34" s="313"/>
    </row>
    <row r="35" s="303" customFormat="1" spans="1:58">
      <c r="A35" s="307"/>
      <c r="B35" s="310" t="s">
        <v>777</v>
      </c>
      <c r="C35" s="310" t="s">
        <v>755</v>
      </c>
      <c r="D35" s="310" t="s">
        <v>756</v>
      </c>
      <c r="E35" s="309" t="s">
        <v>344</v>
      </c>
      <c r="F35" s="138" t="s">
        <v>57</v>
      </c>
      <c r="G35" s="310" t="s">
        <v>567</v>
      </c>
      <c r="H35" s="310" t="s">
        <v>757</v>
      </c>
      <c r="I35" s="312"/>
      <c r="J35" s="313"/>
      <c r="K35" s="313"/>
      <c r="L35" s="313"/>
      <c r="M35" s="313"/>
      <c r="N35" s="313"/>
      <c r="O35" s="313"/>
      <c r="P35" s="313"/>
      <c r="Q35" s="313"/>
      <c r="R35" s="313"/>
      <c r="S35" s="313"/>
      <c r="T35" s="313"/>
      <c r="U35" s="313"/>
      <c r="V35" s="313"/>
      <c r="W35" s="313"/>
      <c r="X35" s="313"/>
      <c r="Y35" s="313"/>
      <c r="Z35" s="313"/>
      <c r="AA35" s="313"/>
      <c r="AB35" s="313"/>
      <c r="AC35" s="313"/>
      <c r="AD35" s="313"/>
      <c r="AE35" s="313"/>
      <c r="AF35" s="313"/>
      <c r="AG35" s="313"/>
      <c r="AH35" s="313"/>
      <c r="AI35" s="313"/>
      <c r="AJ35" s="313"/>
      <c r="AK35" s="313"/>
      <c r="AL35" s="313"/>
      <c r="AM35" s="313"/>
      <c r="AN35" s="313"/>
      <c r="AO35" s="313"/>
      <c r="AP35" s="313"/>
      <c r="AQ35" s="313"/>
      <c r="AR35" s="313"/>
      <c r="AS35" s="313"/>
      <c r="AT35" s="313"/>
      <c r="AU35" s="313"/>
      <c r="AV35" s="313"/>
      <c r="AW35" s="313"/>
      <c r="AX35" s="313"/>
      <c r="AY35" s="313"/>
      <c r="AZ35" s="313"/>
      <c r="BA35" s="313"/>
      <c r="BB35" s="313"/>
      <c r="BC35" s="313"/>
      <c r="BD35" s="313"/>
      <c r="BE35" s="313"/>
      <c r="BF35" s="313"/>
    </row>
    <row r="36" s="303" customFormat="1" ht="33.75" spans="1:58">
      <c r="A36" s="307"/>
      <c r="B36" s="310" t="s">
        <v>778</v>
      </c>
      <c r="C36" s="310" t="s">
        <v>759</v>
      </c>
      <c r="D36" s="310" t="s">
        <v>760</v>
      </c>
      <c r="E36" s="309" t="s">
        <v>344</v>
      </c>
      <c r="F36" s="138" t="s">
        <v>57</v>
      </c>
      <c r="G36" s="310" t="s">
        <v>567</v>
      </c>
      <c r="H36" s="310" t="s">
        <v>779</v>
      </c>
      <c r="I36" s="312"/>
      <c r="J36" s="313"/>
      <c r="K36" s="313"/>
      <c r="L36" s="313"/>
      <c r="M36" s="313"/>
      <c r="N36" s="313"/>
      <c r="O36" s="313"/>
      <c r="P36" s="313"/>
      <c r="Q36" s="313"/>
      <c r="R36" s="313"/>
      <c r="S36" s="313"/>
      <c r="T36" s="313"/>
      <c r="U36" s="313"/>
      <c r="V36" s="313"/>
      <c r="W36" s="313"/>
      <c r="X36" s="313"/>
      <c r="Y36" s="313"/>
      <c r="Z36" s="313"/>
      <c r="AA36" s="313"/>
      <c r="AB36" s="313"/>
      <c r="AC36" s="313"/>
      <c r="AD36" s="313"/>
      <c r="AE36" s="313"/>
      <c r="AF36" s="313"/>
      <c r="AG36" s="313"/>
      <c r="AH36" s="313"/>
      <c r="AI36" s="313"/>
      <c r="AJ36" s="313"/>
      <c r="AK36" s="313"/>
      <c r="AL36" s="313"/>
      <c r="AM36" s="313"/>
      <c r="AN36" s="313"/>
      <c r="AO36" s="313"/>
      <c r="AP36" s="313"/>
      <c r="AQ36" s="313"/>
      <c r="AR36" s="313"/>
      <c r="AS36" s="313"/>
      <c r="AT36" s="313"/>
      <c r="AU36" s="313"/>
      <c r="AV36" s="313"/>
      <c r="AW36" s="313"/>
      <c r="AX36" s="313"/>
      <c r="AY36" s="313"/>
      <c r="AZ36" s="313"/>
      <c r="BA36" s="313"/>
      <c r="BB36" s="313"/>
      <c r="BC36" s="313"/>
      <c r="BD36" s="313"/>
      <c r="BE36" s="313"/>
      <c r="BF36" s="313"/>
    </row>
    <row r="37" s="303" customFormat="1" spans="1:303">
      <c r="A37" s="307"/>
      <c r="B37" s="310" t="s">
        <v>780</v>
      </c>
      <c r="C37" s="310" t="s">
        <v>356</v>
      </c>
      <c r="D37" s="310" t="s">
        <v>735</v>
      </c>
      <c r="E37" s="309" t="s">
        <v>344</v>
      </c>
      <c r="F37" s="138" t="s">
        <v>57</v>
      </c>
      <c r="G37" s="310" t="s">
        <v>354</v>
      </c>
      <c r="H37" s="310" t="s">
        <v>346</v>
      </c>
      <c r="I37" s="312"/>
      <c r="J37" s="313"/>
      <c r="K37" s="313"/>
      <c r="L37" s="313"/>
      <c r="M37" s="313"/>
      <c r="N37" s="313"/>
      <c r="O37" s="313"/>
      <c r="P37" s="313"/>
      <c r="Q37" s="313"/>
      <c r="R37" s="313"/>
      <c r="S37" s="313"/>
      <c r="T37" s="313"/>
      <c r="U37" s="313"/>
      <c r="V37" s="313"/>
      <c r="W37" s="313"/>
      <c r="X37" s="313"/>
      <c r="Y37" s="313"/>
      <c r="Z37" s="313"/>
      <c r="AA37" s="313"/>
      <c r="AB37" s="313"/>
      <c r="AC37" s="313"/>
      <c r="AD37" s="313"/>
      <c r="AE37" s="313"/>
      <c r="AF37" s="313"/>
      <c r="AG37" s="313"/>
      <c r="AH37" s="313"/>
      <c r="AI37" s="313"/>
      <c r="AJ37" s="313"/>
      <c r="AK37" s="313"/>
      <c r="AL37" s="313"/>
      <c r="AM37" s="313"/>
      <c r="AN37" s="313"/>
      <c r="AO37" s="313"/>
      <c r="AP37" s="313"/>
      <c r="AQ37" s="313"/>
      <c r="AR37" s="313"/>
      <c r="AS37" s="313"/>
      <c r="AT37" s="313"/>
      <c r="AU37" s="313"/>
      <c r="AV37" s="313"/>
      <c r="AW37" s="313"/>
      <c r="AX37" s="313"/>
      <c r="AY37" s="313"/>
      <c r="AZ37" s="313"/>
      <c r="BA37" s="313"/>
      <c r="BB37" s="313"/>
      <c r="BC37" s="313"/>
      <c r="BD37" s="313"/>
      <c r="BE37" s="313"/>
      <c r="BF37" s="313"/>
      <c r="BG37" s="313"/>
      <c r="BH37" s="313"/>
      <c r="BI37" s="313"/>
      <c r="BJ37" s="313"/>
      <c r="BK37" s="313"/>
      <c r="BL37" s="313"/>
      <c r="BM37" s="313"/>
      <c r="BN37" s="313"/>
      <c r="BO37" s="313"/>
      <c r="BP37" s="313"/>
      <c r="BQ37" s="313"/>
      <c r="BR37" s="313"/>
      <c r="BS37" s="313"/>
      <c r="BT37" s="313"/>
      <c r="BU37" s="313"/>
      <c r="BV37" s="313"/>
      <c r="BW37" s="313"/>
      <c r="BX37" s="313"/>
      <c r="BY37" s="313"/>
      <c r="BZ37" s="313"/>
      <c r="CA37" s="313"/>
      <c r="CB37" s="313"/>
      <c r="CC37" s="313"/>
      <c r="CD37" s="313"/>
      <c r="CE37" s="313"/>
      <c r="CF37" s="313"/>
      <c r="CG37" s="313"/>
      <c r="CH37" s="313"/>
      <c r="CI37" s="313"/>
      <c r="CJ37" s="313"/>
      <c r="CK37" s="313"/>
      <c r="CL37" s="313"/>
      <c r="CM37" s="313"/>
      <c r="CN37" s="313"/>
      <c r="CO37" s="313"/>
      <c r="CP37" s="313"/>
      <c r="CQ37" s="313"/>
      <c r="CR37" s="313"/>
      <c r="CS37" s="313"/>
      <c r="CT37" s="313"/>
      <c r="CU37" s="313"/>
      <c r="CV37" s="313"/>
      <c r="CW37" s="313"/>
      <c r="CX37" s="313"/>
      <c r="CY37" s="313"/>
      <c r="CZ37" s="313"/>
      <c r="DA37" s="313"/>
      <c r="DB37" s="313"/>
      <c r="DC37" s="313"/>
      <c r="DD37" s="313"/>
      <c r="DE37" s="313"/>
      <c r="DF37" s="313"/>
      <c r="DG37" s="313"/>
      <c r="DH37" s="313"/>
      <c r="DI37" s="313"/>
      <c r="DJ37" s="313"/>
      <c r="DK37" s="313"/>
      <c r="DL37" s="313"/>
      <c r="DM37" s="313"/>
      <c r="DN37" s="313"/>
      <c r="DO37" s="313"/>
      <c r="DP37" s="313"/>
      <c r="DQ37" s="313"/>
      <c r="DR37" s="313"/>
      <c r="DS37" s="313"/>
      <c r="DT37" s="313"/>
      <c r="DU37" s="313"/>
      <c r="DV37" s="313"/>
      <c r="DW37" s="313"/>
      <c r="DX37" s="313"/>
      <c r="DY37" s="313"/>
      <c r="DZ37" s="313"/>
      <c r="EA37" s="313"/>
      <c r="EB37" s="313"/>
      <c r="EC37" s="313"/>
      <c r="ED37" s="313"/>
      <c r="EE37" s="313"/>
      <c r="EF37" s="313"/>
      <c r="EG37" s="313"/>
      <c r="EH37" s="313"/>
      <c r="EI37" s="313"/>
      <c r="EJ37" s="313"/>
      <c r="EK37" s="313"/>
      <c r="EL37" s="313"/>
      <c r="EM37" s="313"/>
      <c r="EN37" s="313"/>
      <c r="EO37" s="313"/>
      <c r="EP37" s="313"/>
      <c r="EQ37" s="313"/>
      <c r="ER37" s="313"/>
      <c r="ES37" s="313"/>
      <c r="ET37" s="313"/>
      <c r="EU37" s="313"/>
      <c r="EV37" s="313"/>
      <c r="EW37" s="313"/>
      <c r="EX37" s="313"/>
      <c r="EY37" s="313"/>
      <c r="EZ37" s="313"/>
      <c r="FA37" s="313"/>
      <c r="FB37" s="313"/>
      <c r="FC37" s="313"/>
      <c r="FD37" s="313"/>
      <c r="FE37" s="313"/>
      <c r="FF37" s="313"/>
      <c r="FG37" s="313"/>
      <c r="FH37" s="313"/>
      <c r="FI37" s="313"/>
      <c r="FJ37" s="313"/>
      <c r="FK37" s="313"/>
      <c r="FL37" s="313"/>
      <c r="FM37" s="313"/>
      <c r="FN37" s="313"/>
      <c r="FO37" s="313"/>
      <c r="FP37" s="313"/>
      <c r="FQ37" s="313"/>
      <c r="FR37" s="313"/>
      <c r="FS37" s="313"/>
      <c r="FT37" s="313"/>
      <c r="FU37" s="313"/>
      <c r="FV37" s="313"/>
      <c r="FW37" s="313"/>
      <c r="FX37" s="313"/>
      <c r="FY37" s="313"/>
      <c r="FZ37" s="313"/>
      <c r="GA37" s="313"/>
      <c r="GB37" s="313"/>
      <c r="GC37" s="313"/>
      <c r="GD37" s="313"/>
      <c r="GE37" s="313"/>
      <c r="GF37" s="313"/>
      <c r="GG37" s="313"/>
      <c r="GH37" s="313"/>
      <c r="GI37" s="313"/>
      <c r="GJ37" s="313"/>
      <c r="GK37" s="313"/>
      <c r="GL37" s="313"/>
      <c r="GM37" s="313"/>
      <c r="GN37" s="313"/>
      <c r="GO37" s="313"/>
      <c r="GP37" s="313"/>
      <c r="GQ37" s="313"/>
      <c r="GR37" s="313"/>
      <c r="GS37" s="313"/>
      <c r="GT37" s="313"/>
      <c r="GU37" s="313"/>
      <c r="GV37" s="313"/>
      <c r="GW37" s="313"/>
      <c r="GX37" s="313"/>
      <c r="GY37" s="313"/>
      <c r="GZ37" s="313"/>
      <c r="HA37" s="313"/>
      <c r="HB37" s="313"/>
      <c r="HC37" s="313"/>
      <c r="HD37" s="313"/>
      <c r="HE37" s="313"/>
      <c r="HF37" s="313"/>
      <c r="HG37" s="313"/>
      <c r="HH37" s="313"/>
      <c r="HI37" s="313"/>
      <c r="HJ37" s="313"/>
      <c r="HK37" s="313"/>
      <c r="HL37" s="313"/>
      <c r="HM37" s="313"/>
      <c r="HN37" s="313"/>
      <c r="HO37" s="313"/>
      <c r="HP37" s="313"/>
      <c r="HQ37" s="313"/>
      <c r="HR37" s="313"/>
      <c r="HS37" s="313"/>
      <c r="HT37" s="313"/>
      <c r="HU37" s="313"/>
      <c r="HV37" s="313"/>
      <c r="HW37" s="313"/>
      <c r="HX37" s="313"/>
      <c r="HY37" s="313"/>
      <c r="HZ37" s="313"/>
      <c r="IA37" s="313"/>
      <c r="IB37" s="313"/>
      <c r="IC37" s="313"/>
      <c r="ID37" s="313"/>
      <c r="IE37" s="313"/>
      <c r="IF37" s="313"/>
      <c r="IG37" s="313"/>
      <c r="IH37" s="313"/>
      <c r="II37" s="313"/>
      <c r="IJ37" s="313"/>
      <c r="IK37" s="313"/>
      <c r="IL37" s="313"/>
      <c r="IM37" s="313"/>
      <c r="IN37" s="313"/>
      <c r="IO37" s="313"/>
      <c r="IP37" s="313"/>
      <c r="IQ37" s="313"/>
      <c r="IR37" s="313"/>
      <c r="IS37" s="313"/>
      <c r="IT37" s="313"/>
      <c r="IU37" s="313"/>
      <c r="IV37" s="313"/>
      <c r="IW37" s="313"/>
      <c r="IX37" s="313"/>
      <c r="IY37" s="313"/>
      <c r="IZ37" s="313"/>
      <c r="JA37" s="313"/>
      <c r="JB37" s="313"/>
      <c r="JC37" s="313"/>
      <c r="JD37" s="313"/>
      <c r="JE37" s="313"/>
      <c r="JF37" s="313"/>
      <c r="JG37" s="313"/>
      <c r="JH37" s="313"/>
      <c r="JI37" s="313"/>
      <c r="JJ37" s="313"/>
      <c r="JK37" s="313"/>
      <c r="JL37" s="313"/>
      <c r="JM37" s="313"/>
      <c r="JN37" s="313"/>
      <c r="JO37" s="313"/>
      <c r="JP37" s="313"/>
      <c r="JQ37" s="313"/>
      <c r="JR37" s="313"/>
      <c r="JS37" s="313"/>
      <c r="JT37" s="313"/>
      <c r="JU37" s="313"/>
      <c r="JV37" s="313"/>
      <c r="JW37" s="313"/>
      <c r="JX37" s="313"/>
      <c r="JY37" s="313"/>
      <c r="JZ37" s="313"/>
      <c r="KA37" s="313"/>
      <c r="KB37" s="313"/>
      <c r="KC37" s="313"/>
      <c r="KD37" s="313"/>
      <c r="KE37" s="313"/>
      <c r="KF37" s="313"/>
      <c r="KG37" s="313"/>
      <c r="KH37" s="313"/>
      <c r="KI37" s="313"/>
      <c r="KJ37" s="313"/>
      <c r="KK37" s="313"/>
      <c r="KL37" s="313"/>
      <c r="KM37" s="313"/>
      <c r="KN37" s="313"/>
      <c r="KO37" s="313"/>
      <c r="KP37" s="313"/>
      <c r="KQ37" s="313"/>
    </row>
    <row r="38" s="303" customFormat="1" spans="1:303">
      <c r="A38" s="307"/>
      <c r="B38" s="310" t="s">
        <v>781</v>
      </c>
      <c r="C38" s="310" t="s">
        <v>737</v>
      </c>
      <c r="D38" s="310" t="s">
        <v>738</v>
      </c>
      <c r="E38" s="309" t="s">
        <v>344</v>
      </c>
      <c r="F38" s="138" t="s">
        <v>57</v>
      </c>
      <c r="G38" s="310" t="s">
        <v>354</v>
      </c>
      <c r="H38" s="310" t="s">
        <v>346</v>
      </c>
      <c r="I38" s="312"/>
      <c r="J38" s="313"/>
      <c r="K38" s="313"/>
      <c r="L38" s="313"/>
      <c r="M38" s="313"/>
      <c r="N38" s="313"/>
      <c r="O38" s="313"/>
      <c r="P38" s="313"/>
      <c r="Q38" s="313"/>
      <c r="R38" s="313"/>
      <c r="S38" s="313"/>
      <c r="T38" s="313"/>
      <c r="U38" s="313"/>
      <c r="V38" s="313"/>
      <c r="W38" s="313"/>
      <c r="X38" s="313"/>
      <c r="Y38" s="313"/>
      <c r="Z38" s="313"/>
      <c r="AA38" s="313"/>
      <c r="AB38" s="313"/>
      <c r="AC38" s="313"/>
      <c r="AD38" s="313"/>
      <c r="AE38" s="313"/>
      <c r="AF38" s="313"/>
      <c r="AG38" s="313"/>
      <c r="AH38" s="313"/>
      <c r="AI38" s="313"/>
      <c r="AJ38" s="313"/>
      <c r="AK38" s="313"/>
      <c r="AL38" s="313"/>
      <c r="AM38" s="313"/>
      <c r="AN38" s="313"/>
      <c r="AO38" s="313"/>
      <c r="AP38" s="313"/>
      <c r="AQ38" s="313"/>
      <c r="AR38" s="313"/>
      <c r="AS38" s="313"/>
      <c r="AT38" s="313"/>
      <c r="AU38" s="313"/>
      <c r="AV38" s="313"/>
      <c r="AW38" s="313"/>
      <c r="AX38" s="313"/>
      <c r="AY38" s="313"/>
      <c r="AZ38" s="313"/>
      <c r="BA38" s="313"/>
      <c r="BB38" s="313"/>
      <c r="BC38" s="313"/>
      <c r="BD38" s="313"/>
      <c r="BE38" s="313"/>
      <c r="BF38" s="313"/>
      <c r="BG38" s="313"/>
      <c r="BH38" s="313"/>
      <c r="BI38" s="313"/>
      <c r="BJ38" s="313"/>
      <c r="BK38" s="313"/>
      <c r="BL38" s="313"/>
      <c r="BM38" s="313"/>
      <c r="BN38" s="313"/>
      <c r="BO38" s="313"/>
      <c r="BP38" s="313"/>
      <c r="BQ38" s="313"/>
      <c r="BR38" s="313"/>
      <c r="BS38" s="313"/>
      <c r="BT38" s="313"/>
      <c r="BU38" s="313"/>
      <c r="BV38" s="313"/>
      <c r="BW38" s="313"/>
      <c r="BX38" s="313"/>
      <c r="BY38" s="313"/>
      <c r="BZ38" s="313"/>
      <c r="CA38" s="313"/>
      <c r="CB38" s="313"/>
      <c r="CC38" s="313"/>
      <c r="CD38" s="313"/>
      <c r="CE38" s="313"/>
      <c r="CF38" s="313"/>
      <c r="CG38" s="313"/>
      <c r="CH38" s="313"/>
      <c r="CI38" s="313"/>
      <c r="CJ38" s="313"/>
      <c r="CK38" s="313"/>
      <c r="CL38" s="313"/>
      <c r="CM38" s="313"/>
      <c r="CN38" s="313"/>
      <c r="CO38" s="313"/>
      <c r="CP38" s="313"/>
      <c r="CQ38" s="313"/>
      <c r="CR38" s="313"/>
      <c r="CS38" s="313"/>
      <c r="CT38" s="313"/>
      <c r="CU38" s="313"/>
      <c r="CV38" s="313"/>
      <c r="CW38" s="313"/>
      <c r="CX38" s="313"/>
      <c r="CY38" s="313"/>
      <c r="CZ38" s="313"/>
      <c r="DA38" s="313"/>
      <c r="DB38" s="313"/>
      <c r="DC38" s="313"/>
      <c r="DD38" s="313"/>
      <c r="DE38" s="313"/>
      <c r="DF38" s="313"/>
      <c r="DG38" s="313"/>
      <c r="DH38" s="313"/>
      <c r="DI38" s="313"/>
      <c r="DJ38" s="313"/>
      <c r="DK38" s="313"/>
      <c r="DL38" s="313"/>
      <c r="DM38" s="313"/>
      <c r="DN38" s="313"/>
      <c r="DO38" s="313"/>
      <c r="DP38" s="313"/>
      <c r="DQ38" s="313"/>
      <c r="DR38" s="313"/>
      <c r="DS38" s="313"/>
      <c r="DT38" s="313"/>
      <c r="DU38" s="313"/>
      <c r="DV38" s="313"/>
      <c r="DW38" s="313"/>
      <c r="DX38" s="313"/>
      <c r="DY38" s="313"/>
      <c r="DZ38" s="313"/>
      <c r="EA38" s="313"/>
      <c r="EB38" s="313"/>
      <c r="EC38" s="313"/>
      <c r="ED38" s="313"/>
      <c r="EE38" s="313"/>
      <c r="EF38" s="313"/>
      <c r="EG38" s="313"/>
      <c r="EH38" s="313"/>
      <c r="EI38" s="313"/>
      <c r="EJ38" s="313"/>
      <c r="EK38" s="313"/>
      <c r="EL38" s="313"/>
      <c r="EM38" s="313"/>
      <c r="EN38" s="313"/>
      <c r="EO38" s="313"/>
      <c r="EP38" s="313"/>
      <c r="EQ38" s="313"/>
      <c r="ER38" s="313"/>
      <c r="ES38" s="313"/>
      <c r="ET38" s="313"/>
      <c r="EU38" s="313"/>
      <c r="EV38" s="313"/>
      <c r="EW38" s="313"/>
      <c r="EX38" s="313"/>
      <c r="EY38" s="313"/>
      <c r="EZ38" s="313"/>
      <c r="FA38" s="313"/>
      <c r="FB38" s="313"/>
      <c r="FC38" s="313"/>
      <c r="FD38" s="313"/>
      <c r="FE38" s="313"/>
      <c r="FF38" s="313"/>
      <c r="FG38" s="313"/>
      <c r="FH38" s="313"/>
      <c r="FI38" s="313"/>
      <c r="FJ38" s="313"/>
      <c r="FK38" s="313"/>
      <c r="FL38" s="313"/>
      <c r="FM38" s="313"/>
      <c r="FN38" s="313"/>
      <c r="FO38" s="313"/>
      <c r="FP38" s="313"/>
      <c r="FQ38" s="313"/>
      <c r="FR38" s="313"/>
      <c r="FS38" s="313"/>
      <c r="FT38" s="313"/>
      <c r="FU38" s="313"/>
      <c r="FV38" s="313"/>
      <c r="FW38" s="313"/>
      <c r="FX38" s="313"/>
      <c r="FY38" s="313"/>
      <c r="FZ38" s="313"/>
      <c r="GA38" s="313"/>
      <c r="GB38" s="313"/>
      <c r="GC38" s="313"/>
      <c r="GD38" s="313"/>
      <c r="GE38" s="313"/>
      <c r="GF38" s="313"/>
      <c r="GG38" s="313"/>
      <c r="GH38" s="313"/>
      <c r="GI38" s="313"/>
      <c r="GJ38" s="313"/>
      <c r="GK38" s="313"/>
      <c r="GL38" s="313"/>
      <c r="GM38" s="313"/>
      <c r="GN38" s="313"/>
      <c r="GO38" s="313"/>
      <c r="GP38" s="313"/>
      <c r="GQ38" s="313"/>
      <c r="GR38" s="313"/>
      <c r="GS38" s="313"/>
      <c r="GT38" s="313"/>
      <c r="GU38" s="313"/>
      <c r="GV38" s="313"/>
      <c r="GW38" s="313"/>
      <c r="GX38" s="313"/>
      <c r="GY38" s="313"/>
      <c r="GZ38" s="313"/>
      <c r="HA38" s="313"/>
      <c r="HB38" s="313"/>
      <c r="HC38" s="313"/>
      <c r="HD38" s="313"/>
      <c r="HE38" s="313"/>
      <c r="HF38" s="313"/>
      <c r="HG38" s="313"/>
      <c r="HH38" s="313"/>
      <c r="HI38" s="313"/>
      <c r="HJ38" s="313"/>
      <c r="HK38" s="313"/>
      <c r="HL38" s="313"/>
      <c r="HM38" s="313"/>
      <c r="HN38" s="313"/>
      <c r="HO38" s="313"/>
      <c r="HP38" s="313"/>
      <c r="HQ38" s="313"/>
      <c r="HR38" s="313"/>
      <c r="HS38" s="313"/>
      <c r="HT38" s="313"/>
      <c r="HU38" s="313"/>
      <c r="HV38" s="313"/>
      <c r="HW38" s="313"/>
      <c r="HX38" s="313"/>
      <c r="HY38" s="313"/>
      <c r="HZ38" s="313"/>
      <c r="IA38" s="313"/>
      <c r="IB38" s="313"/>
      <c r="IC38" s="313"/>
      <c r="ID38" s="313"/>
      <c r="IE38" s="313"/>
      <c r="IF38" s="313"/>
      <c r="IG38" s="313"/>
      <c r="IH38" s="313"/>
      <c r="II38" s="313"/>
      <c r="IJ38" s="313"/>
      <c r="IK38" s="313"/>
      <c r="IL38" s="313"/>
      <c r="IM38" s="313"/>
      <c r="IN38" s="313"/>
      <c r="IO38" s="313"/>
      <c r="IP38" s="313"/>
      <c r="IQ38" s="313"/>
      <c r="IR38" s="313"/>
      <c r="IS38" s="313"/>
      <c r="IT38" s="313"/>
      <c r="IU38" s="313"/>
      <c r="IV38" s="313"/>
      <c r="IW38" s="313"/>
      <c r="IX38" s="313"/>
      <c r="IY38" s="313"/>
      <c r="IZ38" s="313"/>
      <c r="JA38" s="313"/>
      <c r="JB38" s="313"/>
      <c r="JC38" s="313"/>
      <c r="JD38" s="313"/>
      <c r="JE38" s="313"/>
      <c r="JF38" s="313"/>
      <c r="JG38" s="313"/>
      <c r="JH38" s="313"/>
      <c r="JI38" s="313"/>
      <c r="JJ38" s="313"/>
      <c r="JK38" s="313"/>
      <c r="JL38" s="313"/>
      <c r="JM38" s="313"/>
      <c r="JN38" s="313"/>
      <c r="JO38" s="313"/>
      <c r="JP38" s="313"/>
      <c r="JQ38" s="313"/>
      <c r="JR38" s="313"/>
      <c r="JS38" s="313"/>
      <c r="JT38" s="313"/>
      <c r="JU38" s="313"/>
      <c r="JV38" s="313"/>
      <c r="JW38" s="313"/>
      <c r="JX38" s="313"/>
      <c r="JY38" s="313"/>
      <c r="JZ38" s="313"/>
      <c r="KA38" s="313"/>
      <c r="KB38" s="313"/>
      <c r="KC38" s="313"/>
      <c r="KD38" s="313"/>
      <c r="KE38" s="313"/>
      <c r="KF38" s="313"/>
      <c r="KG38" s="313"/>
      <c r="KH38" s="313"/>
      <c r="KI38" s="313"/>
      <c r="KJ38" s="313"/>
      <c r="KK38" s="313"/>
      <c r="KL38" s="313"/>
      <c r="KM38" s="313"/>
      <c r="KN38" s="313"/>
      <c r="KO38" s="313"/>
      <c r="KP38" s="313"/>
      <c r="KQ38" s="313"/>
    </row>
    <row r="39" s="303" customFormat="1" ht="33.75" spans="1:58">
      <c r="A39" s="307"/>
      <c r="B39" s="310" t="s">
        <v>782</v>
      </c>
      <c r="C39" s="310" t="s">
        <v>765</v>
      </c>
      <c r="D39" s="310" t="s">
        <v>766</v>
      </c>
      <c r="E39" s="309" t="s">
        <v>344</v>
      </c>
      <c r="F39" s="138" t="s">
        <v>57</v>
      </c>
      <c r="G39" s="310" t="s">
        <v>397</v>
      </c>
      <c r="H39" s="310" t="s">
        <v>398</v>
      </c>
      <c r="I39" s="312"/>
      <c r="J39" s="313"/>
      <c r="K39" s="313"/>
      <c r="L39" s="313"/>
      <c r="M39" s="313"/>
      <c r="N39" s="313"/>
      <c r="O39" s="313"/>
      <c r="P39" s="313"/>
      <c r="Q39" s="313"/>
      <c r="R39" s="313"/>
      <c r="S39" s="313"/>
      <c r="T39" s="313"/>
      <c r="U39" s="313"/>
      <c r="V39" s="313"/>
      <c r="W39" s="313"/>
      <c r="X39" s="313"/>
      <c r="Y39" s="313"/>
      <c r="Z39" s="313"/>
      <c r="AA39" s="313"/>
      <c r="AB39" s="313"/>
      <c r="AC39" s="313"/>
      <c r="AD39" s="313"/>
      <c r="AE39" s="313"/>
      <c r="AF39" s="313"/>
      <c r="AG39" s="313"/>
      <c r="AH39" s="313"/>
      <c r="AI39" s="313"/>
      <c r="AJ39" s="313"/>
      <c r="AK39" s="313"/>
      <c r="AL39" s="313"/>
      <c r="AM39" s="313"/>
      <c r="AN39" s="313"/>
      <c r="AO39" s="313"/>
      <c r="AP39" s="313"/>
      <c r="AQ39" s="313"/>
      <c r="AR39" s="313"/>
      <c r="AS39" s="313"/>
      <c r="AT39" s="313"/>
      <c r="AU39" s="313"/>
      <c r="AV39" s="313"/>
      <c r="AW39" s="313"/>
      <c r="AX39" s="313"/>
      <c r="AY39" s="313"/>
      <c r="AZ39" s="313"/>
      <c r="BA39" s="313"/>
      <c r="BB39" s="313"/>
      <c r="BC39" s="313"/>
      <c r="BD39" s="313"/>
      <c r="BE39" s="313"/>
      <c r="BF39" s="313"/>
    </row>
    <row r="40" s="303" customFormat="1" spans="1:58">
      <c r="A40" s="307"/>
      <c r="B40" s="310" t="s">
        <v>783</v>
      </c>
      <c r="C40" s="310" t="s">
        <v>732</v>
      </c>
      <c r="D40" s="310" t="s">
        <v>733</v>
      </c>
      <c r="E40" s="309" t="s">
        <v>344</v>
      </c>
      <c r="F40" s="138" t="s">
        <v>57</v>
      </c>
      <c r="G40" s="310" t="s">
        <v>354</v>
      </c>
      <c r="H40" s="310" t="s">
        <v>346</v>
      </c>
      <c r="I40" s="312"/>
      <c r="J40" s="313"/>
      <c r="K40" s="313"/>
      <c r="L40" s="313"/>
      <c r="M40" s="313"/>
      <c r="N40" s="313"/>
      <c r="O40" s="313"/>
      <c r="P40" s="313"/>
      <c r="Q40" s="313"/>
      <c r="R40" s="313"/>
      <c r="S40" s="313"/>
      <c r="T40" s="313"/>
      <c r="U40" s="313"/>
      <c r="V40" s="313"/>
      <c r="W40" s="313"/>
      <c r="X40" s="313"/>
      <c r="Y40" s="313"/>
      <c r="Z40" s="313"/>
      <c r="AA40" s="313"/>
      <c r="AB40" s="313"/>
      <c r="AC40" s="313"/>
      <c r="AD40" s="313"/>
      <c r="AE40" s="313"/>
      <c r="AF40" s="313"/>
      <c r="AG40" s="313"/>
      <c r="AH40" s="313"/>
      <c r="AI40" s="313"/>
      <c r="AJ40" s="313"/>
      <c r="AK40" s="313"/>
      <c r="AL40" s="313"/>
      <c r="AM40" s="313"/>
      <c r="AN40" s="313"/>
      <c r="AO40" s="313"/>
      <c r="AP40" s="313"/>
      <c r="AQ40" s="313"/>
      <c r="AR40" s="313"/>
      <c r="AS40" s="313"/>
      <c r="AT40" s="313"/>
      <c r="AU40" s="313"/>
      <c r="AV40" s="313"/>
      <c r="AW40" s="313"/>
      <c r="AX40" s="313"/>
      <c r="AY40" s="313"/>
      <c r="AZ40" s="313"/>
      <c r="BA40" s="313"/>
      <c r="BB40" s="313"/>
      <c r="BC40" s="313"/>
      <c r="BD40" s="313"/>
      <c r="BE40" s="313"/>
      <c r="BF40" s="313"/>
    </row>
    <row r="41" s="303" customFormat="1" spans="1:58">
      <c r="A41" s="307"/>
      <c r="B41" s="310" t="s">
        <v>784</v>
      </c>
      <c r="C41" s="310" t="s">
        <v>769</v>
      </c>
      <c r="D41" s="310" t="s">
        <v>770</v>
      </c>
      <c r="E41" s="309" t="s">
        <v>344</v>
      </c>
      <c r="F41" s="138" t="s">
        <v>57</v>
      </c>
      <c r="G41" s="310" t="s">
        <v>419</v>
      </c>
      <c r="H41" s="310" t="s">
        <v>346</v>
      </c>
      <c r="I41" s="312"/>
      <c r="J41" s="313"/>
      <c r="K41" s="313"/>
      <c r="L41" s="313"/>
      <c r="M41" s="313"/>
      <c r="N41" s="313"/>
      <c r="O41" s="313"/>
      <c r="P41" s="313"/>
      <c r="Q41" s="313"/>
      <c r="R41" s="313"/>
      <c r="S41" s="313"/>
      <c r="T41" s="313"/>
      <c r="U41" s="313"/>
      <c r="V41" s="313"/>
      <c r="W41" s="313"/>
      <c r="X41" s="313"/>
      <c r="Y41" s="313"/>
      <c r="Z41" s="313"/>
      <c r="AA41" s="313"/>
      <c r="AB41" s="313"/>
      <c r="AC41" s="313"/>
      <c r="AD41" s="313"/>
      <c r="AE41" s="313"/>
      <c r="AF41" s="313"/>
      <c r="AG41" s="313"/>
      <c r="AH41" s="313"/>
      <c r="AI41" s="313"/>
      <c r="AJ41" s="313"/>
      <c r="AK41" s="313"/>
      <c r="AL41" s="313"/>
      <c r="AM41" s="313"/>
      <c r="AN41" s="313"/>
      <c r="AO41" s="313"/>
      <c r="AP41" s="313"/>
      <c r="AQ41" s="313"/>
      <c r="AR41" s="313"/>
      <c r="AS41" s="313"/>
      <c r="AT41" s="313"/>
      <c r="AU41" s="313"/>
      <c r="AV41" s="313"/>
      <c r="AW41" s="313"/>
      <c r="AX41" s="313"/>
      <c r="AY41" s="313"/>
      <c r="AZ41" s="313"/>
      <c r="BA41" s="313"/>
      <c r="BB41" s="313"/>
      <c r="BC41" s="313"/>
      <c r="BD41" s="313"/>
      <c r="BE41" s="313"/>
      <c r="BF41" s="313"/>
    </row>
    <row r="42" s="303" customFormat="1" ht="22.5" spans="1:58">
      <c r="A42" s="307"/>
      <c r="B42" s="310" t="s">
        <v>785</v>
      </c>
      <c r="C42" s="310" t="s">
        <v>746</v>
      </c>
      <c r="D42" s="310" t="s">
        <v>747</v>
      </c>
      <c r="E42" s="309" t="s">
        <v>344</v>
      </c>
      <c r="F42" s="138" t="s">
        <v>57</v>
      </c>
      <c r="G42" s="310" t="s">
        <v>545</v>
      </c>
      <c r="H42" s="310" t="s">
        <v>748</v>
      </c>
      <c r="I42" s="312"/>
      <c r="J42" s="313"/>
      <c r="K42" s="313"/>
      <c r="L42" s="313"/>
      <c r="M42" s="313"/>
      <c r="N42" s="313"/>
      <c r="O42" s="313"/>
      <c r="P42" s="313"/>
      <c r="Q42" s="313"/>
      <c r="R42" s="313"/>
      <c r="S42" s="313"/>
      <c r="T42" s="313"/>
      <c r="U42" s="313"/>
      <c r="V42" s="313"/>
      <c r="W42" s="313"/>
      <c r="X42" s="313"/>
      <c r="Y42" s="313"/>
      <c r="Z42" s="313"/>
      <c r="AA42" s="313"/>
      <c r="AB42" s="313"/>
      <c r="AC42" s="313"/>
      <c r="AD42" s="313"/>
      <c r="AE42" s="313"/>
      <c r="AF42" s="313"/>
      <c r="AG42" s="313"/>
      <c r="AH42" s="313"/>
      <c r="AI42" s="313"/>
      <c r="AJ42" s="313"/>
      <c r="AK42" s="313"/>
      <c r="AL42" s="313"/>
      <c r="AM42" s="313"/>
      <c r="AN42" s="313"/>
      <c r="AO42" s="313"/>
      <c r="AP42" s="313"/>
      <c r="AQ42" s="313"/>
      <c r="AR42" s="313"/>
      <c r="AS42" s="313"/>
      <c r="AT42" s="313"/>
      <c r="AU42" s="313"/>
      <c r="AV42" s="313"/>
      <c r="AW42" s="313"/>
      <c r="AX42" s="313"/>
      <c r="AY42" s="313"/>
      <c r="AZ42" s="313"/>
      <c r="BA42" s="313"/>
      <c r="BB42" s="313"/>
      <c r="BC42" s="313"/>
      <c r="BD42" s="313"/>
      <c r="BE42" s="313"/>
      <c r="BF42" s="313"/>
    </row>
    <row r="43" s="303" customFormat="1" ht="33.75" spans="1:58">
      <c r="A43" s="307"/>
      <c r="B43" s="310" t="s">
        <v>786</v>
      </c>
      <c r="C43" s="310" t="s">
        <v>713</v>
      </c>
      <c r="D43" s="310" t="s">
        <v>714</v>
      </c>
      <c r="E43" s="309" t="s">
        <v>344</v>
      </c>
      <c r="F43" s="138" t="s">
        <v>57</v>
      </c>
      <c r="G43" s="310" t="s">
        <v>354</v>
      </c>
      <c r="H43" s="310" t="s">
        <v>715</v>
      </c>
      <c r="I43" s="312"/>
      <c r="J43" s="313"/>
      <c r="K43" s="313"/>
      <c r="L43" s="313"/>
      <c r="M43" s="313"/>
      <c r="N43" s="313"/>
      <c r="O43" s="313"/>
      <c r="P43" s="313"/>
      <c r="Q43" s="313"/>
      <c r="R43" s="313"/>
      <c r="S43" s="313"/>
      <c r="T43" s="313"/>
      <c r="U43" s="313"/>
      <c r="V43" s="313"/>
      <c r="W43" s="313"/>
      <c r="X43" s="313"/>
      <c r="Y43" s="313"/>
      <c r="Z43" s="313"/>
      <c r="AA43" s="313"/>
      <c r="AB43" s="313"/>
      <c r="AC43" s="313"/>
      <c r="AD43" s="313"/>
      <c r="AE43" s="313"/>
      <c r="AF43" s="313"/>
      <c r="AG43" s="313"/>
      <c r="AH43" s="313"/>
      <c r="AI43" s="313"/>
      <c r="AJ43" s="313"/>
      <c r="AK43" s="313"/>
      <c r="AL43" s="313"/>
      <c r="AM43" s="313"/>
      <c r="AN43" s="313"/>
      <c r="AO43" s="313"/>
      <c r="AP43" s="313"/>
      <c r="AQ43" s="313"/>
      <c r="AR43" s="313"/>
      <c r="AS43" s="313"/>
      <c r="AT43" s="313"/>
      <c r="AU43" s="313"/>
      <c r="AV43" s="313"/>
      <c r="AW43" s="313"/>
      <c r="AX43" s="313"/>
      <c r="AY43" s="313"/>
      <c r="AZ43" s="313"/>
      <c r="BA43" s="313"/>
      <c r="BB43" s="313"/>
      <c r="BC43" s="313"/>
      <c r="BD43" s="313"/>
      <c r="BE43" s="313"/>
      <c r="BF43" s="313"/>
    </row>
    <row r="44" s="303" customFormat="1" spans="1:58">
      <c r="A44" s="307"/>
      <c r="B44" s="310" t="s">
        <v>787</v>
      </c>
      <c r="C44" s="310" t="s">
        <v>717</v>
      </c>
      <c r="D44" s="310" t="s">
        <v>718</v>
      </c>
      <c r="E44" s="309" t="s">
        <v>344</v>
      </c>
      <c r="F44" s="138" t="s">
        <v>57</v>
      </c>
      <c r="G44" s="310" t="s">
        <v>354</v>
      </c>
      <c r="H44" s="310" t="s">
        <v>346</v>
      </c>
      <c r="I44" s="312"/>
      <c r="J44" s="313"/>
      <c r="K44" s="313"/>
      <c r="L44" s="313"/>
      <c r="M44" s="313"/>
      <c r="N44" s="313"/>
      <c r="O44" s="313"/>
      <c r="P44" s="313"/>
      <c r="Q44" s="313"/>
      <c r="R44" s="313"/>
      <c r="S44" s="313"/>
      <c r="T44" s="313"/>
      <c r="U44" s="313"/>
      <c r="V44" s="313"/>
      <c r="W44" s="313"/>
      <c r="X44" s="313"/>
      <c r="Y44" s="313"/>
      <c r="Z44" s="313"/>
      <c r="AA44" s="313"/>
      <c r="AB44" s="313"/>
      <c r="AC44" s="313"/>
      <c r="AD44" s="313"/>
      <c r="AE44" s="313"/>
      <c r="AF44" s="313"/>
      <c r="AG44" s="313"/>
      <c r="AH44" s="313"/>
      <c r="AI44" s="313"/>
      <c r="AJ44" s="313"/>
      <c r="AK44" s="313"/>
      <c r="AL44" s="313"/>
      <c r="AM44" s="313"/>
      <c r="AN44" s="313"/>
      <c r="AO44" s="313"/>
      <c r="AP44" s="313"/>
      <c r="AQ44" s="313"/>
      <c r="AR44" s="313"/>
      <c r="AS44" s="313"/>
      <c r="AT44" s="313"/>
      <c r="AU44" s="313"/>
      <c r="AV44" s="313"/>
      <c r="AW44" s="313"/>
      <c r="AX44" s="313"/>
      <c r="AY44" s="313"/>
      <c r="AZ44" s="313"/>
      <c r="BA44" s="313"/>
      <c r="BB44" s="313"/>
      <c r="BC44" s="313"/>
      <c r="BD44" s="313"/>
      <c r="BE44" s="313"/>
      <c r="BF44" s="313"/>
    </row>
    <row r="45" s="303" customFormat="1" spans="1:58">
      <c r="A45" s="307"/>
      <c r="B45" s="310" t="s">
        <v>788</v>
      </c>
      <c r="C45" s="310" t="s">
        <v>720</v>
      </c>
      <c r="D45" s="310" t="s">
        <v>721</v>
      </c>
      <c r="E45" s="309" t="s">
        <v>344</v>
      </c>
      <c r="F45" s="138" t="s">
        <v>57</v>
      </c>
      <c r="G45" s="310" t="s">
        <v>722</v>
      </c>
      <c r="H45" s="310" t="s">
        <v>346</v>
      </c>
      <c r="I45" s="312"/>
      <c r="J45" s="313"/>
      <c r="K45" s="313"/>
      <c r="L45" s="313"/>
      <c r="M45" s="313"/>
      <c r="N45" s="313"/>
      <c r="O45" s="313"/>
      <c r="P45" s="313"/>
      <c r="Q45" s="313"/>
      <c r="R45" s="313"/>
      <c r="S45" s="313"/>
      <c r="T45" s="313"/>
      <c r="U45" s="313"/>
      <c r="V45" s="313"/>
      <c r="W45" s="313"/>
      <c r="X45" s="313"/>
      <c r="Y45" s="313"/>
      <c r="Z45" s="313"/>
      <c r="AA45" s="313"/>
      <c r="AB45" s="313"/>
      <c r="AC45" s="313"/>
      <c r="AD45" s="313"/>
      <c r="AE45" s="313"/>
      <c r="AF45" s="313"/>
      <c r="AG45" s="313"/>
      <c r="AH45" s="313"/>
      <c r="AI45" s="313"/>
      <c r="AJ45" s="313"/>
      <c r="AK45" s="313"/>
      <c r="AL45" s="313"/>
      <c r="AM45" s="313"/>
      <c r="AN45" s="313"/>
      <c r="AO45" s="313"/>
      <c r="AP45" s="313"/>
      <c r="AQ45" s="313"/>
      <c r="AR45" s="313"/>
      <c r="AS45" s="313"/>
      <c r="AT45" s="313"/>
      <c r="AU45" s="313"/>
      <c r="AV45" s="313"/>
      <c r="AW45" s="313"/>
      <c r="AX45" s="313"/>
      <c r="AY45" s="313"/>
      <c r="AZ45" s="313"/>
      <c r="BA45" s="313"/>
      <c r="BB45" s="313"/>
      <c r="BC45" s="313"/>
      <c r="BD45" s="313"/>
      <c r="BE45" s="313"/>
      <c r="BF45" s="313"/>
    </row>
    <row r="46" s="303" customFormat="1" ht="33.75" spans="1:58">
      <c r="A46" s="307"/>
      <c r="B46" s="310" t="s">
        <v>789</v>
      </c>
      <c r="C46" s="310" t="s">
        <v>724</v>
      </c>
      <c r="D46" s="310" t="s">
        <v>776</v>
      </c>
      <c r="E46" s="309" t="s">
        <v>344</v>
      </c>
      <c r="F46" s="138" t="s">
        <v>57</v>
      </c>
      <c r="G46" s="310" t="s">
        <v>419</v>
      </c>
      <c r="H46" s="310" t="s">
        <v>726</v>
      </c>
      <c r="I46" s="312"/>
      <c r="J46" s="313"/>
      <c r="K46" s="313"/>
      <c r="L46" s="313"/>
      <c r="M46" s="313"/>
      <c r="N46" s="313"/>
      <c r="O46" s="313"/>
      <c r="P46" s="313"/>
      <c r="Q46" s="313"/>
      <c r="R46" s="313"/>
      <c r="S46" s="313"/>
      <c r="T46" s="313"/>
      <c r="U46" s="313"/>
      <c r="V46" s="313"/>
      <c r="W46" s="313"/>
      <c r="X46" s="313"/>
      <c r="Y46" s="313"/>
      <c r="Z46" s="313"/>
      <c r="AA46" s="313"/>
      <c r="AB46" s="313"/>
      <c r="AC46" s="313"/>
      <c r="AD46" s="313"/>
      <c r="AE46" s="313"/>
      <c r="AF46" s="313"/>
      <c r="AG46" s="313"/>
      <c r="AH46" s="313"/>
      <c r="AI46" s="313"/>
      <c r="AJ46" s="313"/>
      <c r="AK46" s="313"/>
      <c r="AL46" s="313"/>
      <c r="AM46" s="313"/>
      <c r="AN46" s="313"/>
      <c r="AO46" s="313"/>
      <c r="AP46" s="313"/>
      <c r="AQ46" s="313"/>
      <c r="AR46" s="313"/>
      <c r="AS46" s="313"/>
      <c r="AT46" s="313"/>
      <c r="AU46" s="313"/>
      <c r="AV46" s="313"/>
      <c r="AW46" s="313"/>
      <c r="AX46" s="313"/>
      <c r="AY46" s="313"/>
      <c r="AZ46" s="313"/>
      <c r="BA46" s="313"/>
      <c r="BB46" s="313"/>
      <c r="BC46" s="313"/>
      <c r="BD46" s="313"/>
      <c r="BE46" s="313"/>
      <c r="BF46" s="313"/>
    </row>
    <row r="47" s="303" customFormat="1" spans="1:58">
      <c r="A47" s="307"/>
      <c r="B47" s="310" t="s">
        <v>790</v>
      </c>
      <c r="C47" s="310" t="s">
        <v>755</v>
      </c>
      <c r="D47" s="310" t="s">
        <v>756</v>
      </c>
      <c r="E47" s="309" t="s">
        <v>344</v>
      </c>
      <c r="F47" s="138" t="s">
        <v>57</v>
      </c>
      <c r="G47" s="310" t="s">
        <v>567</v>
      </c>
      <c r="H47" s="310" t="s">
        <v>757</v>
      </c>
      <c r="I47" s="312"/>
      <c r="J47" s="313"/>
      <c r="K47" s="313"/>
      <c r="L47" s="313"/>
      <c r="M47" s="313"/>
      <c r="N47" s="313"/>
      <c r="O47" s="313"/>
      <c r="P47" s="313"/>
      <c r="Q47" s="313"/>
      <c r="R47" s="313"/>
      <c r="S47" s="313"/>
      <c r="T47" s="313"/>
      <c r="U47" s="313"/>
      <c r="V47" s="313"/>
      <c r="W47" s="313"/>
      <c r="X47" s="313"/>
      <c r="Y47" s="313"/>
      <c r="Z47" s="313"/>
      <c r="AA47" s="313"/>
      <c r="AB47" s="313"/>
      <c r="AC47" s="313"/>
      <c r="AD47" s="313"/>
      <c r="AE47" s="313"/>
      <c r="AF47" s="313"/>
      <c r="AG47" s="313"/>
      <c r="AH47" s="313"/>
      <c r="AI47" s="313"/>
      <c r="AJ47" s="313"/>
      <c r="AK47" s="313"/>
      <c r="AL47" s="313"/>
      <c r="AM47" s="313"/>
      <c r="AN47" s="313"/>
      <c r="AO47" s="313"/>
      <c r="AP47" s="313"/>
      <c r="AQ47" s="313"/>
      <c r="AR47" s="313"/>
      <c r="AS47" s="313"/>
      <c r="AT47" s="313"/>
      <c r="AU47" s="313"/>
      <c r="AV47" s="313"/>
      <c r="AW47" s="313"/>
      <c r="AX47" s="313"/>
      <c r="AY47" s="313"/>
      <c r="AZ47" s="313"/>
      <c r="BA47" s="313"/>
      <c r="BB47" s="313"/>
      <c r="BC47" s="313"/>
      <c r="BD47" s="313"/>
      <c r="BE47" s="313"/>
      <c r="BF47" s="313"/>
    </row>
    <row r="48" s="303" customFormat="1" ht="33.75" spans="1:58">
      <c r="A48" s="307"/>
      <c r="B48" s="310" t="s">
        <v>791</v>
      </c>
      <c r="C48" s="310" t="s">
        <v>759</v>
      </c>
      <c r="D48" s="310" t="s">
        <v>760</v>
      </c>
      <c r="E48" s="309" t="s">
        <v>344</v>
      </c>
      <c r="F48" s="138" t="s">
        <v>57</v>
      </c>
      <c r="G48" s="310" t="s">
        <v>567</v>
      </c>
      <c r="H48" s="310" t="s">
        <v>779</v>
      </c>
      <c r="I48" s="312"/>
      <c r="J48" s="313"/>
      <c r="K48" s="313"/>
      <c r="L48" s="313"/>
      <c r="M48" s="313"/>
      <c r="N48" s="313"/>
      <c r="O48" s="313"/>
      <c r="P48" s="313"/>
      <c r="Q48" s="313"/>
      <c r="R48" s="313"/>
      <c r="S48" s="313"/>
      <c r="T48" s="313"/>
      <c r="U48" s="313"/>
      <c r="V48" s="313"/>
      <c r="W48" s="313"/>
      <c r="X48" s="313"/>
      <c r="Y48" s="313"/>
      <c r="Z48" s="313"/>
      <c r="AA48" s="313"/>
      <c r="AB48" s="313"/>
      <c r="AC48" s="313"/>
      <c r="AD48" s="313"/>
      <c r="AE48" s="313"/>
      <c r="AF48" s="313"/>
      <c r="AG48" s="313"/>
      <c r="AH48" s="313"/>
      <c r="AI48" s="313"/>
      <c r="AJ48" s="313"/>
      <c r="AK48" s="313"/>
      <c r="AL48" s="313"/>
      <c r="AM48" s="313"/>
      <c r="AN48" s="313"/>
      <c r="AO48" s="313"/>
      <c r="AP48" s="313"/>
      <c r="AQ48" s="313"/>
      <c r="AR48" s="313"/>
      <c r="AS48" s="313"/>
      <c r="AT48" s="313"/>
      <c r="AU48" s="313"/>
      <c r="AV48" s="313"/>
      <c r="AW48" s="313"/>
      <c r="AX48" s="313"/>
      <c r="AY48" s="313"/>
      <c r="AZ48" s="313"/>
      <c r="BA48" s="313"/>
      <c r="BB48" s="313"/>
      <c r="BC48" s="313"/>
      <c r="BD48" s="313"/>
      <c r="BE48" s="313"/>
      <c r="BF48" s="313"/>
    </row>
    <row r="49" s="303" customFormat="1" spans="1:303">
      <c r="A49" s="307"/>
      <c r="B49" s="310" t="s">
        <v>792</v>
      </c>
      <c r="C49" s="310" t="s">
        <v>356</v>
      </c>
      <c r="D49" s="310" t="s">
        <v>357</v>
      </c>
      <c r="E49" s="309" t="s">
        <v>344</v>
      </c>
      <c r="F49" s="138" t="s">
        <v>57</v>
      </c>
      <c r="G49" s="310" t="s">
        <v>354</v>
      </c>
      <c r="H49" s="310" t="s">
        <v>346</v>
      </c>
      <c r="I49" s="312"/>
      <c r="J49" s="313"/>
      <c r="K49" s="313"/>
      <c r="L49" s="313"/>
      <c r="M49" s="313"/>
      <c r="N49" s="313"/>
      <c r="O49" s="313"/>
      <c r="P49" s="313"/>
      <c r="Q49" s="313"/>
      <c r="R49" s="313"/>
      <c r="S49" s="313"/>
      <c r="T49" s="313"/>
      <c r="U49" s="313"/>
      <c r="V49" s="313"/>
      <c r="W49" s="313"/>
      <c r="X49" s="313"/>
      <c r="Y49" s="313"/>
      <c r="Z49" s="313"/>
      <c r="AA49" s="313"/>
      <c r="AB49" s="313"/>
      <c r="AC49" s="313"/>
      <c r="AD49" s="313"/>
      <c r="AE49" s="313"/>
      <c r="AF49" s="313"/>
      <c r="AG49" s="313"/>
      <c r="AH49" s="313"/>
      <c r="AI49" s="313"/>
      <c r="AJ49" s="313"/>
      <c r="AK49" s="313"/>
      <c r="AL49" s="313"/>
      <c r="AM49" s="313"/>
      <c r="AN49" s="313"/>
      <c r="AO49" s="313"/>
      <c r="AP49" s="313"/>
      <c r="AQ49" s="313"/>
      <c r="AR49" s="313"/>
      <c r="AS49" s="313"/>
      <c r="AT49" s="313"/>
      <c r="AU49" s="313"/>
      <c r="AV49" s="313"/>
      <c r="AW49" s="313"/>
      <c r="AX49" s="313"/>
      <c r="AY49" s="313"/>
      <c r="AZ49" s="313"/>
      <c r="BA49" s="313"/>
      <c r="BB49" s="313"/>
      <c r="BC49" s="313"/>
      <c r="BD49" s="313"/>
      <c r="BE49" s="313"/>
      <c r="BF49" s="313"/>
      <c r="BG49" s="313"/>
      <c r="BH49" s="313"/>
      <c r="BI49" s="313"/>
      <c r="BJ49" s="313"/>
      <c r="BK49" s="313"/>
      <c r="BL49" s="313"/>
      <c r="BM49" s="313"/>
      <c r="BN49" s="313"/>
      <c r="BO49" s="313"/>
      <c r="BP49" s="313"/>
      <c r="BQ49" s="313"/>
      <c r="BR49" s="313"/>
      <c r="BS49" s="313"/>
      <c r="BT49" s="313"/>
      <c r="BU49" s="313"/>
      <c r="BV49" s="313"/>
      <c r="BW49" s="313"/>
      <c r="BX49" s="313"/>
      <c r="BY49" s="313"/>
      <c r="BZ49" s="313"/>
      <c r="CA49" s="313"/>
      <c r="CB49" s="313"/>
      <c r="CC49" s="313"/>
      <c r="CD49" s="313"/>
      <c r="CE49" s="313"/>
      <c r="CF49" s="313"/>
      <c r="CG49" s="313"/>
      <c r="CH49" s="313"/>
      <c r="CI49" s="313"/>
      <c r="CJ49" s="313"/>
      <c r="CK49" s="313"/>
      <c r="CL49" s="313"/>
      <c r="CM49" s="313"/>
      <c r="CN49" s="313"/>
      <c r="CO49" s="313"/>
      <c r="CP49" s="313"/>
      <c r="CQ49" s="313"/>
      <c r="CR49" s="313"/>
      <c r="CS49" s="313"/>
      <c r="CT49" s="313"/>
      <c r="CU49" s="313"/>
      <c r="CV49" s="313"/>
      <c r="CW49" s="313"/>
      <c r="CX49" s="313"/>
      <c r="CY49" s="313"/>
      <c r="CZ49" s="313"/>
      <c r="DA49" s="313"/>
      <c r="DB49" s="313"/>
      <c r="DC49" s="313"/>
      <c r="DD49" s="313"/>
      <c r="DE49" s="313"/>
      <c r="DF49" s="313"/>
      <c r="DG49" s="313"/>
      <c r="DH49" s="313"/>
      <c r="DI49" s="313"/>
      <c r="DJ49" s="313"/>
      <c r="DK49" s="313"/>
      <c r="DL49" s="313"/>
      <c r="DM49" s="313"/>
      <c r="DN49" s="313"/>
      <c r="DO49" s="313"/>
      <c r="DP49" s="313"/>
      <c r="DQ49" s="313"/>
      <c r="DR49" s="313"/>
      <c r="DS49" s="313"/>
      <c r="DT49" s="313"/>
      <c r="DU49" s="313"/>
      <c r="DV49" s="313"/>
      <c r="DW49" s="313"/>
      <c r="DX49" s="313"/>
      <c r="DY49" s="313"/>
      <c r="DZ49" s="313"/>
      <c r="EA49" s="313"/>
      <c r="EB49" s="313"/>
      <c r="EC49" s="313"/>
      <c r="ED49" s="313"/>
      <c r="EE49" s="313"/>
      <c r="EF49" s="313"/>
      <c r="EG49" s="313"/>
      <c r="EH49" s="313"/>
      <c r="EI49" s="313"/>
      <c r="EJ49" s="313"/>
      <c r="EK49" s="313"/>
      <c r="EL49" s="313"/>
      <c r="EM49" s="313"/>
      <c r="EN49" s="313"/>
      <c r="EO49" s="313"/>
      <c r="EP49" s="313"/>
      <c r="EQ49" s="313"/>
      <c r="ER49" s="313"/>
      <c r="ES49" s="313"/>
      <c r="ET49" s="313"/>
      <c r="EU49" s="313"/>
      <c r="EV49" s="313"/>
      <c r="EW49" s="313"/>
      <c r="EX49" s="313"/>
      <c r="EY49" s="313"/>
      <c r="EZ49" s="313"/>
      <c r="FA49" s="313"/>
      <c r="FB49" s="313"/>
      <c r="FC49" s="313"/>
      <c r="FD49" s="313"/>
      <c r="FE49" s="313"/>
      <c r="FF49" s="313"/>
      <c r="FG49" s="313"/>
      <c r="FH49" s="313"/>
      <c r="FI49" s="313"/>
      <c r="FJ49" s="313"/>
      <c r="FK49" s="313"/>
      <c r="FL49" s="313"/>
      <c r="FM49" s="313"/>
      <c r="FN49" s="313"/>
      <c r="FO49" s="313"/>
      <c r="FP49" s="313"/>
      <c r="FQ49" s="313"/>
      <c r="FR49" s="313"/>
      <c r="FS49" s="313"/>
      <c r="FT49" s="313"/>
      <c r="FU49" s="313"/>
      <c r="FV49" s="313"/>
      <c r="FW49" s="313"/>
      <c r="FX49" s="313"/>
      <c r="FY49" s="313"/>
      <c r="FZ49" s="313"/>
      <c r="GA49" s="313"/>
      <c r="GB49" s="313"/>
      <c r="GC49" s="313"/>
      <c r="GD49" s="313"/>
      <c r="GE49" s="313"/>
      <c r="GF49" s="313"/>
      <c r="GG49" s="313"/>
      <c r="GH49" s="313"/>
      <c r="GI49" s="313"/>
      <c r="GJ49" s="313"/>
      <c r="GK49" s="313"/>
      <c r="GL49" s="313"/>
      <c r="GM49" s="313"/>
      <c r="GN49" s="313"/>
      <c r="GO49" s="313"/>
      <c r="GP49" s="313"/>
      <c r="GQ49" s="313"/>
      <c r="GR49" s="313"/>
      <c r="GS49" s="313"/>
      <c r="GT49" s="313"/>
      <c r="GU49" s="313"/>
      <c r="GV49" s="313"/>
      <c r="GW49" s="313"/>
      <c r="GX49" s="313"/>
      <c r="GY49" s="313"/>
      <c r="GZ49" s="313"/>
      <c r="HA49" s="313"/>
      <c r="HB49" s="313"/>
      <c r="HC49" s="313"/>
      <c r="HD49" s="313"/>
      <c r="HE49" s="313"/>
      <c r="HF49" s="313"/>
      <c r="HG49" s="313"/>
      <c r="HH49" s="313"/>
      <c r="HI49" s="313"/>
      <c r="HJ49" s="313"/>
      <c r="HK49" s="313"/>
      <c r="HL49" s="313"/>
      <c r="HM49" s="313"/>
      <c r="HN49" s="313"/>
      <c r="HO49" s="313"/>
      <c r="HP49" s="313"/>
      <c r="HQ49" s="313"/>
      <c r="HR49" s="313"/>
      <c r="HS49" s="313"/>
      <c r="HT49" s="313"/>
      <c r="HU49" s="313"/>
      <c r="HV49" s="313"/>
      <c r="HW49" s="313"/>
      <c r="HX49" s="313"/>
      <c r="HY49" s="313"/>
      <c r="HZ49" s="313"/>
      <c r="IA49" s="313"/>
      <c r="IB49" s="313"/>
      <c r="IC49" s="313"/>
      <c r="ID49" s="313"/>
      <c r="IE49" s="313"/>
      <c r="IF49" s="313"/>
      <c r="IG49" s="313"/>
      <c r="IH49" s="313"/>
      <c r="II49" s="313"/>
      <c r="IJ49" s="313"/>
      <c r="IK49" s="313"/>
      <c r="IL49" s="313"/>
      <c r="IM49" s="313"/>
      <c r="IN49" s="313"/>
      <c r="IO49" s="313"/>
      <c r="IP49" s="313"/>
      <c r="IQ49" s="313"/>
      <c r="IR49" s="313"/>
      <c r="IS49" s="313"/>
      <c r="IT49" s="313"/>
      <c r="IU49" s="313"/>
      <c r="IV49" s="313"/>
      <c r="IW49" s="313"/>
      <c r="IX49" s="313"/>
      <c r="IY49" s="313"/>
      <c r="IZ49" s="313"/>
      <c r="JA49" s="313"/>
      <c r="JB49" s="313"/>
      <c r="JC49" s="313"/>
      <c r="JD49" s="313"/>
      <c r="JE49" s="313"/>
      <c r="JF49" s="313"/>
      <c r="JG49" s="313"/>
      <c r="JH49" s="313"/>
      <c r="JI49" s="313"/>
      <c r="JJ49" s="313"/>
      <c r="JK49" s="313"/>
      <c r="JL49" s="313"/>
      <c r="JM49" s="313"/>
      <c r="JN49" s="313"/>
      <c r="JO49" s="313"/>
      <c r="JP49" s="313"/>
      <c r="JQ49" s="313"/>
      <c r="JR49" s="313"/>
      <c r="JS49" s="313"/>
      <c r="JT49" s="313"/>
      <c r="JU49" s="313"/>
      <c r="JV49" s="313"/>
      <c r="JW49" s="313"/>
      <c r="JX49" s="313"/>
      <c r="JY49" s="313"/>
      <c r="JZ49" s="313"/>
      <c r="KA49" s="313"/>
      <c r="KB49" s="313"/>
      <c r="KC49" s="313"/>
      <c r="KD49" s="313"/>
      <c r="KE49" s="313"/>
      <c r="KF49" s="313"/>
      <c r="KG49" s="313"/>
      <c r="KH49" s="313"/>
      <c r="KI49" s="313"/>
      <c r="KJ49" s="313"/>
      <c r="KK49" s="313"/>
      <c r="KL49" s="313"/>
      <c r="KM49" s="313"/>
      <c r="KN49" s="313"/>
      <c r="KO49" s="313"/>
      <c r="KP49" s="313"/>
      <c r="KQ49" s="313"/>
    </row>
    <row r="50" s="303" customFormat="1" spans="1:303">
      <c r="A50" s="307"/>
      <c r="B50" s="310" t="s">
        <v>793</v>
      </c>
      <c r="C50" s="310" t="s">
        <v>737</v>
      </c>
      <c r="D50" s="310" t="s">
        <v>737</v>
      </c>
      <c r="E50" s="309" t="s">
        <v>344</v>
      </c>
      <c r="F50" s="138" t="s">
        <v>57</v>
      </c>
      <c r="G50" s="310" t="s">
        <v>354</v>
      </c>
      <c r="H50" s="310" t="s">
        <v>346</v>
      </c>
      <c r="I50" s="312"/>
      <c r="J50" s="313"/>
      <c r="K50" s="313"/>
      <c r="L50" s="313"/>
      <c r="M50" s="313"/>
      <c r="N50" s="313"/>
      <c r="O50" s="313"/>
      <c r="P50" s="313"/>
      <c r="Q50" s="313"/>
      <c r="R50" s="313"/>
      <c r="S50" s="313"/>
      <c r="T50" s="313"/>
      <c r="U50" s="313"/>
      <c r="V50" s="313"/>
      <c r="W50" s="313"/>
      <c r="X50" s="313"/>
      <c r="Y50" s="313"/>
      <c r="Z50" s="313"/>
      <c r="AA50" s="313"/>
      <c r="AB50" s="313"/>
      <c r="AC50" s="313"/>
      <c r="AD50" s="313"/>
      <c r="AE50" s="313"/>
      <c r="AF50" s="313"/>
      <c r="AG50" s="313"/>
      <c r="AH50" s="313"/>
      <c r="AI50" s="313"/>
      <c r="AJ50" s="313"/>
      <c r="AK50" s="313"/>
      <c r="AL50" s="313"/>
      <c r="AM50" s="313"/>
      <c r="AN50" s="313"/>
      <c r="AO50" s="313"/>
      <c r="AP50" s="313"/>
      <c r="AQ50" s="313"/>
      <c r="AR50" s="313"/>
      <c r="AS50" s="313"/>
      <c r="AT50" s="313"/>
      <c r="AU50" s="313"/>
      <c r="AV50" s="313"/>
      <c r="AW50" s="313"/>
      <c r="AX50" s="313"/>
      <c r="AY50" s="313"/>
      <c r="AZ50" s="313"/>
      <c r="BA50" s="313"/>
      <c r="BB50" s="313"/>
      <c r="BC50" s="313"/>
      <c r="BD50" s="313"/>
      <c r="BE50" s="313"/>
      <c r="BF50" s="313"/>
      <c r="BG50" s="313"/>
      <c r="BH50" s="313"/>
      <c r="BI50" s="313"/>
      <c r="BJ50" s="313"/>
      <c r="BK50" s="313"/>
      <c r="BL50" s="313"/>
      <c r="BM50" s="313"/>
      <c r="BN50" s="313"/>
      <c r="BO50" s="313"/>
      <c r="BP50" s="313"/>
      <c r="BQ50" s="313"/>
      <c r="BR50" s="313"/>
      <c r="BS50" s="313"/>
      <c r="BT50" s="313"/>
      <c r="BU50" s="313"/>
      <c r="BV50" s="313"/>
      <c r="BW50" s="313"/>
      <c r="BX50" s="313"/>
      <c r="BY50" s="313"/>
      <c r="BZ50" s="313"/>
      <c r="CA50" s="313"/>
      <c r="CB50" s="313"/>
      <c r="CC50" s="313"/>
      <c r="CD50" s="313"/>
      <c r="CE50" s="313"/>
      <c r="CF50" s="313"/>
      <c r="CG50" s="313"/>
      <c r="CH50" s="313"/>
      <c r="CI50" s="313"/>
      <c r="CJ50" s="313"/>
      <c r="CK50" s="313"/>
      <c r="CL50" s="313"/>
      <c r="CM50" s="313"/>
      <c r="CN50" s="313"/>
      <c r="CO50" s="313"/>
      <c r="CP50" s="313"/>
      <c r="CQ50" s="313"/>
      <c r="CR50" s="313"/>
      <c r="CS50" s="313"/>
      <c r="CT50" s="313"/>
      <c r="CU50" s="313"/>
      <c r="CV50" s="313"/>
      <c r="CW50" s="313"/>
      <c r="CX50" s="313"/>
      <c r="CY50" s="313"/>
      <c r="CZ50" s="313"/>
      <c r="DA50" s="313"/>
      <c r="DB50" s="313"/>
      <c r="DC50" s="313"/>
      <c r="DD50" s="313"/>
      <c r="DE50" s="313"/>
      <c r="DF50" s="313"/>
      <c r="DG50" s="313"/>
      <c r="DH50" s="313"/>
      <c r="DI50" s="313"/>
      <c r="DJ50" s="313"/>
      <c r="DK50" s="313"/>
      <c r="DL50" s="313"/>
      <c r="DM50" s="313"/>
      <c r="DN50" s="313"/>
      <c r="DO50" s="313"/>
      <c r="DP50" s="313"/>
      <c r="DQ50" s="313"/>
      <c r="DR50" s="313"/>
      <c r="DS50" s="313"/>
      <c r="DT50" s="313"/>
      <c r="DU50" s="313"/>
      <c r="DV50" s="313"/>
      <c r="DW50" s="313"/>
      <c r="DX50" s="313"/>
      <c r="DY50" s="313"/>
      <c r="DZ50" s="313"/>
      <c r="EA50" s="313"/>
      <c r="EB50" s="313"/>
      <c r="EC50" s="313"/>
      <c r="ED50" s="313"/>
      <c r="EE50" s="313"/>
      <c r="EF50" s="313"/>
      <c r="EG50" s="313"/>
      <c r="EH50" s="313"/>
      <c r="EI50" s="313"/>
      <c r="EJ50" s="313"/>
      <c r="EK50" s="313"/>
      <c r="EL50" s="313"/>
      <c r="EM50" s="313"/>
      <c r="EN50" s="313"/>
      <c r="EO50" s="313"/>
      <c r="EP50" s="313"/>
      <c r="EQ50" s="313"/>
      <c r="ER50" s="313"/>
      <c r="ES50" s="313"/>
      <c r="ET50" s="313"/>
      <c r="EU50" s="313"/>
      <c r="EV50" s="313"/>
      <c r="EW50" s="313"/>
      <c r="EX50" s="313"/>
      <c r="EY50" s="313"/>
      <c r="EZ50" s="313"/>
      <c r="FA50" s="313"/>
      <c r="FB50" s="313"/>
      <c r="FC50" s="313"/>
      <c r="FD50" s="313"/>
      <c r="FE50" s="313"/>
      <c r="FF50" s="313"/>
      <c r="FG50" s="313"/>
      <c r="FH50" s="313"/>
      <c r="FI50" s="313"/>
      <c r="FJ50" s="313"/>
      <c r="FK50" s="313"/>
      <c r="FL50" s="313"/>
      <c r="FM50" s="313"/>
      <c r="FN50" s="313"/>
      <c r="FO50" s="313"/>
      <c r="FP50" s="313"/>
      <c r="FQ50" s="313"/>
      <c r="FR50" s="313"/>
      <c r="FS50" s="313"/>
      <c r="FT50" s="313"/>
      <c r="FU50" s="313"/>
      <c r="FV50" s="313"/>
      <c r="FW50" s="313"/>
      <c r="FX50" s="313"/>
      <c r="FY50" s="313"/>
      <c r="FZ50" s="313"/>
      <c r="GA50" s="313"/>
      <c r="GB50" s="313"/>
      <c r="GC50" s="313"/>
      <c r="GD50" s="313"/>
      <c r="GE50" s="313"/>
      <c r="GF50" s="313"/>
      <c r="GG50" s="313"/>
      <c r="GH50" s="313"/>
      <c r="GI50" s="313"/>
      <c r="GJ50" s="313"/>
      <c r="GK50" s="313"/>
      <c r="GL50" s="313"/>
      <c r="GM50" s="313"/>
      <c r="GN50" s="313"/>
      <c r="GO50" s="313"/>
      <c r="GP50" s="313"/>
      <c r="GQ50" s="313"/>
      <c r="GR50" s="313"/>
      <c r="GS50" s="313"/>
      <c r="GT50" s="313"/>
      <c r="GU50" s="313"/>
      <c r="GV50" s="313"/>
      <c r="GW50" s="313"/>
      <c r="GX50" s="313"/>
      <c r="GY50" s="313"/>
      <c r="GZ50" s="313"/>
      <c r="HA50" s="313"/>
      <c r="HB50" s="313"/>
      <c r="HC50" s="313"/>
      <c r="HD50" s="313"/>
      <c r="HE50" s="313"/>
      <c r="HF50" s="313"/>
      <c r="HG50" s="313"/>
      <c r="HH50" s="313"/>
      <c r="HI50" s="313"/>
      <c r="HJ50" s="313"/>
      <c r="HK50" s="313"/>
      <c r="HL50" s="313"/>
      <c r="HM50" s="313"/>
      <c r="HN50" s="313"/>
      <c r="HO50" s="313"/>
      <c r="HP50" s="313"/>
      <c r="HQ50" s="313"/>
      <c r="HR50" s="313"/>
      <c r="HS50" s="313"/>
      <c r="HT50" s="313"/>
      <c r="HU50" s="313"/>
      <c r="HV50" s="313"/>
      <c r="HW50" s="313"/>
      <c r="HX50" s="313"/>
      <c r="HY50" s="313"/>
      <c r="HZ50" s="313"/>
      <c r="IA50" s="313"/>
      <c r="IB50" s="313"/>
      <c r="IC50" s="313"/>
      <c r="ID50" s="313"/>
      <c r="IE50" s="313"/>
      <c r="IF50" s="313"/>
      <c r="IG50" s="313"/>
      <c r="IH50" s="313"/>
      <c r="II50" s="313"/>
      <c r="IJ50" s="313"/>
      <c r="IK50" s="313"/>
      <c r="IL50" s="313"/>
      <c r="IM50" s="313"/>
      <c r="IN50" s="313"/>
      <c r="IO50" s="313"/>
      <c r="IP50" s="313"/>
      <c r="IQ50" s="313"/>
      <c r="IR50" s="313"/>
      <c r="IS50" s="313"/>
      <c r="IT50" s="313"/>
      <c r="IU50" s="313"/>
      <c r="IV50" s="313"/>
      <c r="IW50" s="313"/>
      <c r="IX50" s="313"/>
      <c r="IY50" s="313"/>
      <c r="IZ50" s="313"/>
      <c r="JA50" s="313"/>
      <c r="JB50" s="313"/>
      <c r="JC50" s="313"/>
      <c r="JD50" s="313"/>
      <c r="JE50" s="313"/>
      <c r="JF50" s="313"/>
      <c r="JG50" s="313"/>
      <c r="JH50" s="313"/>
      <c r="JI50" s="313"/>
      <c r="JJ50" s="313"/>
      <c r="JK50" s="313"/>
      <c r="JL50" s="313"/>
      <c r="JM50" s="313"/>
      <c r="JN50" s="313"/>
      <c r="JO50" s="313"/>
      <c r="JP50" s="313"/>
      <c r="JQ50" s="313"/>
      <c r="JR50" s="313"/>
      <c r="JS50" s="313"/>
      <c r="JT50" s="313"/>
      <c r="JU50" s="313"/>
      <c r="JV50" s="313"/>
      <c r="JW50" s="313"/>
      <c r="JX50" s="313"/>
      <c r="JY50" s="313"/>
      <c r="JZ50" s="313"/>
      <c r="KA50" s="313"/>
      <c r="KB50" s="313"/>
      <c r="KC50" s="313"/>
      <c r="KD50" s="313"/>
      <c r="KE50" s="313"/>
      <c r="KF50" s="313"/>
      <c r="KG50" s="313"/>
      <c r="KH50" s="313"/>
      <c r="KI50" s="313"/>
      <c r="KJ50" s="313"/>
      <c r="KK50" s="313"/>
      <c r="KL50" s="313"/>
      <c r="KM50" s="313"/>
      <c r="KN50" s="313"/>
      <c r="KO50" s="313"/>
      <c r="KP50" s="313"/>
      <c r="KQ50" s="313"/>
    </row>
    <row r="51" s="303" customFormat="1" ht="33.75" spans="1:58">
      <c r="A51" s="307"/>
      <c r="B51" s="310" t="s">
        <v>794</v>
      </c>
      <c r="C51" s="310" t="s">
        <v>765</v>
      </c>
      <c r="D51" s="310" t="s">
        <v>766</v>
      </c>
      <c r="E51" s="309" t="s">
        <v>344</v>
      </c>
      <c r="F51" s="138" t="s">
        <v>57</v>
      </c>
      <c r="G51" s="310" t="s">
        <v>397</v>
      </c>
      <c r="H51" s="310" t="s">
        <v>398</v>
      </c>
      <c r="I51" s="312"/>
      <c r="J51" s="313"/>
      <c r="K51" s="313"/>
      <c r="L51" s="313"/>
      <c r="M51" s="313"/>
      <c r="N51" s="313"/>
      <c r="O51" s="313"/>
      <c r="P51" s="313"/>
      <c r="Q51" s="313"/>
      <c r="R51" s="313"/>
      <c r="S51" s="313"/>
      <c r="T51" s="313"/>
      <c r="U51" s="313"/>
      <c r="V51" s="313"/>
      <c r="W51" s="313"/>
      <c r="X51" s="313"/>
      <c r="Y51" s="313"/>
      <c r="Z51" s="313"/>
      <c r="AA51" s="313"/>
      <c r="AB51" s="313"/>
      <c r="AC51" s="313"/>
      <c r="AD51" s="313"/>
      <c r="AE51" s="313"/>
      <c r="AF51" s="313"/>
      <c r="AG51" s="313"/>
      <c r="AH51" s="313"/>
      <c r="AI51" s="313"/>
      <c r="AJ51" s="313"/>
      <c r="AK51" s="313"/>
      <c r="AL51" s="313"/>
      <c r="AM51" s="313"/>
      <c r="AN51" s="313"/>
      <c r="AO51" s="313"/>
      <c r="AP51" s="313"/>
      <c r="AQ51" s="313"/>
      <c r="AR51" s="313"/>
      <c r="AS51" s="313"/>
      <c r="AT51" s="313"/>
      <c r="AU51" s="313"/>
      <c r="AV51" s="313"/>
      <c r="AW51" s="313"/>
      <c r="AX51" s="313"/>
      <c r="AY51" s="313"/>
      <c r="AZ51" s="313"/>
      <c r="BA51" s="313"/>
      <c r="BB51" s="313"/>
      <c r="BC51" s="313"/>
      <c r="BD51" s="313"/>
      <c r="BE51" s="313"/>
      <c r="BF51" s="313"/>
    </row>
    <row r="52" s="303" customFormat="1" spans="1:58">
      <c r="A52" s="307"/>
      <c r="B52" s="310" t="s">
        <v>795</v>
      </c>
      <c r="C52" s="310" t="s">
        <v>732</v>
      </c>
      <c r="D52" s="310" t="s">
        <v>733</v>
      </c>
      <c r="E52" s="309" t="s">
        <v>344</v>
      </c>
      <c r="F52" s="138" t="s">
        <v>57</v>
      </c>
      <c r="G52" s="310" t="s">
        <v>354</v>
      </c>
      <c r="H52" s="310" t="s">
        <v>346</v>
      </c>
      <c r="I52" s="312"/>
      <c r="J52" s="313"/>
      <c r="K52" s="313"/>
      <c r="L52" s="313"/>
      <c r="M52" s="313"/>
      <c r="N52" s="313"/>
      <c r="O52" s="313"/>
      <c r="P52" s="313"/>
      <c r="Q52" s="313"/>
      <c r="R52" s="313"/>
      <c r="S52" s="313"/>
      <c r="T52" s="313"/>
      <c r="U52" s="313"/>
      <c r="V52" s="313"/>
      <c r="W52" s="313"/>
      <c r="X52" s="313"/>
      <c r="Y52" s="313"/>
      <c r="Z52" s="313"/>
      <c r="AA52" s="313"/>
      <c r="AB52" s="313"/>
      <c r="AC52" s="313"/>
      <c r="AD52" s="313"/>
      <c r="AE52" s="313"/>
      <c r="AF52" s="313"/>
      <c r="AG52" s="313"/>
      <c r="AH52" s="313"/>
      <c r="AI52" s="313"/>
      <c r="AJ52" s="313"/>
      <c r="AK52" s="313"/>
      <c r="AL52" s="313"/>
      <c r="AM52" s="313"/>
      <c r="AN52" s="313"/>
      <c r="AO52" s="313"/>
      <c r="AP52" s="313"/>
      <c r="AQ52" s="313"/>
      <c r="AR52" s="313"/>
      <c r="AS52" s="313"/>
      <c r="AT52" s="313"/>
      <c r="AU52" s="313"/>
      <c r="AV52" s="313"/>
      <c r="AW52" s="313"/>
      <c r="AX52" s="313"/>
      <c r="AY52" s="313"/>
      <c r="AZ52" s="313"/>
      <c r="BA52" s="313"/>
      <c r="BB52" s="313"/>
      <c r="BC52" s="313"/>
      <c r="BD52" s="313"/>
      <c r="BE52" s="313"/>
      <c r="BF52" s="313"/>
    </row>
    <row r="53" s="303" customFormat="1" spans="1:58">
      <c r="A53" s="307"/>
      <c r="B53" s="310" t="s">
        <v>796</v>
      </c>
      <c r="C53" s="310" t="s">
        <v>769</v>
      </c>
      <c r="D53" s="310" t="s">
        <v>770</v>
      </c>
      <c r="E53" s="309" t="s">
        <v>344</v>
      </c>
      <c r="F53" s="138" t="s">
        <v>57</v>
      </c>
      <c r="G53" s="310" t="s">
        <v>419</v>
      </c>
      <c r="H53" s="310" t="s">
        <v>346</v>
      </c>
      <c r="I53" s="312"/>
      <c r="J53" s="313"/>
      <c r="K53" s="313"/>
      <c r="L53" s="313"/>
      <c r="M53" s="313"/>
      <c r="N53" s="313"/>
      <c r="O53" s="313"/>
      <c r="P53" s="313"/>
      <c r="Q53" s="313"/>
      <c r="R53" s="313"/>
      <c r="S53" s="313"/>
      <c r="T53" s="313"/>
      <c r="U53" s="313"/>
      <c r="V53" s="313"/>
      <c r="W53" s="313"/>
      <c r="X53" s="313"/>
      <c r="Y53" s="313"/>
      <c r="Z53" s="313"/>
      <c r="AA53" s="313"/>
      <c r="AB53" s="313"/>
      <c r="AC53" s="313"/>
      <c r="AD53" s="313"/>
      <c r="AE53" s="313"/>
      <c r="AF53" s="313"/>
      <c r="AG53" s="313"/>
      <c r="AH53" s="313"/>
      <c r="AI53" s="313"/>
      <c r="AJ53" s="313"/>
      <c r="AK53" s="313"/>
      <c r="AL53" s="313"/>
      <c r="AM53" s="313"/>
      <c r="AN53" s="313"/>
      <c r="AO53" s="313"/>
      <c r="AP53" s="313"/>
      <c r="AQ53" s="313"/>
      <c r="AR53" s="313"/>
      <c r="AS53" s="313"/>
      <c r="AT53" s="313"/>
      <c r="AU53" s="313"/>
      <c r="AV53" s="313"/>
      <c r="AW53" s="313"/>
      <c r="AX53" s="313"/>
      <c r="AY53" s="313"/>
      <c r="AZ53" s="313"/>
      <c r="BA53" s="313"/>
      <c r="BB53" s="313"/>
      <c r="BC53" s="313"/>
      <c r="BD53" s="313"/>
      <c r="BE53" s="313"/>
      <c r="BF53" s="313"/>
    </row>
    <row r="54" s="303" customFormat="1" ht="22.5" spans="1:58">
      <c r="A54" s="307"/>
      <c r="B54" s="310" t="s">
        <v>797</v>
      </c>
      <c r="C54" s="310" t="s">
        <v>746</v>
      </c>
      <c r="D54" s="310" t="s">
        <v>747</v>
      </c>
      <c r="E54" s="309" t="s">
        <v>344</v>
      </c>
      <c r="F54" s="138" t="s">
        <v>57</v>
      </c>
      <c r="G54" s="310" t="s">
        <v>545</v>
      </c>
      <c r="H54" s="310" t="s">
        <v>748</v>
      </c>
      <c r="I54" s="312"/>
      <c r="J54" s="313"/>
      <c r="K54" s="313"/>
      <c r="L54" s="313"/>
      <c r="M54" s="313"/>
      <c r="N54" s="313"/>
      <c r="O54" s="313"/>
      <c r="P54" s="313"/>
      <c r="Q54" s="313"/>
      <c r="R54" s="313"/>
      <c r="S54" s="313"/>
      <c r="T54" s="313"/>
      <c r="U54" s="313"/>
      <c r="V54" s="313"/>
      <c r="W54" s="313"/>
      <c r="X54" s="313"/>
      <c r="Y54" s="313"/>
      <c r="Z54" s="313"/>
      <c r="AA54" s="313"/>
      <c r="AB54" s="313"/>
      <c r="AC54" s="313"/>
      <c r="AD54" s="313"/>
      <c r="AE54" s="313"/>
      <c r="AF54" s="313"/>
      <c r="AG54" s="313"/>
      <c r="AH54" s="313"/>
      <c r="AI54" s="313"/>
      <c r="AJ54" s="313"/>
      <c r="AK54" s="313"/>
      <c r="AL54" s="313"/>
      <c r="AM54" s="313"/>
      <c r="AN54" s="313"/>
      <c r="AO54" s="313"/>
      <c r="AP54" s="313"/>
      <c r="AQ54" s="313"/>
      <c r="AR54" s="313"/>
      <c r="AS54" s="313"/>
      <c r="AT54" s="313"/>
      <c r="AU54" s="313"/>
      <c r="AV54" s="313"/>
      <c r="AW54" s="313"/>
      <c r="AX54" s="313"/>
      <c r="AY54" s="313"/>
      <c r="AZ54" s="313"/>
      <c r="BA54" s="313"/>
      <c r="BB54" s="313"/>
      <c r="BC54" s="313"/>
      <c r="BD54" s="313"/>
      <c r="BE54" s="313"/>
      <c r="BF54" s="313"/>
    </row>
    <row r="55" s="303" customFormat="1" ht="33.75" spans="1:58">
      <c r="A55" s="307"/>
      <c r="B55" s="310" t="s">
        <v>798</v>
      </c>
      <c r="C55" s="310" t="s">
        <v>713</v>
      </c>
      <c r="D55" s="310" t="s">
        <v>714</v>
      </c>
      <c r="E55" s="309" t="s">
        <v>344</v>
      </c>
      <c r="F55" s="138" t="s">
        <v>57</v>
      </c>
      <c r="G55" s="310" t="s">
        <v>354</v>
      </c>
      <c r="H55" s="310" t="s">
        <v>715</v>
      </c>
      <c r="I55" s="312"/>
      <c r="J55" s="313"/>
      <c r="K55" s="313"/>
      <c r="L55" s="313"/>
      <c r="M55" s="313"/>
      <c r="N55" s="313"/>
      <c r="O55" s="313"/>
      <c r="P55" s="313"/>
      <c r="Q55" s="313"/>
      <c r="R55" s="313"/>
      <c r="S55" s="313"/>
      <c r="T55" s="313"/>
      <c r="U55" s="313"/>
      <c r="V55" s="313"/>
      <c r="W55" s="313"/>
      <c r="X55" s="313"/>
      <c r="Y55" s="313"/>
      <c r="Z55" s="313"/>
      <c r="AA55" s="313"/>
      <c r="AB55" s="313"/>
      <c r="AC55" s="313"/>
      <c r="AD55" s="313"/>
      <c r="AE55" s="313"/>
      <c r="AF55" s="313"/>
      <c r="AG55" s="313"/>
      <c r="AH55" s="313"/>
      <c r="AI55" s="313"/>
      <c r="AJ55" s="313"/>
      <c r="AK55" s="313"/>
      <c r="AL55" s="313"/>
      <c r="AM55" s="313"/>
      <c r="AN55" s="313"/>
      <c r="AO55" s="313"/>
      <c r="AP55" s="313"/>
      <c r="AQ55" s="313"/>
      <c r="AR55" s="313"/>
      <c r="AS55" s="313"/>
      <c r="AT55" s="313"/>
      <c r="AU55" s="313"/>
      <c r="AV55" s="313"/>
      <c r="AW55" s="313"/>
      <c r="AX55" s="313"/>
      <c r="AY55" s="313"/>
      <c r="AZ55" s="313"/>
      <c r="BA55" s="313"/>
      <c r="BB55" s="313"/>
      <c r="BC55" s="313"/>
      <c r="BD55" s="313"/>
      <c r="BE55" s="313"/>
      <c r="BF55" s="313"/>
    </row>
    <row r="56" s="303" customFormat="1" spans="1:58">
      <c r="A56" s="307"/>
      <c r="B56" s="310" t="s">
        <v>799</v>
      </c>
      <c r="C56" s="310" t="s">
        <v>717</v>
      </c>
      <c r="D56" s="310" t="s">
        <v>718</v>
      </c>
      <c r="E56" s="309" t="s">
        <v>344</v>
      </c>
      <c r="F56" s="138" t="s">
        <v>57</v>
      </c>
      <c r="G56" s="310" t="s">
        <v>354</v>
      </c>
      <c r="H56" s="310" t="s">
        <v>346</v>
      </c>
      <c r="I56" s="312"/>
      <c r="J56" s="313"/>
      <c r="K56" s="313"/>
      <c r="L56" s="313"/>
      <c r="M56" s="313"/>
      <c r="N56" s="313"/>
      <c r="O56" s="313"/>
      <c r="P56" s="313"/>
      <c r="Q56" s="313"/>
      <c r="R56" s="313"/>
      <c r="S56" s="313"/>
      <c r="T56" s="313"/>
      <c r="U56" s="313"/>
      <c r="V56" s="313"/>
      <c r="W56" s="313"/>
      <c r="X56" s="313"/>
      <c r="Y56" s="313"/>
      <c r="Z56" s="313"/>
      <c r="AA56" s="313"/>
      <c r="AB56" s="313"/>
      <c r="AC56" s="313"/>
      <c r="AD56" s="313"/>
      <c r="AE56" s="313"/>
      <c r="AF56" s="313"/>
      <c r="AG56" s="313"/>
      <c r="AH56" s="313"/>
      <c r="AI56" s="313"/>
      <c r="AJ56" s="313"/>
      <c r="AK56" s="313"/>
      <c r="AL56" s="313"/>
      <c r="AM56" s="313"/>
      <c r="AN56" s="313"/>
      <c r="AO56" s="313"/>
      <c r="AP56" s="313"/>
      <c r="AQ56" s="313"/>
      <c r="AR56" s="313"/>
      <c r="AS56" s="313"/>
      <c r="AT56" s="313"/>
      <c r="AU56" s="313"/>
      <c r="AV56" s="313"/>
      <c r="AW56" s="313"/>
      <c r="AX56" s="313"/>
      <c r="AY56" s="313"/>
      <c r="AZ56" s="313"/>
      <c r="BA56" s="313"/>
      <c r="BB56" s="313"/>
      <c r="BC56" s="313"/>
      <c r="BD56" s="313"/>
      <c r="BE56" s="313"/>
      <c r="BF56" s="313"/>
    </row>
    <row r="57" s="303" customFormat="1" spans="1:58">
      <c r="A57" s="307"/>
      <c r="B57" s="310" t="s">
        <v>800</v>
      </c>
      <c r="C57" s="310" t="s">
        <v>720</v>
      </c>
      <c r="D57" s="310" t="s">
        <v>721</v>
      </c>
      <c r="E57" s="309" t="s">
        <v>344</v>
      </c>
      <c r="F57" s="138" t="s">
        <v>57</v>
      </c>
      <c r="G57" s="310" t="s">
        <v>722</v>
      </c>
      <c r="H57" s="310" t="s">
        <v>346</v>
      </c>
      <c r="I57" s="312"/>
      <c r="J57" s="313"/>
      <c r="K57" s="313"/>
      <c r="L57" s="313"/>
      <c r="M57" s="313"/>
      <c r="N57" s="313"/>
      <c r="O57" s="313"/>
      <c r="P57" s="313"/>
      <c r="Q57" s="313"/>
      <c r="R57" s="313"/>
      <c r="S57" s="313"/>
      <c r="T57" s="313"/>
      <c r="U57" s="313"/>
      <c r="V57" s="313"/>
      <c r="W57" s="313"/>
      <c r="X57" s="313"/>
      <c r="Y57" s="313"/>
      <c r="Z57" s="313"/>
      <c r="AA57" s="313"/>
      <c r="AB57" s="313"/>
      <c r="AC57" s="313"/>
      <c r="AD57" s="313"/>
      <c r="AE57" s="313"/>
      <c r="AF57" s="313"/>
      <c r="AG57" s="313"/>
      <c r="AH57" s="313"/>
      <c r="AI57" s="313"/>
      <c r="AJ57" s="313"/>
      <c r="AK57" s="313"/>
      <c r="AL57" s="313"/>
      <c r="AM57" s="313"/>
      <c r="AN57" s="313"/>
      <c r="AO57" s="313"/>
      <c r="AP57" s="313"/>
      <c r="AQ57" s="313"/>
      <c r="AR57" s="313"/>
      <c r="AS57" s="313"/>
      <c r="AT57" s="313"/>
      <c r="AU57" s="313"/>
      <c r="AV57" s="313"/>
      <c r="AW57" s="313"/>
      <c r="AX57" s="313"/>
      <c r="AY57" s="313"/>
      <c r="AZ57" s="313"/>
      <c r="BA57" s="313"/>
      <c r="BB57" s="313"/>
      <c r="BC57" s="313"/>
      <c r="BD57" s="313"/>
      <c r="BE57" s="313"/>
      <c r="BF57" s="313"/>
    </row>
    <row r="58" s="303" customFormat="1" ht="33.75" spans="1:58">
      <c r="A58" s="307"/>
      <c r="B58" s="310" t="s">
        <v>801</v>
      </c>
      <c r="C58" s="310" t="s">
        <v>724</v>
      </c>
      <c r="D58" s="310" t="s">
        <v>776</v>
      </c>
      <c r="E58" s="309" t="s">
        <v>344</v>
      </c>
      <c r="F58" s="138" t="s">
        <v>57</v>
      </c>
      <c r="G58" s="310" t="s">
        <v>419</v>
      </c>
      <c r="H58" s="310" t="s">
        <v>726</v>
      </c>
      <c r="I58" s="312"/>
      <c r="J58" s="313"/>
      <c r="K58" s="313"/>
      <c r="L58" s="313"/>
      <c r="M58" s="313"/>
      <c r="N58" s="313"/>
      <c r="O58" s="313"/>
      <c r="P58" s="313"/>
      <c r="Q58" s="313"/>
      <c r="R58" s="313"/>
      <c r="S58" s="313"/>
      <c r="T58" s="313"/>
      <c r="U58" s="313"/>
      <c r="V58" s="313"/>
      <c r="W58" s="313"/>
      <c r="X58" s="313"/>
      <c r="Y58" s="313"/>
      <c r="Z58" s="313"/>
      <c r="AA58" s="313"/>
      <c r="AB58" s="313"/>
      <c r="AC58" s="313"/>
      <c r="AD58" s="313"/>
      <c r="AE58" s="313"/>
      <c r="AF58" s="313"/>
      <c r="AG58" s="313"/>
      <c r="AH58" s="313"/>
      <c r="AI58" s="313"/>
      <c r="AJ58" s="313"/>
      <c r="AK58" s="313"/>
      <c r="AL58" s="313"/>
      <c r="AM58" s="313"/>
      <c r="AN58" s="313"/>
      <c r="AO58" s="313"/>
      <c r="AP58" s="313"/>
      <c r="AQ58" s="313"/>
      <c r="AR58" s="313"/>
      <c r="AS58" s="313"/>
      <c r="AT58" s="313"/>
      <c r="AU58" s="313"/>
      <c r="AV58" s="313"/>
      <c r="AW58" s="313"/>
      <c r="AX58" s="313"/>
      <c r="AY58" s="313"/>
      <c r="AZ58" s="313"/>
      <c r="BA58" s="313"/>
      <c r="BB58" s="313"/>
      <c r="BC58" s="313"/>
      <c r="BD58" s="313"/>
      <c r="BE58" s="313"/>
      <c r="BF58" s="313"/>
    </row>
    <row r="59" s="303" customFormat="1" spans="1:58">
      <c r="A59" s="307"/>
      <c r="B59" s="310" t="s">
        <v>802</v>
      </c>
      <c r="C59" s="310" t="s">
        <v>755</v>
      </c>
      <c r="D59" s="310" t="s">
        <v>756</v>
      </c>
      <c r="E59" s="309" t="s">
        <v>344</v>
      </c>
      <c r="F59" s="138" t="s">
        <v>57</v>
      </c>
      <c r="G59" s="310" t="s">
        <v>567</v>
      </c>
      <c r="H59" s="310" t="s">
        <v>757</v>
      </c>
      <c r="I59" s="312"/>
      <c r="J59" s="313"/>
      <c r="K59" s="313"/>
      <c r="L59" s="313"/>
      <c r="M59" s="313"/>
      <c r="N59" s="313"/>
      <c r="O59" s="313"/>
      <c r="P59" s="313"/>
      <c r="Q59" s="313"/>
      <c r="R59" s="313"/>
      <c r="S59" s="313"/>
      <c r="T59" s="313"/>
      <c r="U59" s="313"/>
      <c r="V59" s="313"/>
      <c r="W59" s="313"/>
      <c r="X59" s="313"/>
      <c r="Y59" s="313"/>
      <c r="Z59" s="313"/>
      <c r="AA59" s="313"/>
      <c r="AB59" s="313"/>
      <c r="AC59" s="313"/>
      <c r="AD59" s="313"/>
      <c r="AE59" s="313"/>
      <c r="AF59" s="313"/>
      <c r="AG59" s="313"/>
      <c r="AH59" s="313"/>
      <c r="AI59" s="313"/>
      <c r="AJ59" s="313"/>
      <c r="AK59" s="313"/>
      <c r="AL59" s="313"/>
      <c r="AM59" s="313"/>
      <c r="AN59" s="313"/>
      <c r="AO59" s="313"/>
      <c r="AP59" s="313"/>
      <c r="AQ59" s="313"/>
      <c r="AR59" s="313"/>
      <c r="AS59" s="313"/>
      <c r="AT59" s="313"/>
      <c r="AU59" s="313"/>
      <c r="AV59" s="313"/>
      <c r="AW59" s="313"/>
      <c r="AX59" s="313"/>
      <c r="AY59" s="313"/>
      <c r="AZ59" s="313"/>
      <c r="BA59" s="313"/>
      <c r="BB59" s="313"/>
      <c r="BC59" s="313"/>
      <c r="BD59" s="313"/>
      <c r="BE59" s="313"/>
      <c r="BF59" s="313"/>
    </row>
    <row r="60" s="303" customFormat="1" ht="33.75" spans="1:58">
      <c r="A60" s="307"/>
      <c r="B60" s="310" t="s">
        <v>803</v>
      </c>
      <c r="C60" s="310" t="s">
        <v>759</v>
      </c>
      <c r="D60" s="310" t="s">
        <v>760</v>
      </c>
      <c r="E60" s="309" t="s">
        <v>344</v>
      </c>
      <c r="F60" s="138" t="s">
        <v>57</v>
      </c>
      <c r="G60" s="310" t="s">
        <v>567</v>
      </c>
      <c r="H60" s="310" t="s">
        <v>779</v>
      </c>
      <c r="I60" s="312"/>
      <c r="J60" s="313"/>
      <c r="K60" s="313"/>
      <c r="L60" s="313"/>
      <c r="M60" s="313"/>
      <c r="N60" s="313"/>
      <c r="O60" s="313"/>
      <c r="P60" s="313"/>
      <c r="Q60" s="313"/>
      <c r="R60" s="313"/>
      <c r="S60" s="313"/>
      <c r="T60" s="313"/>
      <c r="U60" s="313"/>
      <c r="V60" s="313"/>
      <c r="W60" s="313"/>
      <c r="X60" s="313"/>
      <c r="Y60" s="313"/>
      <c r="Z60" s="313"/>
      <c r="AA60" s="313"/>
      <c r="AB60" s="313"/>
      <c r="AC60" s="313"/>
      <c r="AD60" s="313"/>
      <c r="AE60" s="313"/>
      <c r="AF60" s="313"/>
      <c r="AG60" s="313"/>
      <c r="AH60" s="313"/>
      <c r="AI60" s="313"/>
      <c r="AJ60" s="313"/>
      <c r="AK60" s="313"/>
      <c r="AL60" s="313"/>
      <c r="AM60" s="313"/>
      <c r="AN60" s="313"/>
      <c r="AO60" s="313"/>
      <c r="AP60" s="313"/>
      <c r="AQ60" s="313"/>
      <c r="AR60" s="313"/>
      <c r="AS60" s="313"/>
      <c r="AT60" s="313"/>
      <c r="AU60" s="313"/>
      <c r="AV60" s="313"/>
      <c r="AW60" s="313"/>
      <c r="AX60" s="313"/>
      <c r="AY60" s="313"/>
      <c r="AZ60" s="313"/>
      <c r="BA60" s="313"/>
      <c r="BB60" s="313"/>
      <c r="BC60" s="313"/>
      <c r="BD60" s="313"/>
      <c r="BE60" s="313"/>
      <c r="BF60" s="313"/>
    </row>
  </sheetData>
  <autoFilter ref="A1:I60">
    <extLst/>
  </autoFilter>
  <mergeCells count="2">
    <mergeCell ref="A2:A60"/>
    <mergeCell ref="I18:I24"/>
  </mergeCells>
  <pageMargins left="0.699305555555556" right="0.699305555555556"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AG7"/>
  <sheetViews>
    <sheetView workbookViewId="0">
      <pane xSplit="1" ySplit="1" topLeftCell="B2" activePane="bottomRight" state="frozen"/>
      <selection/>
      <selection pane="topRight"/>
      <selection pane="bottomLeft"/>
      <selection pane="bottomRight" activeCell="H6" sqref="H6"/>
    </sheetView>
  </sheetViews>
  <sheetFormatPr defaultColWidth="9" defaultRowHeight="13.5" outlineLevelRow="6"/>
  <cols>
    <col min="1" max="1" width="11.375" customWidth="1"/>
    <col min="2" max="2" width="36.375" customWidth="1"/>
    <col min="3" max="3" width="18.875" customWidth="1"/>
    <col min="4" max="4" width="17.25" style="99" customWidth="1"/>
    <col min="5" max="5" width="6.375" style="99" customWidth="1"/>
    <col min="6" max="6" width="10.375" customWidth="1"/>
    <col min="7" max="7" width="16.875" customWidth="1"/>
    <col min="8" max="8" width="43.875" customWidth="1"/>
    <col min="9" max="9" width="42" customWidth="1"/>
  </cols>
  <sheetData>
    <row r="1" s="298" customFormat="1" ht="24.75" customHeight="1" spans="1:33">
      <c r="A1" s="11" t="s">
        <v>335</v>
      </c>
      <c r="B1" s="11" t="s">
        <v>336</v>
      </c>
      <c r="C1" s="33" t="s">
        <v>2</v>
      </c>
      <c r="D1" s="11" t="s">
        <v>3</v>
      </c>
      <c r="E1" s="11" t="s">
        <v>337</v>
      </c>
      <c r="F1" s="11" t="s">
        <v>8</v>
      </c>
      <c r="G1" s="11" t="s">
        <v>6</v>
      </c>
      <c r="H1" s="11" t="s">
        <v>338</v>
      </c>
      <c r="I1" s="11" t="s">
        <v>339</v>
      </c>
      <c r="J1" s="300"/>
      <c r="K1" s="300"/>
      <c r="L1" s="300"/>
      <c r="M1" s="300"/>
      <c r="N1" s="300"/>
      <c r="O1" s="300"/>
      <c r="P1" s="300"/>
      <c r="Q1" s="300"/>
      <c r="R1" s="300"/>
      <c r="S1" s="300"/>
      <c r="T1" s="300"/>
      <c r="U1" s="300"/>
      <c r="V1" s="300"/>
      <c r="W1" s="300"/>
      <c r="X1" s="300"/>
      <c r="Y1" s="300"/>
      <c r="Z1" s="300"/>
      <c r="AA1" s="300"/>
      <c r="AB1" s="300"/>
      <c r="AC1" s="300"/>
      <c r="AD1" s="300"/>
      <c r="AE1" s="300"/>
      <c r="AF1" s="300"/>
      <c r="AG1" s="300"/>
    </row>
    <row r="2" s="299" customFormat="1" ht="45" spans="1:12">
      <c r="A2" s="57" t="s">
        <v>291</v>
      </c>
      <c r="B2" s="54" t="s">
        <v>804</v>
      </c>
      <c r="C2" s="54" t="s">
        <v>191</v>
      </c>
      <c r="D2" s="54" t="s">
        <v>805</v>
      </c>
      <c r="E2" s="38" t="s">
        <v>344</v>
      </c>
      <c r="F2" s="38" t="s">
        <v>24</v>
      </c>
      <c r="G2" s="55" t="s">
        <v>71</v>
      </c>
      <c r="H2" s="54" t="s">
        <v>806</v>
      </c>
      <c r="I2" s="113"/>
      <c r="J2" s="97"/>
      <c r="K2" s="97"/>
      <c r="L2" s="97"/>
    </row>
    <row r="3" s="299" customFormat="1" ht="22.5" spans="1:12">
      <c r="A3" s="58"/>
      <c r="B3" s="54" t="s">
        <v>807</v>
      </c>
      <c r="C3" s="54" t="s">
        <v>621</v>
      </c>
      <c r="D3" s="54" t="s">
        <v>808</v>
      </c>
      <c r="E3" s="38" t="s">
        <v>344</v>
      </c>
      <c r="F3" s="38" t="s">
        <v>24</v>
      </c>
      <c r="G3" s="55" t="s">
        <v>567</v>
      </c>
      <c r="H3" s="54" t="s">
        <v>809</v>
      </c>
      <c r="I3" s="113"/>
      <c r="J3" s="97"/>
      <c r="K3" s="97"/>
      <c r="L3" s="97"/>
    </row>
    <row r="4" s="299" customFormat="1" ht="22.5" spans="1:12">
      <c r="A4" s="58"/>
      <c r="B4" s="54" t="s">
        <v>810</v>
      </c>
      <c r="C4" s="54" t="s">
        <v>625</v>
      </c>
      <c r="D4" s="54" t="s">
        <v>811</v>
      </c>
      <c r="E4" s="38" t="s">
        <v>344</v>
      </c>
      <c r="F4" s="38" t="s">
        <v>24</v>
      </c>
      <c r="G4" s="55" t="s">
        <v>567</v>
      </c>
      <c r="H4" s="54" t="s">
        <v>812</v>
      </c>
      <c r="I4" s="113"/>
      <c r="J4" s="97"/>
      <c r="K4" s="97"/>
      <c r="L4" s="97"/>
    </row>
    <row r="5" s="299" customFormat="1" ht="45" spans="1:12">
      <c r="A5" s="58"/>
      <c r="B5" s="54" t="s">
        <v>813</v>
      </c>
      <c r="C5" s="54" t="s">
        <v>629</v>
      </c>
      <c r="D5" s="54" t="s">
        <v>814</v>
      </c>
      <c r="E5" s="38" t="s">
        <v>344</v>
      </c>
      <c r="F5" s="38" t="s">
        <v>24</v>
      </c>
      <c r="G5" s="55" t="s">
        <v>567</v>
      </c>
      <c r="H5" s="54" t="s">
        <v>815</v>
      </c>
      <c r="I5" s="113"/>
      <c r="J5" s="97"/>
      <c r="K5" s="97"/>
      <c r="L5" s="97"/>
    </row>
    <row r="6" s="299" customFormat="1" spans="1:12">
      <c r="A6" s="58"/>
      <c r="B6" s="54" t="s">
        <v>816</v>
      </c>
      <c r="C6" s="54" t="s">
        <v>817</v>
      </c>
      <c r="D6" s="54" t="s">
        <v>818</v>
      </c>
      <c r="E6" s="38" t="s">
        <v>344</v>
      </c>
      <c r="F6" s="38" t="s">
        <v>24</v>
      </c>
      <c r="G6" s="55" t="s">
        <v>819</v>
      </c>
      <c r="H6" s="56" t="s">
        <v>820</v>
      </c>
      <c r="I6" s="113"/>
      <c r="J6" s="97"/>
      <c r="K6" s="97"/>
      <c r="L6" s="97"/>
    </row>
    <row r="7" s="299" customFormat="1" ht="32.25" customHeight="1" spans="1:12">
      <c r="A7" s="59"/>
      <c r="B7" s="40" t="s">
        <v>821</v>
      </c>
      <c r="C7" s="40" t="s">
        <v>822</v>
      </c>
      <c r="D7" s="54" t="s">
        <v>823</v>
      </c>
      <c r="E7" s="38" t="s">
        <v>608</v>
      </c>
      <c r="F7" s="38" t="s">
        <v>24</v>
      </c>
      <c r="G7" s="54" t="s">
        <v>354</v>
      </c>
      <c r="H7" s="54" t="s">
        <v>824</v>
      </c>
      <c r="I7" s="113"/>
      <c r="J7" s="97"/>
      <c r="K7" s="97"/>
      <c r="L7" s="97"/>
    </row>
  </sheetData>
  <mergeCells count="1">
    <mergeCell ref="A2:A7"/>
  </mergeCells>
  <pageMargins left="0.699305555555556" right="0.699305555555556"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I46"/>
  <sheetViews>
    <sheetView workbookViewId="0">
      <pane xSplit="1" ySplit="1" topLeftCell="B2" activePane="bottomRight" state="frozen"/>
      <selection/>
      <selection pane="topRight"/>
      <selection pane="bottomLeft"/>
      <selection pane="bottomRight" activeCell="B27" sqref="B27"/>
    </sheetView>
  </sheetViews>
  <sheetFormatPr defaultColWidth="43.375" defaultRowHeight="12"/>
  <cols>
    <col min="1" max="1" width="12.25" style="237" customWidth="1"/>
    <col min="2" max="2" width="81.375" style="238" customWidth="1"/>
    <col min="3" max="3" width="12.25" style="238" customWidth="1"/>
    <col min="4" max="4" width="14.375" style="239" customWidth="1"/>
    <col min="5" max="5" width="4.625" style="240" customWidth="1"/>
    <col min="6" max="6" width="12.625" style="239" customWidth="1"/>
    <col min="7" max="7" width="21.375" style="239" customWidth="1"/>
    <col min="8" max="8" width="43.375" style="239"/>
    <col min="9" max="9" width="24.25" style="240" customWidth="1"/>
    <col min="10" max="16384" width="43.375" style="240"/>
  </cols>
  <sheetData>
    <row r="1" ht="27" customHeight="1" spans="1:9">
      <c r="A1" s="11" t="s">
        <v>335</v>
      </c>
      <c r="B1" s="11" t="s">
        <v>336</v>
      </c>
      <c r="C1" s="33" t="s">
        <v>2</v>
      </c>
      <c r="D1" s="11" t="s">
        <v>3</v>
      </c>
      <c r="E1" s="11" t="s">
        <v>337</v>
      </c>
      <c r="F1" s="11" t="s">
        <v>8</v>
      </c>
      <c r="G1" s="11" t="s">
        <v>6</v>
      </c>
      <c r="H1" s="11" t="s">
        <v>338</v>
      </c>
      <c r="I1" s="11" t="s">
        <v>339</v>
      </c>
    </row>
    <row r="2" spans="1:8">
      <c r="A2" s="294" t="s">
        <v>825</v>
      </c>
      <c r="B2" s="35" t="s">
        <v>826</v>
      </c>
      <c r="C2" s="262" t="s">
        <v>827</v>
      </c>
      <c r="D2" s="268" t="s">
        <v>828</v>
      </c>
      <c r="E2" s="243" t="s">
        <v>344</v>
      </c>
      <c r="F2" s="263" t="s">
        <v>24</v>
      </c>
      <c r="G2" s="268" t="s">
        <v>829</v>
      </c>
      <c r="H2" s="251"/>
    </row>
    <row r="3" spans="1:8">
      <c r="A3" s="294"/>
      <c r="B3" s="35" t="s">
        <v>830</v>
      </c>
      <c r="C3" s="262" t="s">
        <v>831</v>
      </c>
      <c r="D3" s="268" t="s">
        <v>832</v>
      </c>
      <c r="E3" s="243" t="s">
        <v>344</v>
      </c>
      <c r="F3" s="263" t="s">
        <v>24</v>
      </c>
      <c r="G3" s="268" t="s">
        <v>829</v>
      </c>
      <c r="H3" s="251" t="s">
        <v>833</v>
      </c>
    </row>
    <row r="4" spans="1:8">
      <c r="A4" s="294"/>
      <c r="B4" s="251" t="s">
        <v>834</v>
      </c>
      <c r="C4" s="262" t="s">
        <v>835</v>
      </c>
      <c r="D4" s="268" t="s">
        <v>836</v>
      </c>
      <c r="E4" s="243" t="s">
        <v>344</v>
      </c>
      <c r="F4" s="263" t="s">
        <v>24</v>
      </c>
      <c r="G4" s="268" t="s">
        <v>345</v>
      </c>
      <c r="H4" s="251" t="s">
        <v>837</v>
      </c>
    </row>
    <row r="5" spans="1:8">
      <c r="A5" s="294"/>
      <c r="B5" s="251" t="s">
        <v>838</v>
      </c>
      <c r="C5" s="262" t="s">
        <v>839</v>
      </c>
      <c r="D5" s="251" t="s">
        <v>840</v>
      </c>
      <c r="E5" s="243" t="s">
        <v>344</v>
      </c>
      <c r="F5" s="263" t="s">
        <v>57</v>
      </c>
      <c r="G5" s="268" t="s">
        <v>841</v>
      </c>
      <c r="H5" s="268" t="s">
        <v>346</v>
      </c>
    </row>
    <row r="6" spans="1:8">
      <c r="A6" s="294"/>
      <c r="B6" s="35" t="s">
        <v>842</v>
      </c>
      <c r="C6" s="262" t="s">
        <v>843</v>
      </c>
      <c r="D6" s="268" t="s">
        <v>844</v>
      </c>
      <c r="E6" s="243" t="s">
        <v>608</v>
      </c>
      <c r="F6" s="263" t="s">
        <v>57</v>
      </c>
      <c r="G6" s="247" t="s">
        <v>845</v>
      </c>
      <c r="H6" s="251"/>
    </row>
    <row r="7" spans="1:8">
      <c r="A7" s="294"/>
      <c r="B7" s="35" t="s">
        <v>846</v>
      </c>
      <c r="C7" s="262" t="s">
        <v>847</v>
      </c>
      <c r="D7" s="268" t="s">
        <v>848</v>
      </c>
      <c r="E7" s="243" t="s">
        <v>608</v>
      </c>
      <c r="F7" s="263" t="s">
        <v>57</v>
      </c>
      <c r="G7" s="202" t="s">
        <v>849</v>
      </c>
      <c r="H7" s="251"/>
    </row>
    <row r="8" ht="22.5" spans="1:8">
      <c r="A8" s="294"/>
      <c r="B8" s="35" t="s">
        <v>850</v>
      </c>
      <c r="C8" s="262" t="s">
        <v>851</v>
      </c>
      <c r="D8" s="268" t="s">
        <v>852</v>
      </c>
      <c r="E8" s="243" t="s">
        <v>344</v>
      </c>
      <c r="F8" s="263" t="s">
        <v>24</v>
      </c>
      <c r="G8" s="268" t="s">
        <v>71</v>
      </c>
      <c r="H8" s="259" t="s">
        <v>853</v>
      </c>
    </row>
    <row r="9" spans="1:8">
      <c r="A9" s="294"/>
      <c r="B9" s="35" t="s">
        <v>854</v>
      </c>
      <c r="C9" s="262" t="s">
        <v>855</v>
      </c>
      <c r="D9" s="268" t="s">
        <v>856</v>
      </c>
      <c r="E9" s="243" t="s">
        <v>344</v>
      </c>
      <c r="F9" s="263" t="s">
        <v>57</v>
      </c>
      <c r="G9" s="268" t="s">
        <v>71</v>
      </c>
      <c r="H9" s="251"/>
    </row>
    <row r="10" spans="1:8">
      <c r="A10" s="294"/>
      <c r="B10" s="35" t="s">
        <v>857</v>
      </c>
      <c r="C10" s="262" t="s">
        <v>858</v>
      </c>
      <c r="D10" s="251" t="s">
        <v>858</v>
      </c>
      <c r="E10" s="243" t="s">
        <v>344</v>
      </c>
      <c r="F10" s="263" t="s">
        <v>24</v>
      </c>
      <c r="G10" s="105" t="s">
        <v>354</v>
      </c>
      <c r="H10" s="268" t="s">
        <v>346</v>
      </c>
    </row>
    <row r="11" spans="1:8">
      <c r="A11" s="294"/>
      <c r="B11" s="251" t="s">
        <v>859</v>
      </c>
      <c r="C11" s="262" t="s">
        <v>860</v>
      </c>
      <c r="D11" s="251" t="s">
        <v>860</v>
      </c>
      <c r="E11" s="243" t="s">
        <v>344</v>
      </c>
      <c r="F11" s="263" t="s">
        <v>24</v>
      </c>
      <c r="G11" s="105" t="s">
        <v>354</v>
      </c>
      <c r="H11" s="268" t="s">
        <v>346</v>
      </c>
    </row>
    <row r="12" spans="1:8">
      <c r="A12" s="294"/>
      <c r="B12" s="35" t="s">
        <v>861</v>
      </c>
      <c r="C12" s="262" t="s">
        <v>862</v>
      </c>
      <c r="D12" s="251" t="s">
        <v>862</v>
      </c>
      <c r="E12" s="243" t="s">
        <v>344</v>
      </c>
      <c r="F12" s="263" t="s">
        <v>57</v>
      </c>
      <c r="G12" s="268" t="s">
        <v>345</v>
      </c>
      <c r="H12" s="268" t="s">
        <v>346</v>
      </c>
    </row>
    <row r="13" spans="1:8">
      <c r="A13" s="294"/>
      <c r="B13" s="251" t="s">
        <v>863</v>
      </c>
      <c r="C13" s="262" t="s">
        <v>864</v>
      </c>
      <c r="D13" s="251" t="s">
        <v>865</v>
      </c>
      <c r="E13" s="243" t="s">
        <v>344</v>
      </c>
      <c r="F13" s="263" t="s">
        <v>57</v>
      </c>
      <c r="G13" s="268" t="s">
        <v>866</v>
      </c>
      <c r="H13" s="268" t="s">
        <v>346</v>
      </c>
    </row>
    <row r="14" spans="1:8">
      <c r="A14" s="294"/>
      <c r="B14" s="251" t="s">
        <v>867</v>
      </c>
      <c r="C14" s="262" t="s">
        <v>868</v>
      </c>
      <c r="D14" s="251" t="s">
        <v>869</v>
      </c>
      <c r="E14" s="243" t="s">
        <v>344</v>
      </c>
      <c r="F14" s="263" t="s">
        <v>57</v>
      </c>
      <c r="G14" s="268" t="s">
        <v>870</v>
      </c>
      <c r="H14" s="268" t="s">
        <v>346</v>
      </c>
    </row>
    <row r="15" spans="1:8">
      <c r="A15" s="294"/>
      <c r="B15" s="251" t="s">
        <v>871</v>
      </c>
      <c r="C15" s="262" t="s">
        <v>872</v>
      </c>
      <c r="D15" s="251" t="s">
        <v>872</v>
      </c>
      <c r="E15" s="243" t="s">
        <v>344</v>
      </c>
      <c r="F15" s="263" t="s">
        <v>57</v>
      </c>
      <c r="G15" s="105" t="s">
        <v>873</v>
      </c>
      <c r="H15" s="268" t="s">
        <v>346</v>
      </c>
    </row>
    <row r="16" ht="22.5" spans="1:8">
      <c r="A16" s="294"/>
      <c r="B16" s="251" t="s">
        <v>874</v>
      </c>
      <c r="C16" s="262" t="s">
        <v>875</v>
      </c>
      <c r="D16" s="251" t="s">
        <v>876</v>
      </c>
      <c r="E16" s="243" t="s">
        <v>344</v>
      </c>
      <c r="F16" s="263" t="s">
        <v>57</v>
      </c>
      <c r="G16" s="105" t="s">
        <v>877</v>
      </c>
      <c r="H16" s="268" t="s">
        <v>346</v>
      </c>
    </row>
    <row r="17" spans="1:8">
      <c r="A17" s="294"/>
      <c r="B17" s="35" t="s">
        <v>878</v>
      </c>
      <c r="C17" s="262" t="s">
        <v>862</v>
      </c>
      <c r="D17" s="202" t="s">
        <v>879</v>
      </c>
      <c r="E17" s="243" t="s">
        <v>608</v>
      </c>
      <c r="F17" s="263" t="s">
        <v>24</v>
      </c>
      <c r="G17" s="268" t="s">
        <v>345</v>
      </c>
      <c r="H17" s="202" t="s">
        <v>880</v>
      </c>
    </row>
    <row r="18" ht="22.5" spans="1:8">
      <c r="A18" s="294"/>
      <c r="B18" s="247" t="s">
        <v>881</v>
      </c>
      <c r="C18" s="242" t="s">
        <v>882</v>
      </c>
      <c r="D18" s="202" t="s">
        <v>882</v>
      </c>
      <c r="E18" s="243" t="s">
        <v>608</v>
      </c>
      <c r="F18" s="244" t="s">
        <v>57</v>
      </c>
      <c r="G18" s="245" t="s">
        <v>883</v>
      </c>
      <c r="H18" s="202" t="s">
        <v>884</v>
      </c>
    </row>
    <row r="19" spans="1:8">
      <c r="A19" s="295" t="s">
        <v>885</v>
      </c>
      <c r="B19" s="251" t="s">
        <v>886</v>
      </c>
      <c r="C19" s="262" t="s">
        <v>887</v>
      </c>
      <c r="D19" s="268" t="s">
        <v>888</v>
      </c>
      <c r="E19" s="243" t="s">
        <v>344</v>
      </c>
      <c r="F19" s="263" t="s">
        <v>24</v>
      </c>
      <c r="G19" s="268" t="s">
        <v>889</v>
      </c>
      <c r="H19" s="296"/>
    </row>
    <row r="20" spans="1:8">
      <c r="A20" s="294"/>
      <c r="B20" s="35" t="s">
        <v>890</v>
      </c>
      <c r="C20" s="262" t="s">
        <v>891</v>
      </c>
      <c r="D20" s="268" t="s">
        <v>832</v>
      </c>
      <c r="E20" s="243" t="s">
        <v>344</v>
      </c>
      <c r="F20" s="263" t="s">
        <v>24</v>
      </c>
      <c r="G20" s="268" t="s">
        <v>829</v>
      </c>
      <c r="H20" s="296"/>
    </row>
    <row r="21" spans="1:8">
      <c r="A21" s="294"/>
      <c r="B21" s="35" t="s">
        <v>892</v>
      </c>
      <c r="C21" s="262" t="s">
        <v>843</v>
      </c>
      <c r="D21" s="268" t="s">
        <v>893</v>
      </c>
      <c r="E21" s="243" t="s">
        <v>344</v>
      </c>
      <c r="F21" s="263" t="s">
        <v>57</v>
      </c>
      <c r="G21" s="268" t="s">
        <v>845</v>
      </c>
      <c r="H21" s="296"/>
    </row>
    <row r="22" ht="22.5" spans="1:8">
      <c r="A22" s="294"/>
      <c r="B22" s="35" t="s">
        <v>894</v>
      </c>
      <c r="C22" s="262" t="s">
        <v>851</v>
      </c>
      <c r="D22" s="225" t="s">
        <v>895</v>
      </c>
      <c r="E22" s="243" t="s">
        <v>344</v>
      </c>
      <c r="F22" s="263" t="s">
        <v>24</v>
      </c>
      <c r="G22" s="225" t="s">
        <v>71</v>
      </c>
      <c r="H22" s="202" t="s">
        <v>505</v>
      </c>
    </row>
    <row r="23" ht="22.5" spans="1:8">
      <c r="A23" s="294"/>
      <c r="B23" s="35" t="s">
        <v>896</v>
      </c>
      <c r="C23" s="262" t="s">
        <v>855</v>
      </c>
      <c r="D23" s="225" t="s">
        <v>897</v>
      </c>
      <c r="E23" s="243" t="s">
        <v>344</v>
      </c>
      <c r="F23" s="263" t="s">
        <v>57</v>
      </c>
      <c r="G23" s="225" t="s">
        <v>71</v>
      </c>
      <c r="H23" s="202" t="s">
        <v>505</v>
      </c>
    </row>
    <row r="24" spans="1:8">
      <c r="A24" s="294"/>
      <c r="B24" s="35" t="s">
        <v>898</v>
      </c>
      <c r="C24" s="262" t="s">
        <v>899</v>
      </c>
      <c r="D24" s="105" t="s">
        <v>900</v>
      </c>
      <c r="E24" s="243" t="s">
        <v>344</v>
      </c>
      <c r="F24" s="263" t="s">
        <v>57</v>
      </c>
      <c r="G24" s="105" t="s">
        <v>901</v>
      </c>
      <c r="H24" s="296"/>
    </row>
    <row r="25" ht="22.5" spans="1:8">
      <c r="A25" s="294"/>
      <c r="B25" s="35" t="s">
        <v>902</v>
      </c>
      <c r="C25" s="262" t="s">
        <v>862</v>
      </c>
      <c r="D25" s="225" t="s">
        <v>903</v>
      </c>
      <c r="E25" s="243" t="s">
        <v>344</v>
      </c>
      <c r="F25" s="263" t="s">
        <v>57</v>
      </c>
      <c r="G25" s="225" t="s">
        <v>345</v>
      </c>
      <c r="H25" s="296"/>
    </row>
    <row r="26" spans="1:8">
      <c r="A26" s="294"/>
      <c r="B26" s="35" t="s">
        <v>904</v>
      </c>
      <c r="C26" s="251" t="s">
        <v>905</v>
      </c>
      <c r="D26" s="251" t="s">
        <v>906</v>
      </c>
      <c r="E26" s="243" t="s">
        <v>608</v>
      </c>
      <c r="F26" s="263" t="s">
        <v>24</v>
      </c>
      <c r="G26" s="251" t="s">
        <v>907</v>
      </c>
      <c r="H26" s="251"/>
    </row>
    <row r="27" spans="1:8">
      <c r="A27" s="294"/>
      <c r="B27" s="35" t="s">
        <v>908</v>
      </c>
      <c r="C27" s="251" t="s">
        <v>909</v>
      </c>
      <c r="D27" s="251" t="s">
        <v>910</v>
      </c>
      <c r="E27" s="243" t="s">
        <v>608</v>
      </c>
      <c r="F27" s="263" t="s">
        <v>24</v>
      </c>
      <c r="G27" s="251" t="s">
        <v>845</v>
      </c>
      <c r="H27" s="251"/>
    </row>
    <row r="28" spans="1:8">
      <c r="A28" s="294"/>
      <c r="B28" s="251" t="s">
        <v>911</v>
      </c>
      <c r="C28" s="251" t="s">
        <v>912</v>
      </c>
      <c r="D28" s="251" t="s">
        <v>913</v>
      </c>
      <c r="E28" s="243" t="s">
        <v>344</v>
      </c>
      <c r="F28" s="263" t="s">
        <v>57</v>
      </c>
      <c r="G28" s="268" t="s">
        <v>889</v>
      </c>
      <c r="H28" s="251"/>
    </row>
    <row r="29" spans="1:8">
      <c r="A29" s="294"/>
      <c r="B29" s="251" t="s">
        <v>914</v>
      </c>
      <c r="C29" s="251" t="s">
        <v>915</v>
      </c>
      <c r="D29" s="251" t="s">
        <v>916</v>
      </c>
      <c r="E29" s="243" t="s">
        <v>344</v>
      </c>
      <c r="F29" s="263" t="s">
        <v>57</v>
      </c>
      <c r="G29" s="268" t="s">
        <v>889</v>
      </c>
      <c r="H29" s="251"/>
    </row>
    <row r="30" spans="1:8">
      <c r="A30" s="294"/>
      <c r="B30" s="251" t="s">
        <v>917</v>
      </c>
      <c r="C30" s="262" t="s">
        <v>847</v>
      </c>
      <c r="D30" s="225" t="s">
        <v>918</v>
      </c>
      <c r="E30" s="243" t="s">
        <v>344</v>
      </c>
      <c r="F30" s="263" t="s">
        <v>24</v>
      </c>
      <c r="G30" s="225" t="s">
        <v>919</v>
      </c>
      <c r="H30" s="296"/>
    </row>
    <row r="31" spans="1:8">
      <c r="A31" s="294"/>
      <c r="B31" s="35" t="s">
        <v>920</v>
      </c>
      <c r="C31" s="262" t="s">
        <v>921</v>
      </c>
      <c r="D31" s="225" t="s">
        <v>922</v>
      </c>
      <c r="E31" s="243" t="s">
        <v>344</v>
      </c>
      <c r="F31" s="263" t="s">
        <v>24</v>
      </c>
      <c r="G31" s="268" t="s">
        <v>889</v>
      </c>
      <c r="H31" s="296"/>
    </row>
    <row r="32" spans="1:8">
      <c r="A32" s="294"/>
      <c r="B32" s="35" t="s">
        <v>923</v>
      </c>
      <c r="C32" s="262" t="s">
        <v>827</v>
      </c>
      <c r="D32" s="225" t="s">
        <v>828</v>
      </c>
      <c r="E32" s="243" t="s">
        <v>344</v>
      </c>
      <c r="F32" s="263" t="s">
        <v>24</v>
      </c>
      <c r="G32" s="225" t="s">
        <v>829</v>
      </c>
      <c r="H32" s="296"/>
    </row>
    <row r="33" spans="1:8">
      <c r="A33" s="294"/>
      <c r="B33" s="35" t="s">
        <v>924</v>
      </c>
      <c r="C33" s="262" t="s">
        <v>925</v>
      </c>
      <c r="D33" s="225" t="s">
        <v>888</v>
      </c>
      <c r="E33" s="243" t="s">
        <v>608</v>
      </c>
      <c r="F33" s="263" t="s">
        <v>24</v>
      </c>
      <c r="G33" s="225" t="s">
        <v>889</v>
      </c>
      <c r="H33" s="296"/>
    </row>
    <row r="34" spans="1:8">
      <c r="A34" s="294"/>
      <c r="B34" s="35" t="s">
        <v>926</v>
      </c>
      <c r="C34" s="262" t="s">
        <v>891</v>
      </c>
      <c r="D34" s="225" t="s">
        <v>832</v>
      </c>
      <c r="E34" s="243" t="s">
        <v>608</v>
      </c>
      <c r="F34" s="263" t="s">
        <v>24</v>
      </c>
      <c r="G34" s="225" t="s">
        <v>829</v>
      </c>
      <c r="H34" s="296"/>
    </row>
    <row r="35" spans="1:8">
      <c r="A35" s="294"/>
      <c r="B35" s="35" t="s">
        <v>927</v>
      </c>
      <c r="C35" s="262" t="s">
        <v>928</v>
      </c>
      <c r="D35" s="225" t="s">
        <v>893</v>
      </c>
      <c r="E35" s="243" t="s">
        <v>608</v>
      </c>
      <c r="F35" s="263" t="s">
        <v>24</v>
      </c>
      <c r="G35" s="225" t="s">
        <v>845</v>
      </c>
      <c r="H35" s="296"/>
    </row>
    <row r="36" spans="1:8">
      <c r="A36" s="294"/>
      <c r="B36" s="35" t="s">
        <v>929</v>
      </c>
      <c r="C36" s="262" t="s">
        <v>930</v>
      </c>
      <c r="D36" s="225" t="s">
        <v>931</v>
      </c>
      <c r="E36" s="243" t="s">
        <v>608</v>
      </c>
      <c r="F36" s="263" t="s">
        <v>24</v>
      </c>
      <c r="G36" s="225" t="s">
        <v>932</v>
      </c>
      <c r="H36" s="296" t="s">
        <v>933</v>
      </c>
    </row>
    <row r="37" ht="22.5" spans="1:8">
      <c r="A37" s="294"/>
      <c r="B37" s="35" t="s">
        <v>934</v>
      </c>
      <c r="C37" s="262" t="s">
        <v>851</v>
      </c>
      <c r="D37" s="225" t="s">
        <v>895</v>
      </c>
      <c r="E37" s="243" t="s">
        <v>608</v>
      </c>
      <c r="F37" s="263" t="s">
        <v>24</v>
      </c>
      <c r="G37" s="225" t="s">
        <v>71</v>
      </c>
      <c r="H37" s="296" t="s">
        <v>505</v>
      </c>
    </row>
    <row r="38" ht="22.5" spans="1:8">
      <c r="A38" s="294"/>
      <c r="B38" s="35" t="s">
        <v>935</v>
      </c>
      <c r="C38" s="262" t="s">
        <v>855</v>
      </c>
      <c r="D38" s="225" t="s">
        <v>897</v>
      </c>
      <c r="E38" s="243" t="s">
        <v>608</v>
      </c>
      <c r="F38" s="263" t="s">
        <v>57</v>
      </c>
      <c r="G38" s="225" t="s">
        <v>71</v>
      </c>
      <c r="H38" s="296" t="s">
        <v>505</v>
      </c>
    </row>
    <row r="39" spans="1:8">
      <c r="A39" s="294"/>
      <c r="B39" s="35" t="s">
        <v>936</v>
      </c>
      <c r="C39" s="262" t="s">
        <v>899</v>
      </c>
      <c r="D39" s="225" t="s">
        <v>900</v>
      </c>
      <c r="E39" s="243" t="s">
        <v>608</v>
      </c>
      <c r="F39" s="263" t="s">
        <v>57</v>
      </c>
      <c r="G39" s="225" t="s">
        <v>901</v>
      </c>
      <c r="H39" s="296"/>
    </row>
    <row r="40" spans="1:8">
      <c r="A40" s="294"/>
      <c r="B40" s="35" t="s">
        <v>937</v>
      </c>
      <c r="C40" s="262" t="s">
        <v>862</v>
      </c>
      <c r="D40" s="225" t="s">
        <v>903</v>
      </c>
      <c r="E40" s="243" t="s">
        <v>608</v>
      </c>
      <c r="F40" s="263" t="s">
        <v>57</v>
      </c>
      <c r="G40" s="225" t="s">
        <v>345</v>
      </c>
      <c r="H40" s="296"/>
    </row>
    <row r="41" spans="1:8">
      <c r="A41" s="294"/>
      <c r="B41" s="35" t="s">
        <v>938</v>
      </c>
      <c r="C41" s="262" t="s">
        <v>909</v>
      </c>
      <c r="D41" s="251" t="s">
        <v>910</v>
      </c>
      <c r="E41" s="243" t="s">
        <v>608</v>
      </c>
      <c r="F41" s="263" t="s">
        <v>24</v>
      </c>
      <c r="G41" s="251" t="s">
        <v>845</v>
      </c>
      <c r="H41" s="296"/>
    </row>
    <row r="42" spans="1:8">
      <c r="A42" s="294"/>
      <c r="B42" s="35" t="s">
        <v>939</v>
      </c>
      <c r="C42" s="262" t="s">
        <v>905</v>
      </c>
      <c r="D42" s="251" t="s">
        <v>906</v>
      </c>
      <c r="E42" s="243" t="s">
        <v>608</v>
      </c>
      <c r="F42" s="263" t="s">
        <v>24</v>
      </c>
      <c r="G42" s="251" t="s">
        <v>907</v>
      </c>
      <c r="H42" s="296"/>
    </row>
    <row r="43" spans="1:8">
      <c r="A43" s="297" t="s">
        <v>940</v>
      </c>
      <c r="B43" s="251" t="s">
        <v>941</v>
      </c>
      <c r="C43" s="242" t="s">
        <v>942</v>
      </c>
      <c r="D43" s="202" t="s">
        <v>893</v>
      </c>
      <c r="E43" s="243" t="s">
        <v>344</v>
      </c>
      <c r="F43" s="263" t="s">
        <v>24</v>
      </c>
      <c r="G43" s="202" t="s">
        <v>845</v>
      </c>
      <c r="H43" s="202" t="s">
        <v>943</v>
      </c>
    </row>
    <row r="44" spans="1:8">
      <c r="A44" s="297"/>
      <c r="B44" s="251" t="s">
        <v>944</v>
      </c>
      <c r="C44" s="242" t="s">
        <v>945</v>
      </c>
      <c r="D44" s="202" t="s">
        <v>946</v>
      </c>
      <c r="E44" s="243" t="s">
        <v>344</v>
      </c>
      <c r="F44" s="263" t="s">
        <v>24</v>
      </c>
      <c r="G44" s="202" t="s">
        <v>947</v>
      </c>
      <c r="H44" s="202" t="s">
        <v>948</v>
      </c>
    </row>
    <row r="45" spans="1:8">
      <c r="A45" s="297"/>
      <c r="B45" s="251" t="s">
        <v>949</v>
      </c>
      <c r="C45" s="242" t="s">
        <v>950</v>
      </c>
      <c r="D45" s="202" t="s">
        <v>951</v>
      </c>
      <c r="E45" s="243" t="s">
        <v>344</v>
      </c>
      <c r="F45" s="263" t="s">
        <v>24</v>
      </c>
      <c r="G45" s="202" t="s">
        <v>919</v>
      </c>
      <c r="H45" s="202" t="s">
        <v>952</v>
      </c>
    </row>
    <row r="46" ht="22.5" spans="1:8">
      <c r="A46" s="297"/>
      <c r="B46" s="35" t="s">
        <v>953</v>
      </c>
      <c r="C46" s="251" t="s">
        <v>851</v>
      </c>
      <c r="D46" s="251" t="s">
        <v>954</v>
      </c>
      <c r="E46" s="243" t="s">
        <v>344</v>
      </c>
      <c r="F46" s="263" t="s">
        <v>24</v>
      </c>
      <c r="G46" s="251" t="s">
        <v>382</v>
      </c>
      <c r="H46" s="251" t="s">
        <v>955</v>
      </c>
    </row>
  </sheetData>
  <mergeCells count="3">
    <mergeCell ref="A2:A18"/>
    <mergeCell ref="A19:A42"/>
    <mergeCell ref="A43:A46"/>
  </mergeCells>
  <pageMargins left="0.699305555555556" right="0.699305555555556"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I2"/>
  <sheetViews>
    <sheetView workbookViewId="0">
      <pane xSplit="1" ySplit="1" topLeftCell="B2" activePane="bottomRight" state="frozen"/>
      <selection/>
      <selection pane="topRight"/>
      <selection pane="bottomLeft"/>
      <selection pane="bottomRight" activeCell="B2" sqref="B2"/>
    </sheetView>
  </sheetViews>
  <sheetFormatPr defaultColWidth="43.375" defaultRowHeight="12" outlineLevelRow="1"/>
  <cols>
    <col min="1" max="1" width="22.625" style="237" customWidth="1"/>
    <col min="2" max="2" width="77.875" style="238" customWidth="1"/>
    <col min="3" max="3" width="9" style="238" customWidth="1"/>
    <col min="4" max="4" width="14.375" style="239" customWidth="1"/>
    <col min="5" max="5" width="4.625" style="240" customWidth="1"/>
    <col min="6" max="6" width="12.625" style="239" customWidth="1"/>
    <col min="7" max="7" width="15.375" style="239" customWidth="1"/>
    <col min="8" max="8" width="28.5" style="239" customWidth="1"/>
    <col min="9" max="9" width="28" style="240" customWidth="1"/>
    <col min="10" max="16384" width="43.375" style="240"/>
  </cols>
  <sheetData>
    <row r="1" ht="27.75" customHeight="1" spans="1:9">
      <c r="A1" s="11" t="s">
        <v>335</v>
      </c>
      <c r="B1" s="11" t="s">
        <v>336</v>
      </c>
      <c r="C1" s="33" t="s">
        <v>2</v>
      </c>
      <c r="D1" s="11" t="s">
        <v>3</v>
      </c>
      <c r="E1" s="11" t="s">
        <v>337</v>
      </c>
      <c r="F1" s="11" t="s">
        <v>8</v>
      </c>
      <c r="G1" s="11" t="s">
        <v>6</v>
      </c>
      <c r="H1" s="11" t="s">
        <v>338</v>
      </c>
      <c r="I1" s="11" t="s">
        <v>339</v>
      </c>
    </row>
    <row r="2" ht="22.5" spans="1:9">
      <c r="A2" s="292" t="s">
        <v>956</v>
      </c>
      <c r="B2" s="74" t="s">
        <v>957</v>
      </c>
      <c r="C2" s="287" t="s">
        <v>958</v>
      </c>
      <c r="D2" s="287" t="s">
        <v>959</v>
      </c>
      <c r="E2" s="281" t="s">
        <v>344</v>
      </c>
      <c r="F2" s="281" t="s">
        <v>24</v>
      </c>
      <c r="G2" s="293" t="s">
        <v>71</v>
      </c>
      <c r="H2" s="289" t="s">
        <v>668</v>
      </c>
      <c r="I2" s="291"/>
    </row>
  </sheetData>
  <pageMargins left="0.699305555555556" right="0.699305555555556"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I38"/>
  <sheetViews>
    <sheetView workbookViewId="0">
      <pane xSplit="1" ySplit="1" topLeftCell="B8" activePane="bottomRight" state="frozen"/>
      <selection/>
      <selection pane="topRight"/>
      <selection pane="bottomLeft"/>
      <selection pane="bottomRight" activeCell="E5" sqref="E5"/>
    </sheetView>
  </sheetViews>
  <sheetFormatPr defaultColWidth="43.375" defaultRowHeight="12"/>
  <cols>
    <col min="1" max="1" width="12.5" style="237" customWidth="1"/>
    <col min="2" max="2" width="61.75" style="238" customWidth="1"/>
    <col min="3" max="3" width="12.875" style="238" customWidth="1"/>
    <col min="4" max="4" width="14.375" style="239" customWidth="1"/>
    <col min="5" max="5" width="4.625" style="240" customWidth="1"/>
    <col min="6" max="6" width="12.625" style="239" customWidth="1"/>
    <col min="7" max="7" width="15.5" style="239" customWidth="1"/>
    <col min="8" max="8" width="28.5" style="239" customWidth="1"/>
    <col min="9" max="9" width="28" style="240" customWidth="1"/>
    <col min="10" max="16384" width="43.375" style="240"/>
  </cols>
  <sheetData>
    <row r="1" ht="27.75" customHeight="1" spans="1:9">
      <c r="A1" s="11" t="s">
        <v>335</v>
      </c>
      <c r="B1" s="11" t="s">
        <v>336</v>
      </c>
      <c r="C1" s="33" t="s">
        <v>2</v>
      </c>
      <c r="D1" s="11" t="s">
        <v>3</v>
      </c>
      <c r="E1" s="11" t="s">
        <v>337</v>
      </c>
      <c r="F1" s="11" t="s">
        <v>8</v>
      </c>
      <c r="G1" s="11" t="s">
        <v>6</v>
      </c>
      <c r="H1" s="11" t="s">
        <v>338</v>
      </c>
      <c r="I1" s="11" t="s">
        <v>339</v>
      </c>
    </row>
    <row r="2" ht="22.5" spans="1:9">
      <c r="A2" s="279" t="s">
        <v>300</v>
      </c>
      <c r="B2" s="280" t="s">
        <v>960</v>
      </c>
      <c r="C2" s="280" t="s">
        <v>961</v>
      </c>
      <c r="D2" s="232" t="s">
        <v>962</v>
      </c>
      <c r="E2" s="281" t="s">
        <v>608</v>
      </c>
      <c r="F2" s="282" t="s">
        <v>24</v>
      </c>
      <c r="G2" s="280" t="s">
        <v>419</v>
      </c>
      <c r="H2" s="280" t="s">
        <v>963</v>
      </c>
      <c r="I2" s="291"/>
    </row>
    <row r="3" ht="78.75" spans="1:9">
      <c r="A3" s="283"/>
      <c r="B3" s="280" t="s">
        <v>964</v>
      </c>
      <c r="C3" s="280" t="s">
        <v>965</v>
      </c>
      <c r="D3" s="232" t="s">
        <v>966</v>
      </c>
      <c r="E3" s="281" t="s">
        <v>608</v>
      </c>
      <c r="F3" s="282" t="s">
        <v>24</v>
      </c>
      <c r="G3" s="280" t="s">
        <v>419</v>
      </c>
      <c r="H3" s="280" t="s">
        <v>967</v>
      </c>
      <c r="I3" s="291"/>
    </row>
    <row r="4" ht="22.5" spans="1:9">
      <c r="A4" s="283"/>
      <c r="B4" s="280" t="s">
        <v>968</v>
      </c>
      <c r="C4" s="280" t="s">
        <v>969</v>
      </c>
      <c r="D4" s="232" t="s">
        <v>970</v>
      </c>
      <c r="E4" s="243" t="s">
        <v>475</v>
      </c>
      <c r="F4" s="282" t="s">
        <v>24</v>
      </c>
      <c r="G4" s="280" t="s">
        <v>71</v>
      </c>
      <c r="H4" s="280" t="s">
        <v>971</v>
      </c>
      <c r="I4" s="291"/>
    </row>
    <row r="5" ht="22.5" spans="1:9">
      <c r="A5" s="283"/>
      <c r="B5" s="280" t="s">
        <v>972</v>
      </c>
      <c r="C5" s="280" t="s">
        <v>973</v>
      </c>
      <c r="D5" s="232" t="s">
        <v>974</v>
      </c>
      <c r="E5" s="284" t="s">
        <v>475</v>
      </c>
      <c r="F5" s="282" t="s">
        <v>24</v>
      </c>
      <c r="G5" s="280" t="s">
        <v>71</v>
      </c>
      <c r="H5" s="280" t="s">
        <v>975</v>
      </c>
      <c r="I5" s="291"/>
    </row>
    <row r="6" ht="22.5" spans="1:9">
      <c r="A6" s="283"/>
      <c r="B6" s="280" t="s">
        <v>976</v>
      </c>
      <c r="C6" s="280" t="s">
        <v>977</v>
      </c>
      <c r="D6" s="232" t="s">
        <v>978</v>
      </c>
      <c r="E6" s="284" t="s">
        <v>475</v>
      </c>
      <c r="F6" s="282" t="s">
        <v>24</v>
      </c>
      <c r="G6" s="280" t="s">
        <v>28</v>
      </c>
      <c r="H6" s="280" t="s">
        <v>979</v>
      </c>
      <c r="I6" s="291"/>
    </row>
    <row r="7" ht="22.5" spans="1:9">
      <c r="A7" s="283"/>
      <c r="B7" s="280" t="s">
        <v>980</v>
      </c>
      <c r="C7" s="280" t="s">
        <v>981</v>
      </c>
      <c r="D7" s="232" t="s">
        <v>982</v>
      </c>
      <c r="E7" s="284" t="s">
        <v>608</v>
      </c>
      <c r="F7" s="282" t="s">
        <v>24</v>
      </c>
      <c r="G7" s="280" t="s">
        <v>354</v>
      </c>
      <c r="H7" s="280" t="s">
        <v>982</v>
      </c>
      <c r="I7" s="291"/>
    </row>
    <row r="8" ht="22.5" spans="1:9">
      <c r="A8" s="283"/>
      <c r="B8" s="280" t="s">
        <v>983</v>
      </c>
      <c r="C8" s="280" t="s">
        <v>984</v>
      </c>
      <c r="D8" s="232" t="s">
        <v>985</v>
      </c>
      <c r="E8" s="284" t="s">
        <v>608</v>
      </c>
      <c r="F8" s="282" t="s">
        <v>24</v>
      </c>
      <c r="G8" s="280" t="s">
        <v>354</v>
      </c>
      <c r="H8" s="280" t="s">
        <v>985</v>
      </c>
      <c r="I8" s="291"/>
    </row>
    <row r="9" spans="1:9">
      <c r="A9" s="283"/>
      <c r="B9" s="280" t="s">
        <v>986</v>
      </c>
      <c r="C9" s="280" t="s">
        <v>969</v>
      </c>
      <c r="D9" s="232" t="s">
        <v>987</v>
      </c>
      <c r="E9" s="284" t="s">
        <v>608</v>
      </c>
      <c r="F9" s="282" t="s">
        <v>24</v>
      </c>
      <c r="G9" s="280" t="s">
        <v>71</v>
      </c>
      <c r="H9" s="280" t="s">
        <v>988</v>
      </c>
      <c r="I9" s="291"/>
    </row>
    <row r="10" ht="22.5" spans="1:9">
      <c r="A10" s="283"/>
      <c r="B10" s="280" t="s">
        <v>989</v>
      </c>
      <c r="C10" s="280" t="s">
        <v>990</v>
      </c>
      <c r="D10" s="232" t="s">
        <v>991</v>
      </c>
      <c r="E10" s="284" t="s">
        <v>475</v>
      </c>
      <c r="F10" s="282" t="s">
        <v>24</v>
      </c>
      <c r="G10" s="280" t="s">
        <v>71</v>
      </c>
      <c r="H10" s="280" t="s">
        <v>992</v>
      </c>
      <c r="I10" s="291"/>
    </row>
    <row r="11" ht="22.5" spans="1:9">
      <c r="A11" s="283"/>
      <c r="B11" s="280" t="s">
        <v>993</v>
      </c>
      <c r="C11" s="280" t="s">
        <v>994</v>
      </c>
      <c r="D11" s="252" t="s">
        <v>995</v>
      </c>
      <c r="E11" s="284" t="s">
        <v>475</v>
      </c>
      <c r="F11" s="166" t="s">
        <v>24</v>
      </c>
      <c r="G11" s="252" t="s">
        <v>354</v>
      </c>
      <c r="H11" s="253" t="s">
        <v>996</v>
      </c>
      <c r="I11" s="291"/>
    </row>
    <row r="12" ht="22.5" spans="1:9">
      <c r="A12" s="283"/>
      <c r="B12" s="280" t="s">
        <v>997</v>
      </c>
      <c r="C12" s="280" t="s">
        <v>998</v>
      </c>
      <c r="D12" s="232" t="s">
        <v>999</v>
      </c>
      <c r="E12" s="284" t="s">
        <v>608</v>
      </c>
      <c r="F12" s="282" t="s">
        <v>24</v>
      </c>
      <c r="G12" s="280" t="s">
        <v>71</v>
      </c>
      <c r="H12" s="280" t="s">
        <v>1000</v>
      </c>
      <c r="I12" s="291"/>
    </row>
    <row r="13" ht="22.5" spans="1:9">
      <c r="A13" s="283"/>
      <c r="B13" s="280" t="s">
        <v>1001</v>
      </c>
      <c r="C13" s="280" t="s">
        <v>1002</v>
      </c>
      <c r="D13" s="232" t="s">
        <v>1003</v>
      </c>
      <c r="E13" s="284" t="s">
        <v>475</v>
      </c>
      <c r="F13" s="282" t="s">
        <v>24</v>
      </c>
      <c r="G13" s="280" t="s">
        <v>71</v>
      </c>
      <c r="H13" s="280" t="s">
        <v>1004</v>
      </c>
      <c r="I13" s="291"/>
    </row>
    <row r="14" ht="22.5" spans="1:9">
      <c r="A14" s="283"/>
      <c r="B14" s="280" t="s">
        <v>1005</v>
      </c>
      <c r="C14" s="280" t="s">
        <v>1006</v>
      </c>
      <c r="D14" s="232" t="s">
        <v>1007</v>
      </c>
      <c r="E14" s="284" t="s">
        <v>475</v>
      </c>
      <c r="F14" s="282" t="s">
        <v>24</v>
      </c>
      <c r="G14" s="280" t="s">
        <v>71</v>
      </c>
      <c r="H14" s="280" t="s">
        <v>1008</v>
      </c>
      <c r="I14" s="291"/>
    </row>
    <row r="15" ht="22.5" spans="1:9">
      <c r="A15" s="283"/>
      <c r="B15" s="280" t="s">
        <v>1009</v>
      </c>
      <c r="C15" s="280" t="s">
        <v>1010</v>
      </c>
      <c r="D15" s="232" t="s">
        <v>1011</v>
      </c>
      <c r="E15" s="284" t="s">
        <v>475</v>
      </c>
      <c r="F15" s="282" t="s">
        <v>24</v>
      </c>
      <c r="G15" s="252" t="s">
        <v>1012</v>
      </c>
      <c r="H15" s="253" t="s">
        <v>1013</v>
      </c>
      <c r="I15" s="291"/>
    </row>
    <row r="16" ht="22.5" spans="1:9">
      <c r="A16" s="283"/>
      <c r="B16" s="280" t="s">
        <v>1014</v>
      </c>
      <c r="C16" s="280" t="s">
        <v>1015</v>
      </c>
      <c r="D16" s="232" t="s">
        <v>1016</v>
      </c>
      <c r="E16" s="284" t="s">
        <v>475</v>
      </c>
      <c r="F16" s="282" t="s">
        <v>24</v>
      </c>
      <c r="G16" s="252" t="s">
        <v>1012</v>
      </c>
      <c r="H16" s="253" t="s">
        <v>1017</v>
      </c>
      <c r="I16" s="291"/>
    </row>
    <row r="17" ht="56.25" spans="1:9">
      <c r="A17" s="283"/>
      <c r="B17" s="280" t="s">
        <v>1018</v>
      </c>
      <c r="C17" s="280" t="s">
        <v>1019</v>
      </c>
      <c r="D17" s="232" t="s">
        <v>1020</v>
      </c>
      <c r="E17" s="284" t="s">
        <v>475</v>
      </c>
      <c r="F17" s="282" t="s">
        <v>24</v>
      </c>
      <c r="G17" s="280" t="s">
        <v>28</v>
      </c>
      <c r="H17" s="280" t="s">
        <v>1021</v>
      </c>
      <c r="I17" s="291"/>
    </row>
    <row r="18" ht="22.5" spans="1:9">
      <c r="A18" s="283"/>
      <c r="B18" s="280" t="s">
        <v>1022</v>
      </c>
      <c r="C18" s="280" t="s">
        <v>1023</v>
      </c>
      <c r="D18" s="232" t="s">
        <v>1024</v>
      </c>
      <c r="E18" s="284" t="s">
        <v>475</v>
      </c>
      <c r="F18" s="282" t="s">
        <v>24</v>
      </c>
      <c r="G18" s="280" t="s">
        <v>71</v>
      </c>
      <c r="H18" s="280" t="s">
        <v>1025</v>
      </c>
      <c r="I18" s="291"/>
    </row>
    <row r="19" ht="33.75" spans="1:9">
      <c r="A19" s="283"/>
      <c r="B19" s="280" t="s">
        <v>1026</v>
      </c>
      <c r="C19" s="280" t="s">
        <v>1027</v>
      </c>
      <c r="D19" s="232" t="s">
        <v>1028</v>
      </c>
      <c r="E19" s="284" t="s">
        <v>475</v>
      </c>
      <c r="F19" s="282" t="s">
        <v>24</v>
      </c>
      <c r="G19" s="280" t="s">
        <v>28</v>
      </c>
      <c r="H19" s="280" t="s">
        <v>1029</v>
      </c>
      <c r="I19" s="291"/>
    </row>
    <row r="20" ht="45" spans="1:9">
      <c r="A20" s="283"/>
      <c r="B20" s="280" t="s">
        <v>1030</v>
      </c>
      <c r="C20" s="280" t="s">
        <v>1031</v>
      </c>
      <c r="D20" s="232" t="s">
        <v>1032</v>
      </c>
      <c r="E20" s="284" t="s">
        <v>475</v>
      </c>
      <c r="F20" s="282" t="s">
        <v>24</v>
      </c>
      <c r="G20" s="280" t="s">
        <v>1033</v>
      </c>
      <c r="H20" s="280" t="s">
        <v>1034</v>
      </c>
      <c r="I20" s="291"/>
    </row>
    <row r="21" ht="22.5" spans="1:9">
      <c r="A21" s="283"/>
      <c r="B21" s="280" t="s">
        <v>1035</v>
      </c>
      <c r="C21" s="280" t="s">
        <v>1036</v>
      </c>
      <c r="D21" s="232" t="s">
        <v>1037</v>
      </c>
      <c r="E21" s="284" t="s">
        <v>475</v>
      </c>
      <c r="F21" s="282" t="s">
        <v>24</v>
      </c>
      <c r="G21" s="280" t="s">
        <v>71</v>
      </c>
      <c r="H21" s="280" t="s">
        <v>1038</v>
      </c>
      <c r="I21" s="291"/>
    </row>
    <row r="22" ht="22.5" spans="1:9">
      <c r="A22" s="283"/>
      <c r="B22" s="280" t="s">
        <v>1039</v>
      </c>
      <c r="C22" s="280" t="s">
        <v>1040</v>
      </c>
      <c r="D22" s="232" t="s">
        <v>1041</v>
      </c>
      <c r="E22" s="284" t="s">
        <v>475</v>
      </c>
      <c r="F22" s="282" t="s">
        <v>24</v>
      </c>
      <c r="G22" s="280" t="s">
        <v>28</v>
      </c>
      <c r="H22" s="280" t="s">
        <v>1042</v>
      </c>
      <c r="I22" s="291"/>
    </row>
    <row r="23" ht="33.75" spans="1:9">
      <c r="A23" s="283"/>
      <c r="B23" s="280" t="s">
        <v>1043</v>
      </c>
      <c r="C23" s="280" t="s">
        <v>1044</v>
      </c>
      <c r="D23" s="232" t="s">
        <v>1045</v>
      </c>
      <c r="E23" s="284" t="s">
        <v>475</v>
      </c>
      <c r="F23" s="282" t="s">
        <v>24</v>
      </c>
      <c r="G23" s="280" t="s">
        <v>28</v>
      </c>
      <c r="H23" s="280" t="s">
        <v>1046</v>
      </c>
      <c r="I23" s="291"/>
    </row>
    <row r="24" ht="22.5" spans="1:9">
      <c r="A24" s="283"/>
      <c r="B24" s="280" t="s">
        <v>1047</v>
      </c>
      <c r="C24" s="232" t="s">
        <v>1048</v>
      </c>
      <c r="D24" s="232" t="s">
        <v>1049</v>
      </c>
      <c r="E24" s="284" t="s">
        <v>475</v>
      </c>
      <c r="F24" s="282" t="s">
        <v>24</v>
      </c>
      <c r="G24" s="280" t="s">
        <v>71</v>
      </c>
      <c r="H24" s="280" t="s">
        <v>1050</v>
      </c>
      <c r="I24" s="291"/>
    </row>
    <row r="25" ht="22.5" spans="1:9">
      <c r="A25" s="283"/>
      <c r="B25" s="280" t="s">
        <v>1051</v>
      </c>
      <c r="C25" s="280" t="s">
        <v>1052</v>
      </c>
      <c r="D25" s="232" t="s">
        <v>1053</v>
      </c>
      <c r="E25" s="243" t="s">
        <v>608</v>
      </c>
      <c r="F25" s="282" t="s">
        <v>24</v>
      </c>
      <c r="G25" s="280" t="s">
        <v>28</v>
      </c>
      <c r="H25" s="280" t="s">
        <v>1053</v>
      </c>
      <c r="I25" s="291"/>
    </row>
    <row r="26" ht="22.5" spans="1:9">
      <c r="A26" s="283"/>
      <c r="B26" s="280" t="s">
        <v>1054</v>
      </c>
      <c r="C26" s="280" t="s">
        <v>1055</v>
      </c>
      <c r="D26" s="232" t="s">
        <v>1056</v>
      </c>
      <c r="E26" s="243" t="s">
        <v>608</v>
      </c>
      <c r="F26" s="282" t="s">
        <v>24</v>
      </c>
      <c r="G26" s="280" t="s">
        <v>28</v>
      </c>
      <c r="H26" s="280" t="s">
        <v>1056</v>
      </c>
      <c r="I26" s="291"/>
    </row>
    <row r="27" ht="33.75" spans="1:9">
      <c r="A27" s="283"/>
      <c r="B27" s="280" t="s">
        <v>1057</v>
      </c>
      <c r="C27" s="280" t="s">
        <v>1058</v>
      </c>
      <c r="D27" s="232" t="s">
        <v>1059</v>
      </c>
      <c r="E27" s="243" t="s">
        <v>608</v>
      </c>
      <c r="F27" s="282" t="s">
        <v>24</v>
      </c>
      <c r="G27" s="280" t="s">
        <v>71</v>
      </c>
      <c r="H27" s="280" t="s">
        <v>1060</v>
      </c>
      <c r="I27" s="291"/>
    </row>
    <row r="28" ht="22.5" spans="1:9">
      <c r="A28" s="283"/>
      <c r="B28" s="280" t="s">
        <v>1061</v>
      </c>
      <c r="C28" s="280" t="s">
        <v>1062</v>
      </c>
      <c r="D28" s="232" t="s">
        <v>1063</v>
      </c>
      <c r="E28" s="243" t="s">
        <v>608</v>
      </c>
      <c r="F28" s="282" t="s">
        <v>24</v>
      </c>
      <c r="G28" s="280" t="s">
        <v>71</v>
      </c>
      <c r="H28" s="280" t="s">
        <v>1064</v>
      </c>
      <c r="I28" s="291"/>
    </row>
    <row r="29" ht="22.5" spans="1:9">
      <c r="A29" s="283"/>
      <c r="B29" s="280" t="s">
        <v>1065</v>
      </c>
      <c r="C29" s="280" t="s">
        <v>1066</v>
      </c>
      <c r="D29" s="232" t="s">
        <v>1067</v>
      </c>
      <c r="E29" s="243" t="s">
        <v>608</v>
      </c>
      <c r="F29" s="282" t="s">
        <v>24</v>
      </c>
      <c r="G29" s="280" t="s">
        <v>354</v>
      </c>
      <c r="H29" s="280" t="s">
        <v>1068</v>
      </c>
      <c r="I29" s="291"/>
    </row>
    <row r="30" ht="33.75" spans="1:9">
      <c r="A30" s="283"/>
      <c r="B30" s="280" t="s">
        <v>1069</v>
      </c>
      <c r="C30" s="280" t="s">
        <v>1070</v>
      </c>
      <c r="D30" s="232" t="s">
        <v>1071</v>
      </c>
      <c r="E30" s="243" t="s">
        <v>608</v>
      </c>
      <c r="F30" s="282" t="s">
        <v>24</v>
      </c>
      <c r="G30" s="280" t="s">
        <v>354</v>
      </c>
      <c r="H30" s="280" t="s">
        <v>1072</v>
      </c>
      <c r="I30" s="291"/>
    </row>
    <row r="31" ht="56.25" spans="1:9">
      <c r="A31" s="283"/>
      <c r="B31" s="280" t="s">
        <v>1073</v>
      </c>
      <c r="C31" s="280" t="s">
        <v>1074</v>
      </c>
      <c r="D31" s="232" t="s">
        <v>1075</v>
      </c>
      <c r="E31" s="243" t="s">
        <v>608</v>
      </c>
      <c r="F31" s="282" t="s">
        <v>24</v>
      </c>
      <c r="G31" s="280" t="s">
        <v>354</v>
      </c>
      <c r="H31" s="280" t="s">
        <v>1076</v>
      </c>
      <c r="I31" s="291"/>
    </row>
    <row r="32" ht="33.75" spans="1:9">
      <c r="A32" s="283"/>
      <c r="B32" s="280" t="s">
        <v>1077</v>
      </c>
      <c r="C32" s="280" t="s">
        <v>1078</v>
      </c>
      <c r="D32" s="232" t="s">
        <v>1079</v>
      </c>
      <c r="E32" s="243" t="s">
        <v>608</v>
      </c>
      <c r="F32" s="282" t="s">
        <v>24</v>
      </c>
      <c r="G32" s="280" t="s">
        <v>354</v>
      </c>
      <c r="H32" s="280" t="s">
        <v>1080</v>
      </c>
      <c r="I32" s="291"/>
    </row>
    <row r="33" ht="22.5" spans="1:9">
      <c r="A33" s="283"/>
      <c r="B33" s="280" t="s">
        <v>1081</v>
      </c>
      <c r="C33" s="280" t="s">
        <v>1082</v>
      </c>
      <c r="D33" s="232" t="s">
        <v>1083</v>
      </c>
      <c r="E33" s="243" t="s">
        <v>608</v>
      </c>
      <c r="F33" s="282" t="s">
        <v>24</v>
      </c>
      <c r="G33" s="280" t="s">
        <v>71</v>
      </c>
      <c r="H33" s="280" t="s">
        <v>1083</v>
      </c>
      <c r="I33" s="291"/>
    </row>
    <row r="34" spans="1:9">
      <c r="A34" s="283"/>
      <c r="B34" s="280" t="s">
        <v>1084</v>
      </c>
      <c r="C34" s="280" t="s">
        <v>1085</v>
      </c>
      <c r="D34" s="232" t="s">
        <v>1086</v>
      </c>
      <c r="E34" s="243" t="s">
        <v>608</v>
      </c>
      <c r="F34" s="282" t="s">
        <v>24</v>
      </c>
      <c r="G34" s="280" t="s">
        <v>71</v>
      </c>
      <c r="H34" s="280" t="s">
        <v>1086</v>
      </c>
      <c r="I34" s="291"/>
    </row>
    <row r="35" ht="56.25" spans="1:9">
      <c r="A35" s="285"/>
      <c r="B35" s="252" t="s">
        <v>1087</v>
      </c>
      <c r="C35" s="252" t="s">
        <v>1088</v>
      </c>
      <c r="D35" s="203" t="s">
        <v>1089</v>
      </c>
      <c r="E35" s="243" t="s">
        <v>608</v>
      </c>
      <c r="F35" s="166" t="s">
        <v>57</v>
      </c>
      <c r="G35" s="252" t="s">
        <v>354</v>
      </c>
      <c r="H35" s="252" t="s">
        <v>1090</v>
      </c>
      <c r="I35" s="291"/>
    </row>
    <row r="36" ht="45" spans="1:9">
      <c r="A36" s="286" t="s">
        <v>1091</v>
      </c>
      <c r="B36" s="287" t="s">
        <v>1092</v>
      </c>
      <c r="C36" s="288" t="s">
        <v>409</v>
      </c>
      <c r="D36" s="289" t="s">
        <v>1093</v>
      </c>
      <c r="E36" s="243" t="s">
        <v>344</v>
      </c>
      <c r="F36" s="243" t="s">
        <v>57</v>
      </c>
      <c r="G36" s="289" t="s">
        <v>382</v>
      </c>
      <c r="H36" s="74" t="s">
        <v>1094</v>
      </c>
      <c r="I36" s="291"/>
    </row>
    <row r="37" ht="45" spans="1:9">
      <c r="A37" s="286" t="s">
        <v>1095</v>
      </c>
      <c r="B37" s="290" t="s">
        <v>1096</v>
      </c>
      <c r="C37" s="288" t="s">
        <v>380</v>
      </c>
      <c r="D37" s="213" t="s">
        <v>1097</v>
      </c>
      <c r="E37" s="243" t="s">
        <v>344</v>
      </c>
      <c r="F37" s="243" t="s">
        <v>57</v>
      </c>
      <c r="G37" s="210" t="s">
        <v>1098</v>
      </c>
      <c r="H37" s="210" t="s">
        <v>1099</v>
      </c>
      <c r="I37" s="291"/>
    </row>
    <row r="38" spans="1:9">
      <c r="A38" s="286"/>
      <c r="B38" s="290" t="s">
        <v>1100</v>
      </c>
      <c r="C38" s="288" t="s">
        <v>417</v>
      </c>
      <c r="D38" s="213" t="s">
        <v>1101</v>
      </c>
      <c r="E38" s="243" t="s">
        <v>344</v>
      </c>
      <c r="F38" s="243" t="s">
        <v>57</v>
      </c>
      <c r="G38" s="210" t="s">
        <v>545</v>
      </c>
      <c r="H38" s="210" t="s">
        <v>1102</v>
      </c>
      <c r="I38" s="291"/>
    </row>
  </sheetData>
  <mergeCells count="2">
    <mergeCell ref="A2:A35"/>
    <mergeCell ref="A37:A38"/>
  </mergeCells>
  <pageMargins left="0.699305555555556" right="0.699305555555556"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I74"/>
  <sheetViews>
    <sheetView workbookViewId="0">
      <pane xSplit="1" ySplit="1" topLeftCell="B2" activePane="bottomRight" state="frozen"/>
      <selection/>
      <selection pane="topRight"/>
      <selection pane="bottomLeft"/>
      <selection pane="bottomRight" activeCell="G18" sqref="G18"/>
    </sheetView>
  </sheetViews>
  <sheetFormatPr defaultColWidth="43.375" defaultRowHeight="12"/>
  <cols>
    <col min="1" max="1" width="22.625" style="237" customWidth="1"/>
    <col min="2" max="2" width="77.875" style="238" customWidth="1"/>
    <col min="3" max="3" width="14.25" style="238" customWidth="1"/>
    <col min="4" max="4" width="14.375" style="239" customWidth="1"/>
    <col min="5" max="5" width="4.625" style="240" customWidth="1"/>
    <col min="6" max="6" width="12.625" style="239" customWidth="1"/>
    <col min="7" max="7" width="23.625" style="239" customWidth="1"/>
    <col min="8" max="8" width="43.375" style="239"/>
    <col min="9" max="16384" width="43.375" style="240"/>
  </cols>
  <sheetData>
    <row r="1" s="236" customFormat="1" ht="29.25" customHeight="1" spans="1:9">
      <c r="A1" s="11" t="s">
        <v>335</v>
      </c>
      <c r="B1" s="11" t="s">
        <v>336</v>
      </c>
      <c r="C1" s="33" t="s">
        <v>2</v>
      </c>
      <c r="D1" s="11" t="s">
        <v>3</v>
      </c>
      <c r="E1" s="11" t="s">
        <v>337</v>
      </c>
      <c r="F1" s="11" t="s">
        <v>8</v>
      </c>
      <c r="G1" s="11" t="s">
        <v>6</v>
      </c>
      <c r="H1" s="11" t="s">
        <v>338</v>
      </c>
      <c r="I1" s="11" t="s">
        <v>339</v>
      </c>
    </row>
    <row r="2" ht="22.5" spans="1:8">
      <c r="A2" s="241" t="s">
        <v>1103</v>
      </c>
      <c r="B2" s="202" t="s">
        <v>1104</v>
      </c>
      <c r="C2" s="242" t="s">
        <v>1105</v>
      </c>
      <c r="D2" s="202" t="s">
        <v>1106</v>
      </c>
      <c r="E2" s="243" t="s">
        <v>344</v>
      </c>
      <c r="F2" s="244" t="s">
        <v>24</v>
      </c>
      <c r="G2" s="245" t="s">
        <v>689</v>
      </c>
      <c r="H2" s="246" t="s">
        <v>346</v>
      </c>
    </row>
    <row r="3" ht="22.5" spans="1:8">
      <c r="A3" s="241"/>
      <c r="B3" s="247" t="s">
        <v>1107</v>
      </c>
      <c r="C3" s="242" t="s">
        <v>1108</v>
      </c>
      <c r="D3" s="202" t="s">
        <v>1109</v>
      </c>
      <c r="E3" s="243" t="s">
        <v>344</v>
      </c>
      <c r="F3" s="244" t="s">
        <v>24</v>
      </c>
      <c r="G3" s="248" t="s">
        <v>71</v>
      </c>
      <c r="H3" s="202" t="s">
        <v>1110</v>
      </c>
    </row>
    <row r="4" ht="22.5" spans="1:8">
      <c r="A4" s="241"/>
      <c r="B4" s="202" t="s">
        <v>1111</v>
      </c>
      <c r="C4" s="242" t="s">
        <v>1112</v>
      </c>
      <c r="D4" s="202" t="s">
        <v>1113</v>
      </c>
      <c r="E4" s="243" t="s">
        <v>344</v>
      </c>
      <c r="F4" s="244" t="s">
        <v>24</v>
      </c>
      <c r="G4" s="245" t="s">
        <v>101</v>
      </c>
      <c r="H4" s="246" t="s">
        <v>346</v>
      </c>
    </row>
    <row r="5" ht="22.5" spans="1:8">
      <c r="A5" s="241"/>
      <c r="B5" s="247" t="s">
        <v>1114</v>
      </c>
      <c r="C5" s="242" t="s">
        <v>1115</v>
      </c>
      <c r="D5" s="202" t="s">
        <v>1116</v>
      </c>
      <c r="E5" s="243" t="s">
        <v>608</v>
      </c>
      <c r="F5" s="244" t="s">
        <v>24</v>
      </c>
      <c r="G5" s="245" t="s">
        <v>1033</v>
      </c>
      <c r="H5" s="246"/>
    </row>
    <row r="6" ht="22.5" spans="1:8">
      <c r="A6" s="241"/>
      <c r="B6" s="247" t="s">
        <v>1117</v>
      </c>
      <c r="C6" s="242" t="s">
        <v>1118</v>
      </c>
      <c r="D6" s="202" t="s">
        <v>1119</v>
      </c>
      <c r="E6" s="243" t="s">
        <v>608</v>
      </c>
      <c r="F6" s="244" t="s">
        <v>24</v>
      </c>
      <c r="G6" s="245" t="s">
        <v>1033</v>
      </c>
      <c r="H6" s="246"/>
    </row>
    <row r="7" ht="22.5" spans="1:8">
      <c r="A7" s="241"/>
      <c r="B7" s="247" t="s">
        <v>1120</v>
      </c>
      <c r="C7" s="242" t="s">
        <v>1121</v>
      </c>
      <c r="D7" s="202" t="s">
        <v>1122</v>
      </c>
      <c r="E7" s="243" t="s">
        <v>608</v>
      </c>
      <c r="F7" s="244" t="s">
        <v>24</v>
      </c>
      <c r="G7" s="245" t="s">
        <v>1033</v>
      </c>
      <c r="H7" s="246"/>
    </row>
    <row r="8" ht="22.5" spans="1:8">
      <c r="A8" s="241"/>
      <c r="B8" s="247" t="s">
        <v>1123</v>
      </c>
      <c r="C8" s="242" t="s">
        <v>1124</v>
      </c>
      <c r="D8" s="202" t="s">
        <v>1125</v>
      </c>
      <c r="E8" s="243" t="s">
        <v>608</v>
      </c>
      <c r="F8" s="244" t="s">
        <v>24</v>
      </c>
      <c r="G8" s="245" t="s">
        <v>1033</v>
      </c>
      <c r="H8" s="246"/>
    </row>
    <row r="9" ht="22.5" spans="1:8">
      <c r="A9" s="241"/>
      <c r="B9" s="247" t="s">
        <v>1126</v>
      </c>
      <c r="C9" s="242" t="s">
        <v>1127</v>
      </c>
      <c r="D9" s="202" t="s">
        <v>1128</v>
      </c>
      <c r="E9" s="243" t="s">
        <v>608</v>
      </c>
      <c r="F9" s="244" t="s">
        <v>24</v>
      </c>
      <c r="G9" s="248" t="s">
        <v>71</v>
      </c>
      <c r="H9" s="246" t="s">
        <v>1129</v>
      </c>
    </row>
    <row r="10" ht="22.5" spans="1:8">
      <c r="A10" s="241"/>
      <c r="B10" s="247" t="s">
        <v>1130</v>
      </c>
      <c r="C10" s="242" t="s">
        <v>1131</v>
      </c>
      <c r="D10" s="202" t="s">
        <v>1132</v>
      </c>
      <c r="E10" s="243" t="s">
        <v>608</v>
      </c>
      <c r="F10" s="244" t="s">
        <v>24</v>
      </c>
      <c r="G10" s="245" t="s">
        <v>1133</v>
      </c>
      <c r="H10" s="246"/>
    </row>
    <row r="11" ht="22.5" spans="1:8">
      <c r="A11" s="241"/>
      <c r="B11" s="247" t="s">
        <v>1134</v>
      </c>
      <c r="C11" s="242" t="s">
        <v>1135</v>
      </c>
      <c r="D11" s="202" t="s">
        <v>1136</v>
      </c>
      <c r="E11" s="243" t="s">
        <v>608</v>
      </c>
      <c r="F11" s="244" t="s">
        <v>24</v>
      </c>
      <c r="G11" s="245" t="s">
        <v>1133</v>
      </c>
      <c r="H11" s="246"/>
    </row>
    <row r="12" ht="22.5" spans="1:8">
      <c r="A12" s="241"/>
      <c r="B12" s="202" t="s">
        <v>1137</v>
      </c>
      <c r="C12" s="242" t="s">
        <v>1138</v>
      </c>
      <c r="D12" s="202" t="s">
        <v>1139</v>
      </c>
      <c r="E12" s="243" t="s">
        <v>344</v>
      </c>
      <c r="F12" s="244" t="s">
        <v>24</v>
      </c>
      <c r="G12" s="245" t="s">
        <v>1140</v>
      </c>
      <c r="H12" s="246" t="s">
        <v>346</v>
      </c>
    </row>
    <row r="13" spans="1:8">
      <c r="A13" s="249" t="s">
        <v>1141</v>
      </c>
      <c r="B13" s="202" t="s">
        <v>1142</v>
      </c>
      <c r="C13" s="242" t="s">
        <v>1143</v>
      </c>
      <c r="D13" s="202" t="s">
        <v>1144</v>
      </c>
      <c r="E13" s="243" t="s">
        <v>344</v>
      </c>
      <c r="F13" s="244" t="s">
        <v>24</v>
      </c>
      <c r="G13" s="246" t="s">
        <v>1145</v>
      </c>
      <c r="H13" s="202" t="s">
        <v>1146</v>
      </c>
    </row>
    <row r="14" spans="1:8">
      <c r="A14" s="249"/>
      <c r="B14" s="202" t="s">
        <v>1147</v>
      </c>
      <c r="C14" s="242" t="s">
        <v>1148</v>
      </c>
      <c r="D14" s="202" t="s">
        <v>1149</v>
      </c>
      <c r="E14" s="243" t="s">
        <v>344</v>
      </c>
      <c r="F14" s="244" t="s">
        <v>24</v>
      </c>
      <c r="G14" s="245" t="s">
        <v>1150</v>
      </c>
      <c r="H14" s="202" t="s">
        <v>1149</v>
      </c>
    </row>
    <row r="15" ht="22.5" spans="1:8">
      <c r="A15" s="249"/>
      <c r="B15" s="202" t="s">
        <v>1151</v>
      </c>
      <c r="C15" s="242" t="s">
        <v>1152</v>
      </c>
      <c r="D15" s="202" t="s">
        <v>1153</v>
      </c>
      <c r="E15" s="243" t="s">
        <v>344</v>
      </c>
      <c r="F15" s="244" t="s">
        <v>24</v>
      </c>
      <c r="G15" s="245" t="s">
        <v>28</v>
      </c>
      <c r="H15" s="202" t="s">
        <v>1154</v>
      </c>
    </row>
    <row r="16" ht="22.5" spans="1:8">
      <c r="A16" s="249"/>
      <c r="B16" s="202" t="s">
        <v>1155</v>
      </c>
      <c r="C16" s="242" t="s">
        <v>1156</v>
      </c>
      <c r="D16" s="202" t="s">
        <v>1157</v>
      </c>
      <c r="E16" s="243" t="s">
        <v>344</v>
      </c>
      <c r="F16" s="244" t="s">
        <v>24</v>
      </c>
      <c r="G16" s="245" t="s">
        <v>28</v>
      </c>
      <c r="H16" s="202" t="s">
        <v>1158</v>
      </c>
    </row>
    <row r="17" spans="1:8">
      <c r="A17" s="249"/>
      <c r="B17" s="202" t="s">
        <v>1159</v>
      </c>
      <c r="C17" s="242" t="s">
        <v>1160</v>
      </c>
      <c r="D17" s="202" t="s">
        <v>1161</v>
      </c>
      <c r="E17" s="243" t="s">
        <v>344</v>
      </c>
      <c r="F17" s="244" t="s">
        <v>24</v>
      </c>
      <c r="G17" s="246" t="s">
        <v>1145</v>
      </c>
      <c r="H17" s="202" t="s">
        <v>1162</v>
      </c>
    </row>
    <row r="18" spans="1:8">
      <c r="A18" s="249"/>
      <c r="B18" s="202" t="s">
        <v>1163</v>
      </c>
      <c r="C18" s="242" t="s">
        <v>1164</v>
      </c>
      <c r="D18" s="202" t="s">
        <v>1165</v>
      </c>
      <c r="E18" s="243" t="s">
        <v>344</v>
      </c>
      <c r="F18" s="250" t="s">
        <v>24</v>
      </c>
      <c r="G18" s="246" t="s">
        <v>1166</v>
      </c>
      <c r="H18" s="246" t="s">
        <v>1165</v>
      </c>
    </row>
    <row r="19" spans="1:8">
      <c r="A19" s="249"/>
      <c r="B19" s="251" t="s">
        <v>1167</v>
      </c>
      <c r="C19" s="252" t="s">
        <v>1168</v>
      </c>
      <c r="D19" s="252" t="s">
        <v>995</v>
      </c>
      <c r="E19" s="243" t="s">
        <v>344</v>
      </c>
      <c r="F19" s="166" t="s">
        <v>24</v>
      </c>
      <c r="G19" s="252" t="s">
        <v>1145</v>
      </c>
      <c r="H19" s="253" t="s">
        <v>1169</v>
      </c>
    </row>
    <row r="20" spans="1:8">
      <c r="A20" s="249"/>
      <c r="B20" s="202" t="s">
        <v>1170</v>
      </c>
      <c r="C20" s="254" t="s">
        <v>1171</v>
      </c>
      <c r="D20" s="254" t="s">
        <v>1172</v>
      </c>
      <c r="E20" s="243" t="s">
        <v>344</v>
      </c>
      <c r="F20" s="250" t="s">
        <v>24</v>
      </c>
      <c r="G20" s="255" t="s">
        <v>1173</v>
      </c>
      <c r="H20" s="255" t="s">
        <v>1172</v>
      </c>
    </row>
    <row r="21" spans="1:8">
      <c r="A21" s="249"/>
      <c r="B21" s="247" t="s">
        <v>1174</v>
      </c>
      <c r="C21" s="242" t="s">
        <v>1175</v>
      </c>
      <c r="D21" s="202" t="s">
        <v>1176</v>
      </c>
      <c r="E21" s="243" t="s">
        <v>344</v>
      </c>
      <c r="F21" s="250" t="s">
        <v>57</v>
      </c>
      <c r="G21" s="246" t="s">
        <v>1177</v>
      </c>
      <c r="H21" s="246" t="s">
        <v>1176</v>
      </c>
    </row>
    <row r="22" spans="1:8">
      <c r="A22" s="249"/>
      <c r="B22" s="247" t="s">
        <v>1178</v>
      </c>
      <c r="C22" s="242" t="s">
        <v>1179</v>
      </c>
      <c r="D22" s="202" t="s">
        <v>1180</v>
      </c>
      <c r="E22" s="243" t="s">
        <v>344</v>
      </c>
      <c r="F22" s="250" t="s">
        <v>24</v>
      </c>
      <c r="G22" s="246" t="s">
        <v>1181</v>
      </c>
      <c r="H22" s="246" t="s">
        <v>1182</v>
      </c>
    </row>
    <row r="23" ht="22.5" spans="1:8">
      <c r="A23" s="256"/>
      <c r="B23" s="247" t="s">
        <v>1183</v>
      </c>
      <c r="C23" s="242" t="s">
        <v>1184</v>
      </c>
      <c r="D23" s="202" t="s">
        <v>1185</v>
      </c>
      <c r="E23" s="243" t="s">
        <v>608</v>
      </c>
      <c r="F23" s="250" t="s">
        <v>24</v>
      </c>
      <c r="G23" s="248" t="s">
        <v>71</v>
      </c>
      <c r="H23" s="246" t="s">
        <v>1185</v>
      </c>
    </row>
    <row r="24" spans="1:8">
      <c r="A24" s="241" t="s">
        <v>1186</v>
      </c>
      <c r="B24" s="202" t="s">
        <v>1187</v>
      </c>
      <c r="C24" s="242" t="s">
        <v>1188</v>
      </c>
      <c r="D24" s="202" t="s">
        <v>1186</v>
      </c>
      <c r="E24" s="243" t="s">
        <v>344</v>
      </c>
      <c r="F24" s="250" t="s">
        <v>24</v>
      </c>
      <c r="G24" s="246" t="s">
        <v>71</v>
      </c>
      <c r="H24" s="246" t="s">
        <v>1189</v>
      </c>
    </row>
    <row r="25" ht="22.5" spans="1:8">
      <c r="A25" s="257" t="s">
        <v>1190</v>
      </c>
      <c r="B25" s="226" t="s">
        <v>1191</v>
      </c>
      <c r="C25" s="226" t="s">
        <v>851</v>
      </c>
      <c r="D25" s="226" t="s">
        <v>1192</v>
      </c>
      <c r="E25" s="243" t="s">
        <v>344</v>
      </c>
      <c r="F25" s="258" t="s">
        <v>24</v>
      </c>
      <c r="G25" s="225" t="s">
        <v>71</v>
      </c>
      <c r="H25" s="226" t="s">
        <v>505</v>
      </c>
    </row>
    <row r="26" ht="22.5" spans="1:8">
      <c r="A26" s="230" t="s">
        <v>1193</v>
      </c>
      <c r="B26" s="259" t="s">
        <v>1194</v>
      </c>
      <c r="C26" s="259" t="s">
        <v>1195</v>
      </c>
      <c r="D26" s="259" t="s">
        <v>1196</v>
      </c>
      <c r="E26" s="243" t="s">
        <v>344</v>
      </c>
      <c r="F26" s="207" t="s">
        <v>57</v>
      </c>
      <c r="G26" s="260" t="s">
        <v>71</v>
      </c>
      <c r="H26" s="259" t="s">
        <v>1197</v>
      </c>
    </row>
    <row r="27" ht="22.5" spans="1:8">
      <c r="A27" s="261" t="s">
        <v>1198</v>
      </c>
      <c r="B27" s="251" t="s">
        <v>1199</v>
      </c>
      <c r="C27" s="262" t="s">
        <v>1200</v>
      </c>
      <c r="D27" s="251" t="s">
        <v>1201</v>
      </c>
      <c r="E27" s="243" t="s">
        <v>608</v>
      </c>
      <c r="F27" s="263" t="s">
        <v>24</v>
      </c>
      <c r="G27" s="251" t="s">
        <v>1166</v>
      </c>
      <c r="H27" s="264" t="s">
        <v>346</v>
      </c>
    </row>
    <row r="28" ht="22.5" spans="1:8">
      <c r="A28" s="265"/>
      <c r="B28" s="251" t="s">
        <v>1202</v>
      </c>
      <c r="C28" s="262" t="s">
        <v>1203</v>
      </c>
      <c r="D28" s="251" t="s">
        <v>1204</v>
      </c>
      <c r="E28" s="243" t="s">
        <v>608</v>
      </c>
      <c r="F28" s="263" t="s">
        <v>24</v>
      </c>
      <c r="G28" s="251" t="s">
        <v>1205</v>
      </c>
      <c r="H28" s="266"/>
    </row>
    <row r="29" spans="1:8">
      <c r="A29" s="267" t="s">
        <v>1206</v>
      </c>
      <c r="B29" s="149" t="s">
        <v>1207</v>
      </c>
      <c r="C29" s="242" t="s">
        <v>1208</v>
      </c>
      <c r="D29" s="202" t="s">
        <v>1209</v>
      </c>
      <c r="E29" s="243" t="s">
        <v>344</v>
      </c>
      <c r="F29" s="250" t="s">
        <v>24</v>
      </c>
      <c r="G29" s="246" t="s">
        <v>1210</v>
      </c>
      <c r="H29" s="246"/>
    </row>
    <row r="30" spans="1:8">
      <c r="A30" s="249"/>
      <c r="B30" s="149" t="s">
        <v>1211</v>
      </c>
      <c r="C30" s="242" t="s">
        <v>1212</v>
      </c>
      <c r="D30" s="202" t="s">
        <v>1213</v>
      </c>
      <c r="E30" s="243" t="s">
        <v>344</v>
      </c>
      <c r="F30" s="250" t="s">
        <v>24</v>
      </c>
      <c r="G30" s="246" t="s">
        <v>354</v>
      </c>
      <c r="H30" s="246" t="s">
        <v>1214</v>
      </c>
    </row>
    <row r="31" spans="1:8">
      <c r="A31" s="249"/>
      <c r="B31" s="149" t="s">
        <v>1215</v>
      </c>
      <c r="C31" s="242" t="s">
        <v>1216</v>
      </c>
      <c r="D31" s="202" t="s">
        <v>1217</v>
      </c>
      <c r="E31" s="243" t="s">
        <v>344</v>
      </c>
      <c r="F31" s="250" t="s">
        <v>24</v>
      </c>
      <c r="G31" s="246" t="s">
        <v>1210</v>
      </c>
      <c r="H31" s="246"/>
    </row>
    <row r="32" spans="1:8">
      <c r="A32" s="256"/>
      <c r="B32" s="149" t="s">
        <v>1218</v>
      </c>
      <c r="C32" s="242" t="s">
        <v>1219</v>
      </c>
      <c r="D32" s="202" t="s">
        <v>1220</v>
      </c>
      <c r="E32" s="243" t="s">
        <v>344</v>
      </c>
      <c r="F32" s="250" t="s">
        <v>24</v>
      </c>
      <c r="G32" s="246" t="s">
        <v>354</v>
      </c>
      <c r="H32" s="246" t="s">
        <v>1221</v>
      </c>
    </row>
    <row r="33" spans="1:8">
      <c r="A33" s="267" t="s">
        <v>1222</v>
      </c>
      <c r="B33" s="247" t="s">
        <v>1223</v>
      </c>
      <c r="C33" s="202" t="s">
        <v>862</v>
      </c>
      <c r="D33" s="202" t="s">
        <v>903</v>
      </c>
      <c r="E33" s="243" t="s">
        <v>344</v>
      </c>
      <c r="F33" s="250" t="s">
        <v>24</v>
      </c>
      <c r="G33" s="248" t="s">
        <v>345</v>
      </c>
      <c r="H33" s="246" t="s">
        <v>862</v>
      </c>
    </row>
    <row r="34" spans="1:8">
      <c r="A34" s="249"/>
      <c r="B34" s="247" t="s">
        <v>1224</v>
      </c>
      <c r="C34" s="202" t="s">
        <v>1225</v>
      </c>
      <c r="D34" s="202" t="s">
        <v>1226</v>
      </c>
      <c r="E34" s="243" t="s">
        <v>344</v>
      </c>
      <c r="F34" s="250" t="s">
        <v>1227</v>
      </c>
      <c r="G34" s="248" t="s">
        <v>1228</v>
      </c>
      <c r="H34" s="246" t="s">
        <v>1229</v>
      </c>
    </row>
    <row r="35" spans="1:8">
      <c r="A35" s="249"/>
      <c r="B35" s="247" t="s">
        <v>1230</v>
      </c>
      <c r="C35" s="202" t="s">
        <v>1231</v>
      </c>
      <c r="D35" s="202" t="s">
        <v>1232</v>
      </c>
      <c r="E35" s="243" t="s">
        <v>344</v>
      </c>
      <c r="F35" s="250" t="s">
        <v>1227</v>
      </c>
      <c r="G35" s="248" t="s">
        <v>1233</v>
      </c>
      <c r="H35" s="246" t="s">
        <v>1234</v>
      </c>
    </row>
    <row r="36" ht="22.5" spans="1:8">
      <c r="A36" s="249"/>
      <c r="B36" s="202" t="s">
        <v>1235</v>
      </c>
      <c r="C36" s="202" t="s">
        <v>1236</v>
      </c>
      <c r="D36" s="202" t="s">
        <v>1237</v>
      </c>
      <c r="E36" s="243" t="s">
        <v>344</v>
      </c>
      <c r="F36" s="250" t="s">
        <v>24</v>
      </c>
      <c r="G36" s="248" t="s">
        <v>354</v>
      </c>
      <c r="H36" s="246" t="s">
        <v>1238</v>
      </c>
    </row>
    <row r="37" spans="1:8">
      <c r="A37" s="249"/>
      <c r="B37" s="35" t="s">
        <v>1239</v>
      </c>
      <c r="C37" s="262" t="s">
        <v>1240</v>
      </c>
      <c r="D37" s="251" t="s">
        <v>1241</v>
      </c>
      <c r="E37" s="243" t="s">
        <v>344</v>
      </c>
      <c r="F37" s="263" t="s">
        <v>24</v>
      </c>
      <c r="G37" s="268" t="s">
        <v>71</v>
      </c>
      <c r="H37" s="251" t="s">
        <v>1242</v>
      </c>
    </row>
    <row r="38" ht="22.5" spans="1:8">
      <c r="A38" s="256"/>
      <c r="B38" s="247" t="s">
        <v>1243</v>
      </c>
      <c r="C38" s="202" t="s">
        <v>1244</v>
      </c>
      <c r="D38" s="202" t="s">
        <v>1245</v>
      </c>
      <c r="E38" s="243" t="s">
        <v>608</v>
      </c>
      <c r="F38" s="250" t="s">
        <v>24</v>
      </c>
      <c r="G38" s="248" t="s">
        <v>354</v>
      </c>
      <c r="H38" s="246" t="s">
        <v>1246</v>
      </c>
    </row>
    <row r="39" spans="1:8">
      <c r="A39" s="241" t="s">
        <v>959</v>
      </c>
      <c r="B39" s="269" t="s">
        <v>1247</v>
      </c>
      <c r="C39" s="105" t="s">
        <v>1248</v>
      </c>
      <c r="D39" s="202" t="s">
        <v>1249</v>
      </c>
      <c r="E39" s="243" t="s">
        <v>608</v>
      </c>
      <c r="F39" s="270" t="s">
        <v>24</v>
      </c>
      <c r="G39" s="248" t="s">
        <v>71</v>
      </c>
      <c r="H39" s="246" t="s">
        <v>1249</v>
      </c>
    </row>
    <row r="40" spans="1:8">
      <c r="A40" s="241"/>
      <c r="B40" s="269" t="s">
        <v>1250</v>
      </c>
      <c r="C40" s="105" t="s">
        <v>1251</v>
      </c>
      <c r="D40" s="202" t="s">
        <v>1252</v>
      </c>
      <c r="E40" s="243" t="s">
        <v>608</v>
      </c>
      <c r="F40" s="270" t="s">
        <v>24</v>
      </c>
      <c r="G40" s="245" t="s">
        <v>1253</v>
      </c>
      <c r="H40" s="246" t="s">
        <v>1254</v>
      </c>
    </row>
    <row r="41" ht="22.5" spans="1:8">
      <c r="A41" s="241"/>
      <c r="B41" s="269" t="s">
        <v>1255</v>
      </c>
      <c r="C41" s="105" t="s">
        <v>1256</v>
      </c>
      <c r="D41" s="202" t="s">
        <v>1257</v>
      </c>
      <c r="E41" s="243" t="s">
        <v>608</v>
      </c>
      <c r="F41" s="270" t="s">
        <v>24</v>
      </c>
      <c r="G41" s="245" t="s">
        <v>1033</v>
      </c>
      <c r="H41" s="246" t="s">
        <v>1257</v>
      </c>
    </row>
    <row r="42" ht="22.5" spans="1:8">
      <c r="A42" s="241"/>
      <c r="B42" s="269" t="s">
        <v>1258</v>
      </c>
      <c r="C42" s="105" t="s">
        <v>1259</v>
      </c>
      <c r="D42" s="202" t="s">
        <v>1260</v>
      </c>
      <c r="E42" s="243" t="s">
        <v>608</v>
      </c>
      <c r="F42" s="270" t="s">
        <v>24</v>
      </c>
      <c r="G42" s="245" t="s">
        <v>1033</v>
      </c>
      <c r="H42" s="246" t="s">
        <v>1260</v>
      </c>
    </row>
    <row r="43" ht="22.5" spans="1:8">
      <c r="A43" s="241"/>
      <c r="B43" s="269" t="s">
        <v>1261</v>
      </c>
      <c r="C43" s="105" t="s">
        <v>1262</v>
      </c>
      <c r="D43" s="202" t="s">
        <v>1263</v>
      </c>
      <c r="E43" s="243" t="s">
        <v>608</v>
      </c>
      <c r="F43" s="270" t="s">
        <v>24</v>
      </c>
      <c r="G43" s="245" t="s">
        <v>1033</v>
      </c>
      <c r="H43" s="246" t="s">
        <v>1263</v>
      </c>
    </row>
    <row r="44" ht="22.5" spans="1:8">
      <c r="A44" s="241"/>
      <c r="B44" s="269" t="s">
        <v>1264</v>
      </c>
      <c r="C44" s="105" t="s">
        <v>1265</v>
      </c>
      <c r="D44" s="202" t="s">
        <v>1266</v>
      </c>
      <c r="E44" s="243" t="s">
        <v>608</v>
      </c>
      <c r="F44" s="270" t="s">
        <v>24</v>
      </c>
      <c r="G44" s="245" t="s">
        <v>1033</v>
      </c>
      <c r="H44" s="246" t="s">
        <v>1266</v>
      </c>
    </row>
    <row r="45" ht="22.5" spans="1:8">
      <c r="A45" s="257" t="s">
        <v>1267</v>
      </c>
      <c r="B45" s="190" t="s">
        <v>1268</v>
      </c>
      <c r="C45" s="210" t="s">
        <v>499</v>
      </c>
      <c r="D45" s="210" t="s">
        <v>500</v>
      </c>
      <c r="E45" s="243" t="s">
        <v>344</v>
      </c>
      <c r="F45" s="270" t="s">
        <v>24</v>
      </c>
      <c r="G45" s="210" t="s">
        <v>28</v>
      </c>
      <c r="H45" s="210" t="s">
        <v>1269</v>
      </c>
    </row>
    <row r="46" ht="48" spans="1:8">
      <c r="A46" s="271" t="s">
        <v>1270</v>
      </c>
      <c r="B46" s="234" t="s">
        <v>1271</v>
      </c>
      <c r="C46" s="272" t="s">
        <v>1272</v>
      </c>
      <c r="D46" s="272" t="s">
        <v>1273</v>
      </c>
      <c r="E46" s="243" t="s">
        <v>344</v>
      </c>
      <c r="F46" s="273" t="s">
        <v>24</v>
      </c>
      <c r="G46" s="272" t="s">
        <v>419</v>
      </c>
      <c r="H46" s="226" t="s">
        <v>1274</v>
      </c>
    </row>
    <row r="47" spans="1:8">
      <c r="A47" s="224"/>
      <c r="B47" s="234" t="s">
        <v>1275</v>
      </c>
      <c r="C47" s="272" t="s">
        <v>515</v>
      </c>
      <c r="D47" s="272" t="s">
        <v>516</v>
      </c>
      <c r="E47" s="243" t="s">
        <v>344</v>
      </c>
      <c r="F47" s="273" t="s">
        <v>57</v>
      </c>
      <c r="G47" s="272" t="s">
        <v>419</v>
      </c>
      <c r="H47" s="272" t="s">
        <v>346</v>
      </c>
    </row>
    <row r="48" ht="33.75" spans="1:8">
      <c r="A48" s="261" t="s">
        <v>1276</v>
      </c>
      <c r="B48" s="274" t="s">
        <v>1277</v>
      </c>
      <c r="C48" s="210" t="s">
        <v>1278</v>
      </c>
      <c r="D48" s="210" t="s">
        <v>1279</v>
      </c>
      <c r="E48" s="243" t="s">
        <v>608</v>
      </c>
      <c r="F48" s="275" t="s">
        <v>24</v>
      </c>
      <c r="G48" s="210" t="s">
        <v>354</v>
      </c>
      <c r="H48" s="165" t="s">
        <v>1280</v>
      </c>
    </row>
    <row r="49" ht="22.5" spans="1:8">
      <c r="A49" s="276"/>
      <c r="B49" s="274" t="s">
        <v>1281</v>
      </c>
      <c r="C49" s="210" t="s">
        <v>1282</v>
      </c>
      <c r="D49" s="210" t="s">
        <v>1283</v>
      </c>
      <c r="E49" s="243" t="s">
        <v>608</v>
      </c>
      <c r="F49" s="275" t="s">
        <v>24</v>
      </c>
      <c r="G49" s="272" t="s">
        <v>354</v>
      </c>
      <c r="H49" s="165" t="s">
        <v>1284</v>
      </c>
    </row>
    <row r="50" ht="22.5" spans="1:8">
      <c r="A50" s="276"/>
      <c r="B50" s="274" t="s">
        <v>1285</v>
      </c>
      <c r="C50" s="210" t="s">
        <v>1286</v>
      </c>
      <c r="D50" s="210" t="s">
        <v>1287</v>
      </c>
      <c r="E50" s="243" t="s">
        <v>608</v>
      </c>
      <c r="F50" s="275" t="s">
        <v>24</v>
      </c>
      <c r="G50" s="272" t="s">
        <v>28</v>
      </c>
      <c r="H50" s="210" t="s">
        <v>1288</v>
      </c>
    </row>
    <row r="51" ht="33.75" spans="1:8">
      <c r="A51" s="276"/>
      <c r="B51" s="274" t="s">
        <v>1289</v>
      </c>
      <c r="C51" s="210" t="s">
        <v>1290</v>
      </c>
      <c r="D51" s="210" t="s">
        <v>1291</v>
      </c>
      <c r="E51" s="243" t="s">
        <v>608</v>
      </c>
      <c r="F51" s="275" t="s">
        <v>57</v>
      </c>
      <c r="G51" s="272" t="s">
        <v>382</v>
      </c>
      <c r="H51" s="210" t="s">
        <v>1292</v>
      </c>
    </row>
    <row r="52" spans="1:8">
      <c r="A52" s="276"/>
      <c r="B52" s="274" t="s">
        <v>1293</v>
      </c>
      <c r="C52" s="210" t="s">
        <v>1294</v>
      </c>
      <c r="D52" s="210" t="s">
        <v>1295</v>
      </c>
      <c r="E52" s="243" t="s">
        <v>608</v>
      </c>
      <c r="F52" s="208" t="s">
        <v>24</v>
      </c>
      <c r="G52" s="183" t="s">
        <v>1296</v>
      </c>
      <c r="H52" s="165" t="s">
        <v>1297</v>
      </c>
    </row>
    <row r="53" ht="22.5" spans="1:8">
      <c r="A53" s="276"/>
      <c r="B53" s="274" t="s">
        <v>1298</v>
      </c>
      <c r="C53" s="210" t="s">
        <v>1299</v>
      </c>
      <c r="D53" s="210" t="s">
        <v>1300</v>
      </c>
      <c r="E53" s="243" t="s">
        <v>608</v>
      </c>
      <c r="F53" s="208" t="s">
        <v>24</v>
      </c>
      <c r="G53" s="183" t="s">
        <v>28</v>
      </c>
      <c r="H53" s="165" t="s">
        <v>1301</v>
      </c>
    </row>
    <row r="54" ht="22.5" spans="1:8">
      <c r="A54" s="265"/>
      <c r="B54" s="274" t="s">
        <v>1302</v>
      </c>
      <c r="C54" s="210" t="s">
        <v>1303</v>
      </c>
      <c r="D54" s="210" t="s">
        <v>1304</v>
      </c>
      <c r="E54" s="243" t="s">
        <v>608</v>
      </c>
      <c r="F54" s="208" t="s">
        <v>24</v>
      </c>
      <c r="G54" s="268" t="s">
        <v>71</v>
      </c>
      <c r="H54" s="210" t="s">
        <v>1304</v>
      </c>
    </row>
    <row r="55" ht="33.75" spans="1:8">
      <c r="A55" s="267" t="s">
        <v>1305</v>
      </c>
      <c r="B55" s="149" t="s">
        <v>1306</v>
      </c>
      <c r="C55" s="242" t="s">
        <v>1307</v>
      </c>
      <c r="D55" s="202" t="s">
        <v>1308</v>
      </c>
      <c r="E55" s="243" t="s">
        <v>344</v>
      </c>
      <c r="F55" s="250" t="s">
        <v>24</v>
      </c>
      <c r="G55" s="246" t="s">
        <v>545</v>
      </c>
      <c r="H55" s="251" t="s">
        <v>1309</v>
      </c>
    </row>
    <row r="56" ht="22.5" spans="1:8">
      <c r="A56" s="256"/>
      <c r="B56" s="149" t="s">
        <v>1310</v>
      </c>
      <c r="C56" s="242" t="s">
        <v>1311</v>
      </c>
      <c r="D56" s="202" t="s">
        <v>1312</v>
      </c>
      <c r="E56" s="243" t="s">
        <v>344</v>
      </c>
      <c r="F56" s="250" t="s">
        <v>24</v>
      </c>
      <c r="G56" s="246" t="s">
        <v>545</v>
      </c>
      <c r="H56" s="183" t="s">
        <v>1313</v>
      </c>
    </row>
    <row r="57" ht="22.5" spans="1:8">
      <c r="A57" s="267" t="s">
        <v>1314</v>
      </c>
      <c r="B57" s="251" t="s">
        <v>1315</v>
      </c>
      <c r="C57" s="262" t="s">
        <v>1316</v>
      </c>
      <c r="D57" s="251" t="s">
        <v>1317</v>
      </c>
      <c r="E57" s="243" t="s">
        <v>344</v>
      </c>
      <c r="F57" s="250" t="s">
        <v>24</v>
      </c>
      <c r="G57" s="251" t="s">
        <v>1318</v>
      </c>
      <c r="H57" s="251" t="s">
        <v>1319</v>
      </c>
    </row>
    <row r="58" spans="1:8">
      <c r="A58" s="249"/>
      <c r="B58" s="251" t="s">
        <v>1320</v>
      </c>
      <c r="C58" s="262" t="s">
        <v>862</v>
      </c>
      <c r="D58" s="251" t="s">
        <v>879</v>
      </c>
      <c r="E58" s="243" t="s">
        <v>344</v>
      </c>
      <c r="F58" s="263" t="s">
        <v>24</v>
      </c>
      <c r="G58" s="268" t="s">
        <v>345</v>
      </c>
      <c r="H58" s="251" t="s">
        <v>1321</v>
      </c>
    </row>
    <row r="59" spans="1:8">
      <c r="A59" s="249"/>
      <c r="B59" s="35" t="s">
        <v>1322</v>
      </c>
      <c r="C59" s="262" t="s">
        <v>882</v>
      </c>
      <c r="D59" s="251" t="s">
        <v>882</v>
      </c>
      <c r="E59" s="243" t="s">
        <v>344</v>
      </c>
      <c r="F59" s="263" t="s">
        <v>24</v>
      </c>
      <c r="G59" s="251" t="s">
        <v>1323</v>
      </c>
      <c r="H59" s="251" t="s">
        <v>1324</v>
      </c>
    </row>
    <row r="60" spans="1:8">
      <c r="A60" s="249"/>
      <c r="B60" s="35" t="s">
        <v>1325</v>
      </c>
      <c r="C60" s="262" t="s">
        <v>899</v>
      </c>
      <c r="D60" s="251" t="s">
        <v>1326</v>
      </c>
      <c r="E60" s="243" t="s">
        <v>344</v>
      </c>
      <c r="F60" s="263" t="s">
        <v>24</v>
      </c>
      <c r="G60" s="268" t="s">
        <v>901</v>
      </c>
      <c r="H60" s="251" t="s">
        <v>1327</v>
      </c>
    </row>
    <row r="61" spans="1:8">
      <c r="A61" s="249"/>
      <c r="B61" s="277" t="s">
        <v>1328</v>
      </c>
      <c r="C61" s="242" t="s">
        <v>843</v>
      </c>
      <c r="D61" s="202" t="s">
        <v>844</v>
      </c>
      <c r="E61" s="243" t="s">
        <v>608</v>
      </c>
      <c r="F61" s="250" t="s">
        <v>24</v>
      </c>
      <c r="G61" s="246" t="s">
        <v>1329</v>
      </c>
      <c r="H61" s="246" t="s">
        <v>943</v>
      </c>
    </row>
    <row r="62" spans="1:8">
      <c r="A62" s="249"/>
      <c r="B62" s="277" t="s">
        <v>1330</v>
      </c>
      <c r="C62" s="242" t="s">
        <v>847</v>
      </c>
      <c r="D62" s="202" t="s">
        <v>848</v>
      </c>
      <c r="E62" s="243" t="s">
        <v>608</v>
      </c>
      <c r="F62" s="250" t="s">
        <v>24</v>
      </c>
      <c r="G62" s="246" t="s">
        <v>849</v>
      </c>
      <c r="H62" s="246" t="s">
        <v>952</v>
      </c>
    </row>
    <row r="63" spans="1:8">
      <c r="A63" s="249"/>
      <c r="B63" s="278" t="s">
        <v>1331</v>
      </c>
      <c r="C63" s="242" t="s">
        <v>1332</v>
      </c>
      <c r="D63" s="202" t="s">
        <v>1333</v>
      </c>
      <c r="E63" s="243" t="s">
        <v>344</v>
      </c>
      <c r="F63" s="250" t="s">
        <v>57</v>
      </c>
      <c r="G63" s="248" t="s">
        <v>1334</v>
      </c>
      <c r="H63" s="246" t="s">
        <v>1335</v>
      </c>
    </row>
    <row r="64" ht="22.5" spans="1:8">
      <c r="A64" s="249"/>
      <c r="B64" s="278" t="s">
        <v>1336</v>
      </c>
      <c r="C64" s="242" t="s">
        <v>1337</v>
      </c>
      <c r="D64" s="202" t="s">
        <v>1338</v>
      </c>
      <c r="E64" s="243" t="s">
        <v>344</v>
      </c>
      <c r="F64" s="250" t="s">
        <v>24</v>
      </c>
      <c r="G64" s="248" t="s">
        <v>71</v>
      </c>
      <c r="H64" s="246" t="s">
        <v>1335</v>
      </c>
    </row>
    <row r="65" spans="1:8">
      <c r="A65" s="249"/>
      <c r="B65" s="277" t="s">
        <v>1339</v>
      </c>
      <c r="C65" s="262" t="s">
        <v>1340</v>
      </c>
      <c r="D65" s="251" t="s">
        <v>1340</v>
      </c>
      <c r="E65" s="243" t="s">
        <v>344</v>
      </c>
      <c r="F65" s="250" t="s">
        <v>24</v>
      </c>
      <c r="G65" s="268" t="s">
        <v>1341</v>
      </c>
      <c r="H65" s="251" t="s">
        <v>1342</v>
      </c>
    </row>
    <row r="66" ht="22.5" spans="1:8">
      <c r="A66" s="256"/>
      <c r="B66" s="278" t="s">
        <v>1343</v>
      </c>
      <c r="C66" s="242" t="s">
        <v>1344</v>
      </c>
      <c r="D66" s="202" t="s">
        <v>1345</v>
      </c>
      <c r="E66" s="243" t="s">
        <v>344</v>
      </c>
      <c r="F66" s="250" t="s">
        <v>24</v>
      </c>
      <c r="G66" s="248" t="s">
        <v>71</v>
      </c>
      <c r="H66" s="246" t="s">
        <v>1346</v>
      </c>
    </row>
    <row r="67" spans="1:8">
      <c r="A67" s="224" t="s">
        <v>1347</v>
      </c>
      <c r="B67" s="234" t="s">
        <v>1348</v>
      </c>
      <c r="C67" s="226" t="s">
        <v>1349</v>
      </c>
      <c r="D67" s="226" t="s">
        <v>1350</v>
      </c>
      <c r="E67" s="243" t="s">
        <v>608</v>
      </c>
      <c r="F67" s="208" t="s">
        <v>24</v>
      </c>
      <c r="G67" s="183" t="s">
        <v>71</v>
      </c>
      <c r="H67" s="183" t="s">
        <v>1351</v>
      </c>
    </row>
    <row r="68" spans="1:8">
      <c r="A68" s="224"/>
      <c r="B68" s="234" t="s">
        <v>1352</v>
      </c>
      <c r="C68" s="226" t="s">
        <v>1353</v>
      </c>
      <c r="D68" s="226" t="s">
        <v>1354</v>
      </c>
      <c r="E68" s="243" t="s">
        <v>608</v>
      </c>
      <c r="F68" s="208" t="s">
        <v>24</v>
      </c>
      <c r="G68" s="183" t="s">
        <v>71</v>
      </c>
      <c r="H68" s="183" t="s">
        <v>1351</v>
      </c>
    </row>
    <row r="69" spans="1:8">
      <c r="A69" s="224"/>
      <c r="B69" s="234" t="s">
        <v>1355</v>
      </c>
      <c r="C69" s="226" t="s">
        <v>1356</v>
      </c>
      <c r="D69" s="226" t="s">
        <v>1357</v>
      </c>
      <c r="E69" s="243" t="s">
        <v>608</v>
      </c>
      <c r="F69" s="208" t="s">
        <v>24</v>
      </c>
      <c r="G69" s="183" t="s">
        <v>71</v>
      </c>
      <c r="H69" s="183" t="s">
        <v>1351</v>
      </c>
    </row>
    <row r="70" spans="1:8">
      <c r="A70" s="224"/>
      <c r="B70" s="234" t="s">
        <v>1358</v>
      </c>
      <c r="C70" s="226" t="s">
        <v>1359</v>
      </c>
      <c r="D70" s="226" t="s">
        <v>1360</v>
      </c>
      <c r="E70" s="243" t="s">
        <v>608</v>
      </c>
      <c r="F70" s="208" t="s">
        <v>24</v>
      </c>
      <c r="G70" s="183" t="s">
        <v>71</v>
      </c>
      <c r="H70" s="183" t="s">
        <v>1351</v>
      </c>
    </row>
    <row r="71" spans="1:8">
      <c r="A71" s="224"/>
      <c r="B71" s="234" t="s">
        <v>1361</v>
      </c>
      <c r="C71" s="226" t="s">
        <v>1362</v>
      </c>
      <c r="D71" s="226" t="s">
        <v>1363</v>
      </c>
      <c r="E71" s="243" t="s">
        <v>608</v>
      </c>
      <c r="F71" s="208" t="s">
        <v>24</v>
      </c>
      <c r="G71" s="226" t="s">
        <v>71</v>
      </c>
      <c r="H71" s="226" t="s">
        <v>1364</v>
      </c>
    </row>
    <row r="72" spans="1:8">
      <c r="A72" s="224"/>
      <c r="B72" s="234" t="s">
        <v>1365</v>
      </c>
      <c r="C72" s="226" t="s">
        <v>1366</v>
      </c>
      <c r="D72" s="226" t="s">
        <v>1367</v>
      </c>
      <c r="E72" s="243" t="s">
        <v>608</v>
      </c>
      <c r="F72" s="208" t="s">
        <v>24</v>
      </c>
      <c r="G72" s="226" t="s">
        <v>71</v>
      </c>
      <c r="H72" s="226" t="s">
        <v>1364</v>
      </c>
    </row>
    <row r="73" spans="1:8">
      <c r="A73" s="224"/>
      <c r="B73" s="234" t="s">
        <v>1368</v>
      </c>
      <c r="C73" s="226" t="s">
        <v>1369</v>
      </c>
      <c r="D73" s="226" t="s">
        <v>1370</v>
      </c>
      <c r="E73" s="243" t="s">
        <v>608</v>
      </c>
      <c r="F73" s="208" t="s">
        <v>24</v>
      </c>
      <c r="G73" s="226" t="s">
        <v>71</v>
      </c>
      <c r="H73" s="226" t="s">
        <v>1364</v>
      </c>
    </row>
    <row r="74" spans="1:8">
      <c r="A74" s="224"/>
      <c r="B74" s="234" t="s">
        <v>1371</v>
      </c>
      <c r="C74" s="226" t="s">
        <v>1372</v>
      </c>
      <c r="D74" s="226" t="s">
        <v>1373</v>
      </c>
      <c r="E74" s="243" t="s">
        <v>608</v>
      </c>
      <c r="F74" s="208" t="s">
        <v>24</v>
      </c>
      <c r="G74" s="226" t="s">
        <v>71</v>
      </c>
      <c r="H74" s="226" t="s">
        <v>1364</v>
      </c>
    </row>
  </sheetData>
  <autoFilter ref="A1:I74">
    <extLst/>
  </autoFilter>
  <mergeCells count="11">
    <mergeCell ref="A2:A12"/>
    <mergeCell ref="A13:A23"/>
    <mergeCell ref="A27:A28"/>
    <mergeCell ref="A29:A32"/>
    <mergeCell ref="A33:A38"/>
    <mergeCell ref="A39:A44"/>
    <mergeCell ref="A46:A47"/>
    <mergeCell ref="A48:A54"/>
    <mergeCell ref="A55:A56"/>
    <mergeCell ref="A57:A66"/>
    <mergeCell ref="A67:A74"/>
  </mergeCells>
  <dataValidations count="2">
    <dataValidation type="list" allowBlank="1" showInputMessage="1" showErrorMessage="1" sqref="F67:F74">
      <formula1>"R,W,RW"</formula1>
    </dataValidation>
    <dataValidation type="list" allowBlank="1" showInputMessage="1" showErrorMessage="1" sqref="G67:G70">
      <formula1>"unsignedByte,unsignedChar,unsignedShort,unsignedInt,unsignedLong,Byte,Char,Short,Int,Long,Double,boolean,string,date,dataTime,enumeration"</formula1>
    </dataValidation>
  </dataValidations>
  <pageMargins left="0.699305555555556" right="0.699305555555556"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I266"/>
  <sheetViews>
    <sheetView workbookViewId="0">
      <pane xSplit="1" ySplit="1" topLeftCell="B90" activePane="bottomRight" state="frozen"/>
      <selection/>
      <selection pane="topRight"/>
      <selection pane="bottomLeft"/>
      <selection pane="bottomRight" activeCell="B110" sqref="B110"/>
    </sheetView>
  </sheetViews>
  <sheetFormatPr defaultColWidth="9" defaultRowHeight="13.15" customHeight="1"/>
  <cols>
    <col min="1" max="1" width="8.75" style="173" customWidth="1"/>
    <col min="2" max="2" width="102.75" style="174" customWidth="1"/>
    <col min="3" max="3" width="21.25" style="175" customWidth="1"/>
    <col min="4" max="4" width="14" style="174" customWidth="1"/>
    <col min="5" max="5" width="4.375" style="176" customWidth="1"/>
    <col min="6" max="6" width="7.125" style="173" customWidth="1"/>
    <col min="7" max="7" width="18.125" style="175" customWidth="1"/>
    <col min="8" max="8" width="51.75" style="174" customWidth="1"/>
    <col min="9" max="9" width="6.125" style="177" customWidth="1"/>
    <col min="10" max="16384" width="9" style="176"/>
  </cols>
  <sheetData>
    <row r="1" s="172" customFormat="1" ht="29.65" customHeight="1" spans="1:9">
      <c r="A1" s="11" t="s">
        <v>335</v>
      </c>
      <c r="B1" s="11" t="s">
        <v>336</v>
      </c>
      <c r="C1" s="33" t="s">
        <v>2</v>
      </c>
      <c r="D1" s="11" t="s">
        <v>3</v>
      </c>
      <c r="E1" s="11" t="s">
        <v>337</v>
      </c>
      <c r="F1" s="11" t="s">
        <v>8</v>
      </c>
      <c r="G1" s="11" t="s">
        <v>6</v>
      </c>
      <c r="H1" s="11" t="s">
        <v>338</v>
      </c>
      <c r="I1" s="11" t="s">
        <v>339</v>
      </c>
    </row>
    <row r="2" ht="20.65" customHeight="1" spans="1:8">
      <c r="A2" s="178" t="s">
        <v>1374</v>
      </c>
      <c r="B2" s="140" t="s">
        <v>1375</v>
      </c>
      <c r="C2" s="179" t="s">
        <v>1376</v>
      </c>
      <c r="D2" s="179" t="s">
        <v>1377</v>
      </c>
      <c r="E2" s="180" t="s">
        <v>344</v>
      </c>
      <c r="F2" s="181" t="s">
        <v>57</v>
      </c>
      <c r="G2" s="182" t="s">
        <v>1378</v>
      </c>
      <c r="H2" s="183" t="s">
        <v>1379</v>
      </c>
    </row>
    <row r="3" ht="22.5" customHeight="1" spans="1:8">
      <c r="A3" s="178"/>
      <c r="B3" s="179" t="s">
        <v>1380</v>
      </c>
      <c r="C3" s="179" t="s">
        <v>1381</v>
      </c>
      <c r="D3" s="179" t="s">
        <v>1382</v>
      </c>
      <c r="E3" s="180" t="s">
        <v>344</v>
      </c>
      <c r="F3" s="181" t="s">
        <v>24</v>
      </c>
      <c r="G3" s="182" t="s">
        <v>1166</v>
      </c>
      <c r="H3" s="183" t="s">
        <v>1383</v>
      </c>
    </row>
    <row r="4" ht="27.4" customHeight="1" spans="1:8">
      <c r="A4" s="178"/>
      <c r="B4" s="179" t="s">
        <v>1384</v>
      </c>
      <c r="C4" s="179" t="s">
        <v>1385</v>
      </c>
      <c r="D4" s="179" t="s">
        <v>1386</v>
      </c>
      <c r="E4" s="180" t="s">
        <v>344</v>
      </c>
      <c r="F4" s="181" t="s">
        <v>24</v>
      </c>
      <c r="G4" s="182" t="s">
        <v>1378</v>
      </c>
      <c r="H4" s="183" t="s">
        <v>1387</v>
      </c>
    </row>
    <row r="5" ht="24.75" customHeight="1" spans="1:8">
      <c r="A5" s="178"/>
      <c r="B5" s="179" t="s">
        <v>1388</v>
      </c>
      <c r="C5" s="179" t="s">
        <v>1389</v>
      </c>
      <c r="D5" s="179" t="s">
        <v>1390</v>
      </c>
      <c r="E5" s="180" t="s">
        <v>344</v>
      </c>
      <c r="F5" s="181" t="s">
        <v>24</v>
      </c>
      <c r="G5" s="182" t="s">
        <v>1391</v>
      </c>
      <c r="H5" s="179" t="s">
        <v>1392</v>
      </c>
    </row>
    <row r="6" ht="22.9" customHeight="1" spans="1:8">
      <c r="A6" s="178"/>
      <c r="B6" s="179" t="s">
        <v>1393</v>
      </c>
      <c r="C6" s="179" t="s">
        <v>1394</v>
      </c>
      <c r="D6" s="179" t="s">
        <v>1395</v>
      </c>
      <c r="E6" s="180" t="s">
        <v>344</v>
      </c>
      <c r="F6" s="181" t="s">
        <v>24</v>
      </c>
      <c r="G6" s="182" t="s">
        <v>1396</v>
      </c>
      <c r="H6" s="179" t="s">
        <v>1397</v>
      </c>
    </row>
    <row r="7" ht="18.4" customHeight="1" spans="1:8">
      <c r="A7" s="178"/>
      <c r="B7" s="140" t="s">
        <v>1398</v>
      </c>
      <c r="C7" s="179" t="s">
        <v>1399</v>
      </c>
      <c r="D7" s="179" t="s">
        <v>1400</v>
      </c>
      <c r="E7" s="184" t="s">
        <v>608</v>
      </c>
      <c r="F7" s="181" t="s">
        <v>57</v>
      </c>
      <c r="G7" s="185" t="s">
        <v>1145</v>
      </c>
      <c r="H7" s="179" t="s">
        <v>1400</v>
      </c>
    </row>
    <row r="8" ht="20.65" customHeight="1" spans="1:8">
      <c r="A8" s="178"/>
      <c r="B8" s="179" t="s">
        <v>1401</v>
      </c>
      <c r="C8" s="179" t="s">
        <v>1385</v>
      </c>
      <c r="D8" s="179" t="s">
        <v>1402</v>
      </c>
      <c r="E8" s="180" t="s">
        <v>344</v>
      </c>
      <c r="F8" s="181" t="s">
        <v>24</v>
      </c>
      <c r="G8" s="182" t="s">
        <v>1378</v>
      </c>
      <c r="H8" s="179" t="s">
        <v>1403</v>
      </c>
    </row>
    <row r="9" ht="22.15" customHeight="1" spans="1:8">
      <c r="A9" s="178"/>
      <c r="B9" s="179" t="s">
        <v>1404</v>
      </c>
      <c r="C9" s="179" t="s">
        <v>1389</v>
      </c>
      <c r="D9" s="179" t="s">
        <v>1405</v>
      </c>
      <c r="E9" s="180" t="s">
        <v>344</v>
      </c>
      <c r="F9" s="181" t="s">
        <v>24</v>
      </c>
      <c r="G9" s="182" t="s">
        <v>1391</v>
      </c>
      <c r="H9" s="179" t="s">
        <v>1406</v>
      </c>
    </row>
    <row r="10" ht="22.5" customHeight="1" spans="1:8">
      <c r="A10" s="178"/>
      <c r="B10" s="179" t="s">
        <v>1407</v>
      </c>
      <c r="C10" s="179" t="s">
        <v>1394</v>
      </c>
      <c r="D10" s="179" t="s">
        <v>1408</v>
      </c>
      <c r="E10" s="180" t="s">
        <v>344</v>
      </c>
      <c r="F10" s="181" t="s">
        <v>24</v>
      </c>
      <c r="G10" s="182" t="s">
        <v>1396</v>
      </c>
      <c r="H10" s="179" t="s">
        <v>1397</v>
      </c>
    </row>
    <row r="11" customHeight="1" spans="1:8">
      <c r="A11" s="178"/>
      <c r="B11" s="186" t="s">
        <v>1409</v>
      </c>
      <c r="C11" s="186" t="s">
        <v>1410</v>
      </c>
      <c r="D11" s="186" t="s">
        <v>1411</v>
      </c>
      <c r="E11" s="180" t="s">
        <v>344</v>
      </c>
      <c r="F11" s="181" t="s">
        <v>24</v>
      </c>
      <c r="G11" s="152" t="s">
        <v>1412</v>
      </c>
      <c r="H11" s="186" t="s">
        <v>1413</v>
      </c>
    </row>
    <row r="12" customHeight="1" spans="1:8">
      <c r="A12" s="178"/>
      <c r="B12" s="186" t="s">
        <v>1414</v>
      </c>
      <c r="C12" s="186" t="s">
        <v>1415</v>
      </c>
      <c r="D12" s="186" t="s">
        <v>1416</v>
      </c>
      <c r="E12" s="180" t="s">
        <v>344</v>
      </c>
      <c r="F12" s="181" t="s">
        <v>24</v>
      </c>
      <c r="G12" s="182" t="s">
        <v>1417</v>
      </c>
      <c r="H12" s="186" t="s">
        <v>1418</v>
      </c>
    </row>
    <row r="13" customHeight="1" spans="1:8">
      <c r="A13" s="178"/>
      <c r="B13" s="187" t="s">
        <v>1419</v>
      </c>
      <c r="C13" s="186" t="s">
        <v>1420</v>
      </c>
      <c r="D13" s="186" t="s">
        <v>1421</v>
      </c>
      <c r="E13" s="180" t="s">
        <v>344</v>
      </c>
      <c r="F13" s="181" t="s">
        <v>57</v>
      </c>
      <c r="G13" s="188" t="s">
        <v>1422</v>
      </c>
      <c r="H13" s="186" t="s">
        <v>1423</v>
      </c>
    </row>
    <row r="14" customHeight="1" spans="1:8">
      <c r="A14" s="178"/>
      <c r="B14" s="186" t="s">
        <v>1424</v>
      </c>
      <c r="C14" s="186" t="s">
        <v>1425</v>
      </c>
      <c r="D14" s="186" t="s">
        <v>1426</v>
      </c>
      <c r="E14" s="180" t="s">
        <v>344</v>
      </c>
      <c r="F14" s="181" t="s">
        <v>24</v>
      </c>
      <c r="G14" s="189" t="s">
        <v>354</v>
      </c>
      <c r="H14" s="186" t="s">
        <v>1427</v>
      </c>
    </row>
    <row r="15" ht="21.4" customHeight="1" spans="1:8">
      <c r="A15" s="178"/>
      <c r="B15" s="179" t="s">
        <v>1428</v>
      </c>
      <c r="C15" s="179" t="s">
        <v>1429</v>
      </c>
      <c r="D15" s="179" t="s">
        <v>1430</v>
      </c>
      <c r="E15" s="180" t="s">
        <v>344</v>
      </c>
      <c r="F15" s="181" t="s">
        <v>24</v>
      </c>
      <c r="G15" s="182" t="s">
        <v>1391</v>
      </c>
      <c r="H15" s="183" t="s">
        <v>1431</v>
      </c>
    </row>
    <row r="16" ht="21.4" customHeight="1" spans="1:8">
      <c r="A16" s="178"/>
      <c r="B16" s="179" t="s">
        <v>1432</v>
      </c>
      <c r="C16" s="179" t="s">
        <v>1433</v>
      </c>
      <c r="D16" s="179" t="s">
        <v>1434</v>
      </c>
      <c r="E16" s="180" t="s">
        <v>344</v>
      </c>
      <c r="F16" s="181" t="s">
        <v>24</v>
      </c>
      <c r="G16" s="182" t="s">
        <v>1435</v>
      </c>
      <c r="H16" s="183" t="s">
        <v>1436</v>
      </c>
    </row>
    <row r="17" ht="23.25" customHeight="1" spans="1:8">
      <c r="A17" s="178"/>
      <c r="B17" s="179" t="s">
        <v>1437</v>
      </c>
      <c r="C17" s="179" t="s">
        <v>1438</v>
      </c>
      <c r="D17" s="179" t="s">
        <v>1439</v>
      </c>
      <c r="E17" s="180" t="s">
        <v>344</v>
      </c>
      <c r="F17" s="181" t="s">
        <v>24</v>
      </c>
      <c r="G17" s="182" t="s">
        <v>1440</v>
      </c>
      <c r="H17" s="183" t="s">
        <v>1441</v>
      </c>
    </row>
    <row r="18" ht="21.75" customHeight="1" spans="1:8">
      <c r="A18" s="178"/>
      <c r="B18" s="179" t="s">
        <v>1442</v>
      </c>
      <c r="C18" s="179" t="s">
        <v>1443</v>
      </c>
      <c r="D18" s="179" t="s">
        <v>1444</v>
      </c>
      <c r="E18" s="180" t="s">
        <v>344</v>
      </c>
      <c r="F18" s="181" t="s">
        <v>24</v>
      </c>
      <c r="G18" s="182" t="s">
        <v>1445</v>
      </c>
      <c r="H18" s="183" t="s">
        <v>1446</v>
      </c>
    </row>
    <row r="19" ht="19.9" customHeight="1" spans="1:8">
      <c r="A19" s="178"/>
      <c r="B19" s="179" t="s">
        <v>1447</v>
      </c>
      <c r="C19" s="179" t="s">
        <v>1448</v>
      </c>
      <c r="D19" s="179" t="s">
        <v>1449</v>
      </c>
      <c r="E19" s="180" t="s">
        <v>344</v>
      </c>
      <c r="F19" s="181" t="s">
        <v>24</v>
      </c>
      <c r="G19" s="182" t="s">
        <v>1440</v>
      </c>
      <c r="H19" s="183" t="s">
        <v>1441</v>
      </c>
    </row>
    <row r="20" ht="20.65" customHeight="1" spans="1:8">
      <c r="A20" s="178"/>
      <c r="B20" s="179" t="s">
        <v>1450</v>
      </c>
      <c r="C20" s="179" t="s">
        <v>1451</v>
      </c>
      <c r="D20" s="179" t="s">
        <v>1452</v>
      </c>
      <c r="E20" s="180" t="s">
        <v>344</v>
      </c>
      <c r="F20" s="181" t="s">
        <v>24</v>
      </c>
      <c r="G20" s="182" t="s">
        <v>1445</v>
      </c>
      <c r="H20" s="183" t="s">
        <v>1446</v>
      </c>
    </row>
    <row r="21" customHeight="1" spans="1:8">
      <c r="A21" s="178"/>
      <c r="B21" s="190" t="s">
        <v>1453</v>
      </c>
      <c r="C21" s="183" t="s">
        <v>1454</v>
      </c>
      <c r="D21" s="183" t="s">
        <v>1455</v>
      </c>
      <c r="E21" s="180" t="s">
        <v>344</v>
      </c>
      <c r="F21" s="191" t="s">
        <v>24</v>
      </c>
      <c r="G21" s="182" t="s">
        <v>71</v>
      </c>
      <c r="H21" s="183" t="s">
        <v>1456</v>
      </c>
    </row>
    <row r="22" ht="24.75" customHeight="1" spans="1:8">
      <c r="A22" s="178"/>
      <c r="B22" s="179" t="s">
        <v>1457</v>
      </c>
      <c r="C22" s="179" t="s">
        <v>1458</v>
      </c>
      <c r="D22" s="179" t="s">
        <v>1459</v>
      </c>
      <c r="E22" s="180" t="s">
        <v>344</v>
      </c>
      <c r="F22" s="181" t="s">
        <v>24</v>
      </c>
      <c r="G22" s="182" t="s">
        <v>1435</v>
      </c>
      <c r="H22" s="183" t="s">
        <v>1436</v>
      </c>
    </row>
    <row r="23" ht="21" customHeight="1" spans="1:8">
      <c r="A23" s="178"/>
      <c r="B23" s="179" t="s">
        <v>1460</v>
      </c>
      <c r="C23" s="179" t="s">
        <v>1461</v>
      </c>
      <c r="D23" s="179" t="s">
        <v>1462</v>
      </c>
      <c r="E23" s="180" t="s">
        <v>344</v>
      </c>
      <c r="F23" s="181" t="s">
        <v>24</v>
      </c>
      <c r="G23" s="182" t="s">
        <v>1440</v>
      </c>
      <c r="H23" s="183" t="s">
        <v>1441</v>
      </c>
    </row>
    <row r="24" ht="18.4" customHeight="1" spans="1:8">
      <c r="A24" s="178"/>
      <c r="B24" s="179" t="s">
        <v>1463</v>
      </c>
      <c r="C24" s="179" t="s">
        <v>1464</v>
      </c>
      <c r="D24" s="179" t="s">
        <v>1465</v>
      </c>
      <c r="E24" s="180" t="s">
        <v>344</v>
      </c>
      <c r="F24" s="181" t="s">
        <v>24</v>
      </c>
      <c r="G24" s="182" t="s">
        <v>1445</v>
      </c>
      <c r="H24" s="183" t="s">
        <v>1446</v>
      </c>
    </row>
    <row r="25" ht="20.65" customHeight="1" spans="1:8">
      <c r="A25" s="178"/>
      <c r="B25" s="179" t="s">
        <v>1466</v>
      </c>
      <c r="C25" s="179" t="s">
        <v>1467</v>
      </c>
      <c r="D25" s="179" t="s">
        <v>1468</v>
      </c>
      <c r="E25" s="180" t="s">
        <v>344</v>
      </c>
      <c r="F25" s="181" t="s">
        <v>24</v>
      </c>
      <c r="G25" s="182" t="s">
        <v>1440</v>
      </c>
      <c r="H25" s="183" t="s">
        <v>1441</v>
      </c>
    </row>
    <row r="26" ht="21.4" customHeight="1" spans="1:8">
      <c r="A26" s="178"/>
      <c r="B26" s="179" t="s">
        <v>1469</v>
      </c>
      <c r="C26" s="179" t="s">
        <v>1470</v>
      </c>
      <c r="D26" s="179" t="s">
        <v>1471</v>
      </c>
      <c r="E26" s="180" t="s">
        <v>344</v>
      </c>
      <c r="F26" s="181" t="s">
        <v>24</v>
      </c>
      <c r="G26" s="182" t="s">
        <v>1445</v>
      </c>
      <c r="H26" s="183" t="s">
        <v>1446</v>
      </c>
    </row>
    <row r="27" customHeight="1" spans="1:8">
      <c r="A27" s="178"/>
      <c r="B27" s="187" t="s">
        <v>1472</v>
      </c>
      <c r="C27" s="186" t="s">
        <v>1473</v>
      </c>
      <c r="D27" s="186" t="s">
        <v>1474</v>
      </c>
      <c r="E27" s="180" t="s">
        <v>475</v>
      </c>
      <c r="F27" s="181" t="s">
        <v>24</v>
      </c>
      <c r="G27" s="186" t="s">
        <v>1475</v>
      </c>
      <c r="H27" s="186" t="s">
        <v>1476</v>
      </c>
    </row>
    <row r="28" customHeight="1" spans="1:8">
      <c r="A28" s="192"/>
      <c r="B28" s="187" t="s">
        <v>1477</v>
      </c>
      <c r="C28" s="186" t="s">
        <v>1478</v>
      </c>
      <c r="D28" s="186" t="s">
        <v>1479</v>
      </c>
      <c r="E28" s="180" t="s">
        <v>344</v>
      </c>
      <c r="F28" s="181" t="s">
        <v>24</v>
      </c>
      <c r="G28" s="186" t="s">
        <v>1480</v>
      </c>
      <c r="H28" s="186" t="s">
        <v>1481</v>
      </c>
    </row>
    <row r="29" customHeight="1" spans="1:8">
      <c r="A29" s="192"/>
      <c r="B29" s="187" t="s">
        <v>1482</v>
      </c>
      <c r="C29" s="193" t="s">
        <v>1483</v>
      </c>
      <c r="D29" s="194" t="s">
        <v>1484</v>
      </c>
      <c r="E29" s="180" t="s">
        <v>344</v>
      </c>
      <c r="F29" s="195" t="s">
        <v>24</v>
      </c>
      <c r="G29" s="196" t="s">
        <v>1485</v>
      </c>
      <c r="H29" s="197" t="s">
        <v>1486</v>
      </c>
    </row>
    <row r="30" customHeight="1" spans="1:8">
      <c r="A30" s="192"/>
      <c r="B30" s="187" t="s">
        <v>1487</v>
      </c>
      <c r="C30" s="193" t="s">
        <v>1488</v>
      </c>
      <c r="D30" s="194" t="s">
        <v>1489</v>
      </c>
      <c r="E30" s="180" t="s">
        <v>475</v>
      </c>
      <c r="F30" s="195" t="s">
        <v>24</v>
      </c>
      <c r="G30" s="196" t="s">
        <v>1210</v>
      </c>
      <c r="H30" s="197" t="s">
        <v>1490</v>
      </c>
    </row>
    <row r="31" ht="25.15" customHeight="1" spans="1:8">
      <c r="A31" s="192"/>
      <c r="B31" s="187" t="s">
        <v>1491</v>
      </c>
      <c r="C31" s="186" t="s">
        <v>1492</v>
      </c>
      <c r="D31" s="179" t="s">
        <v>1493</v>
      </c>
      <c r="E31" s="180" t="s">
        <v>475</v>
      </c>
      <c r="F31" s="181" t="s">
        <v>24</v>
      </c>
      <c r="G31" s="188" t="s">
        <v>1494</v>
      </c>
      <c r="H31" s="179" t="s">
        <v>1493</v>
      </c>
    </row>
    <row r="32" ht="20.65" customHeight="1" spans="1:8">
      <c r="A32" s="192"/>
      <c r="B32" s="187" t="s">
        <v>1495</v>
      </c>
      <c r="C32" s="186" t="s">
        <v>1496</v>
      </c>
      <c r="D32" s="179" t="s">
        <v>1497</v>
      </c>
      <c r="E32" s="180" t="s">
        <v>475</v>
      </c>
      <c r="F32" s="181" t="s">
        <v>24</v>
      </c>
      <c r="G32" s="188" t="s">
        <v>1498</v>
      </c>
      <c r="H32" s="179" t="s">
        <v>1497</v>
      </c>
    </row>
    <row r="33" ht="21.75" customHeight="1" spans="1:8">
      <c r="A33" s="192"/>
      <c r="B33" s="187" t="s">
        <v>1499</v>
      </c>
      <c r="C33" s="186" t="s">
        <v>1492</v>
      </c>
      <c r="D33" s="179" t="s">
        <v>1500</v>
      </c>
      <c r="E33" s="180" t="s">
        <v>475</v>
      </c>
      <c r="F33" s="181" t="s">
        <v>24</v>
      </c>
      <c r="G33" s="188" t="s">
        <v>932</v>
      </c>
      <c r="H33" s="179" t="s">
        <v>1500</v>
      </c>
    </row>
    <row r="34" ht="21.75" customHeight="1" spans="1:8">
      <c r="A34" s="192"/>
      <c r="B34" s="187" t="s">
        <v>1501</v>
      </c>
      <c r="C34" s="186" t="s">
        <v>1496</v>
      </c>
      <c r="D34" s="179" t="s">
        <v>1502</v>
      </c>
      <c r="E34" s="180" t="s">
        <v>475</v>
      </c>
      <c r="F34" s="181" t="s">
        <v>24</v>
      </c>
      <c r="G34" s="188" t="s">
        <v>1498</v>
      </c>
      <c r="H34" s="179" t="s">
        <v>1502</v>
      </c>
    </row>
    <row r="35" customHeight="1" spans="1:8">
      <c r="A35" s="192"/>
      <c r="B35" s="187" t="s">
        <v>1503</v>
      </c>
      <c r="C35" s="186" t="s">
        <v>1504</v>
      </c>
      <c r="D35" s="183" t="s">
        <v>1505</v>
      </c>
      <c r="E35" s="180" t="s">
        <v>475</v>
      </c>
      <c r="F35" s="191" t="s">
        <v>24</v>
      </c>
      <c r="G35" s="182" t="s">
        <v>1506</v>
      </c>
      <c r="H35" s="183" t="s">
        <v>1507</v>
      </c>
    </row>
    <row r="36" ht="22.5" customHeight="1" spans="1:8">
      <c r="A36" s="192"/>
      <c r="B36" s="187" t="s">
        <v>1508</v>
      </c>
      <c r="C36" s="186" t="s">
        <v>1509</v>
      </c>
      <c r="D36" s="179" t="s">
        <v>1510</v>
      </c>
      <c r="E36" s="180" t="s">
        <v>475</v>
      </c>
      <c r="F36" s="181" t="s">
        <v>24</v>
      </c>
      <c r="G36" s="188" t="s">
        <v>932</v>
      </c>
      <c r="H36" s="186" t="s">
        <v>1511</v>
      </c>
    </row>
    <row r="37" customHeight="1" spans="1:8">
      <c r="A37" s="192"/>
      <c r="B37" s="187" t="s">
        <v>1512</v>
      </c>
      <c r="C37" s="186" t="s">
        <v>1513</v>
      </c>
      <c r="D37" s="186" t="s">
        <v>1514</v>
      </c>
      <c r="E37" s="180" t="s">
        <v>475</v>
      </c>
      <c r="F37" s="181" t="s">
        <v>24</v>
      </c>
      <c r="G37" s="188" t="s">
        <v>932</v>
      </c>
      <c r="H37" s="186" t="s">
        <v>1515</v>
      </c>
    </row>
    <row r="38" ht="24" customHeight="1" spans="1:8">
      <c r="A38" s="192"/>
      <c r="B38" s="187" t="s">
        <v>1516</v>
      </c>
      <c r="C38" s="186" t="s">
        <v>1517</v>
      </c>
      <c r="D38" s="179" t="s">
        <v>1518</v>
      </c>
      <c r="E38" s="180" t="s">
        <v>475</v>
      </c>
      <c r="F38" s="181" t="s">
        <v>24</v>
      </c>
      <c r="G38" s="188" t="s">
        <v>932</v>
      </c>
      <c r="H38" s="186" t="s">
        <v>1519</v>
      </c>
    </row>
    <row r="39" ht="22.9" customHeight="1" spans="1:8">
      <c r="A39" s="192"/>
      <c r="B39" s="187" t="s">
        <v>1520</v>
      </c>
      <c r="C39" s="186" t="s">
        <v>1521</v>
      </c>
      <c r="D39" s="179" t="s">
        <v>1522</v>
      </c>
      <c r="E39" s="180" t="s">
        <v>475</v>
      </c>
      <c r="F39" s="181" t="s">
        <v>24</v>
      </c>
      <c r="G39" s="188" t="s">
        <v>932</v>
      </c>
      <c r="H39" s="186" t="s">
        <v>1523</v>
      </c>
    </row>
    <row r="40" customHeight="1" spans="1:8">
      <c r="A40" s="192"/>
      <c r="B40" s="190" t="s">
        <v>1524</v>
      </c>
      <c r="C40" s="183" t="s">
        <v>1525</v>
      </c>
      <c r="D40" s="183" t="s">
        <v>1526</v>
      </c>
      <c r="E40" s="180" t="s">
        <v>475</v>
      </c>
      <c r="F40" s="191" t="s">
        <v>24</v>
      </c>
      <c r="G40" s="182" t="s">
        <v>71</v>
      </c>
      <c r="H40" s="183" t="s">
        <v>1527</v>
      </c>
    </row>
    <row r="41" customHeight="1" spans="1:8">
      <c r="A41" s="192"/>
      <c r="B41" s="190" t="s">
        <v>1528</v>
      </c>
      <c r="C41" s="183" t="s">
        <v>1529</v>
      </c>
      <c r="D41" s="183" t="s">
        <v>1530</v>
      </c>
      <c r="E41" s="180" t="s">
        <v>475</v>
      </c>
      <c r="F41" s="191" t="s">
        <v>24</v>
      </c>
      <c r="G41" s="182" t="s">
        <v>71</v>
      </c>
      <c r="H41" s="183" t="s">
        <v>1531</v>
      </c>
    </row>
    <row r="42" customHeight="1" spans="1:8">
      <c r="A42" s="192"/>
      <c r="B42" s="190" t="s">
        <v>1532</v>
      </c>
      <c r="C42" s="183" t="s">
        <v>1533</v>
      </c>
      <c r="D42" s="183" t="s">
        <v>1534</v>
      </c>
      <c r="E42" s="180" t="s">
        <v>475</v>
      </c>
      <c r="F42" s="191" t="s">
        <v>24</v>
      </c>
      <c r="G42" s="182" t="s">
        <v>28</v>
      </c>
      <c r="H42" s="183" t="s">
        <v>1535</v>
      </c>
    </row>
    <row r="43" ht="21" customHeight="1" spans="1:8">
      <c r="A43" s="192"/>
      <c r="B43" s="190" t="s">
        <v>1536</v>
      </c>
      <c r="C43" s="183" t="s">
        <v>1537</v>
      </c>
      <c r="D43" s="183" t="s">
        <v>1538</v>
      </c>
      <c r="E43" s="180" t="s">
        <v>475</v>
      </c>
      <c r="F43" s="191" t="s">
        <v>24</v>
      </c>
      <c r="G43" s="182" t="s">
        <v>1506</v>
      </c>
      <c r="H43" s="183" t="s">
        <v>1539</v>
      </c>
    </row>
    <row r="44" ht="23.25" customHeight="1" spans="1:8">
      <c r="A44" s="192"/>
      <c r="B44" s="190" t="s">
        <v>1540</v>
      </c>
      <c r="C44" s="183" t="s">
        <v>1541</v>
      </c>
      <c r="D44" s="183" t="s">
        <v>1542</v>
      </c>
      <c r="E44" s="180" t="s">
        <v>475</v>
      </c>
      <c r="F44" s="191" t="s">
        <v>24</v>
      </c>
      <c r="G44" s="182" t="s">
        <v>1543</v>
      </c>
      <c r="H44" s="183" t="s">
        <v>1544</v>
      </c>
    </row>
    <row r="45" ht="21" customHeight="1" spans="1:8">
      <c r="A45" s="192"/>
      <c r="B45" s="190" t="s">
        <v>1545</v>
      </c>
      <c r="C45" s="183" t="s">
        <v>1546</v>
      </c>
      <c r="D45" s="183" t="s">
        <v>1547</v>
      </c>
      <c r="E45" s="180" t="s">
        <v>475</v>
      </c>
      <c r="F45" s="191" t="s">
        <v>24</v>
      </c>
      <c r="G45" s="182" t="s">
        <v>1506</v>
      </c>
      <c r="H45" s="183" t="s">
        <v>1548</v>
      </c>
    </row>
    <row r="46" ht="21" customHeight="1" spans="1:8">
      <c r="A46" s="192"/>
      <c r="B46" s="190" t="s">
        <v>1549</v>
      </c>
      <c r="C46" s="183" t="s">
        <v>1550</v>
      </c>
      <c r="D46" s="183" t="s">
        <v>1551</v>
      </c>
      <c r="E46" s="180" t="s">
        <v>475</v>
      </c>
      <c r="F46" s="191" t="s">
        <v>24</v>
      </c>
      <c r="G46" s="182" t="s">
        <v>1543</v>
      </c>
      <c r="H46" s="183" t="s">
        <v>1552</v>
      </c>
    </row>
    <row r="47" customHeight="1" spans="1:8">
      <c r="A47" s="192"/>
      <c r="B47" s="190" t="s">
        <v>1553</v>
      </c>
      <c r="C47" s="183" t="s">
        <v>1554</v>
      </c>
      <c r="D47" s="183" t="s">
        <v>1555</v>
      </c>
      <c r="E47" s="180" t="s">
        <v>475</v>
      </c>
      <c r="F47" s="191" t="s">
        <v>24</v>
      </c>
      <c r="G47" s="182" t="s">
        <v>932</v>
      </c>
      <c r="H47" s="183" t="s">
        <v>1556</v>
      </c>
    </row>
    <row r="48" customHeight="1" spans="1:8">
      <c r="A48" s="192"/>
      <c r="B48" s="190" t="s">
        <v>1557</v>
      </c>
      <c r="C48" s="183" t="s">
        <v>1558</v>
      </c>
      <c r="D48" s="183" t="s">
        <v>1559</v>
      </c>
      <c r="E48" s="180" t="s">
        <v>475</v>
      </c>
      <c r="F48" s="191" t="s">
        <v>24</v>
      </c>
      <c r="G48" s="182" t="s">
        <v>932</v>
      </c>
      <c r="H48" s="183" t="s">
        <v>1560</v>
      </c>
    </row>
    <row r="49" customHeight="1" spans="1:8">
      <c r="A49" s="192"/>
      <c r="B49" s="190" t="s">
        <v>1561</v>
      </c>
      <c r="C49" s="183" t="s">
        <v>1562</v>
      </c>
      <c r="D49" s="183" t="s">
        <v>1563</v>
      </c>
      <c r="E49" s="180" t="s">
        <v>475</v>
      </c>
      <c r="F49" s="191" t="s">
        <v>24</v>
      </c>
      <c r="G49" s="182" t="s">
        <v>932</v>
      </c>
      <c r="H49" s="183" t="s">
        <v>1564</v>
      </c>
    </row>
    <row r="50" customHeight="1" spans="1:8">
      <c r="A50" s="192"/>
      <c r="B50" s="190" t="s">
        <v>1565</v>
      </c>
      <c r="C50" s="183" t="s">
        <v>1566</v>
      </c>
      <c r="D50" s="183" t="s">
        <v>1567</v>
      </c>
      <c r="E50" s="180" t="s">
        <v>475</v>
      </c>
      <c r="F50" s="191" t="s">
        <v>24</v>
      </c>
      <c r="G50" s="182" t="s">
        <v>932</v>
      </c>
      <c r="H50" s="183" t="s">
        <v>1568</v>
      </c>
    </row>
    <row r="51" customHeight="1" spans="1:8">
      <c r="A51" s="192"/>
      <c r="B51" s="190" t="s">
        <v>1569</v>
      </c>
      <c r="C51" s="183" t="s">
        <v>1570</v>
      </c>
      <c r="D51" s="183" t="s">
        <v>1571</v>
      </c>
      <c r="E51" s="180" t="s">
        <v>475</v>
      </c>
      <c r="F51" s="191" t="s">
        <v>24</v>
      </c>
      <c r="G51" s="182" t="s">
        <v>932</v>
      </c>
      <c r="H51" s="183" t="s">
        <v>1572</v>
      </c>
    </row>
    <row r="52" customHeight="1" spans="1:8">
      <c r="A52" s="192"/>
      <c r="B52" s="198" t="s">
        <v>1573</v>
      </c>
      <c r="C52" s="193" t="s">
        <v>1574</v>
      </c>
      <c r="D52" s="194" t="s">
        <v>1575</v>
      </c>
      <c r="E52" s="180" t="s">
        <v>344</v>
      </c>
      <c r="F52" s="191" t="s">
        <v>24</v>
      </c>
      <c r="G52" s="196" t="s">
        <v>540</v>
      </c>
      <c r="H52" s="197" t="s">
        <v>1576</v>
      </c>
    </row>
    <row r="53" customHeight="1" spans="1:8">
      <c r="A53" s="192"/>
      <c r="B53" s="198" t="s">
        <v>1577</v>
      </c>
      <c r="C53" s="193" t="s">
        <v>1578</v>
      </c>
      <c r="D53" s="194" t="s">
        <v>1579</v>
      </c>
      <c r="E53" s="180" t="s">
        <v>344</v>
      </c>
      <c r="F53" s="191" t="s">
        <v>24</v>
      </c>
      <c r="G53" s="196" t="s">
        <v>540</v>
      </c>
      <c r="H53" s="197" t="s">
        <v>1580</v>
      </c>
    </row>
    <row r="54" ht="19.5" customHeight="1" spans="1:8">
      <c r="A54" s="199" t="s">
        <v>1581</v>
      </c>
      <c r="B54" s="200" t="s">
        <v>1582</v>
      </c>
      <c r="C54" s="194" t="s">
        <v>1583</v>
      </c>
      <c r="D54" s="194" t="s">
        <v>1584</v>
      </c>
      <c r="E54" s="180" t="s">
        <v>475</v>
      </c>
      <c r="F54" s="191" t="s">
        <v>24</v>
      </c>
      <c r="G54" s="196" t="s">
        <v>71</v>
      </c>
      <c r="H54" s="201" t="s">
        <v>1585</v>
      </c>
    </row>
    <row r="55" ht="21.4" customHeight="1" spans="1:8">
      <c r="A55" s="199"/>
      <c r="B55" s="190" t="s">
        <v>1586</v>
      </c>
      <c r="C55" s="183" t="s">
        <v>1587</v>
      </c>
      <c r="D55" s="179" t="s">
        <v>1588</v>
      </c>
      <c r="E55" s="180" t="s">
        <v>475</v>
      </c>
      <c r="F55" s="181" t="s">
        <v>24</v>
      </c>
      <c r="G55" s="182" t="s">
        <v>71</v>
      </c>
      <c r="H55" s="202" t="s">
        <v>668</v>
      </c>
    </row>
    <row r="56" customHeight="1" spans="1:8">
      <c r="A56" s="199"/>
      <c r="B56" s="145" t="s">
        <v>1589</v>
      </c>
      <c r="C56" s="203" t="s">
        <v>1590</v>
      </c>
      <c r="D56" s="203" t="s">
        <v>1591</v>
      </c>
      <c r="E56" s="180" t="s">
        <v>344</v>
      </c>
      <c r="F56" s="204" t="s">
        <v>24</v>
      </c>
      <c r="G56" s="205" t="s">
        <v>71</v>
      </c>
      <c r="H56" s="203" t="s">
        <v>1592</v>
      </c>
    </row>
    <row r="57" customHeight="1" spans="1:8">
      <c r="A57" s="199"/>
      <c r="B57" s="190" t="s">
        <v>1593</v>
      </c>
      <c r="C57" s="183" t="s">
        <v>1594</v>
      </c>
      <c r="D57" s="183" t="s">
        <v>1595</v>
      </c>
      <c r="E57" s="180" t="s">
        <v>475</v>
      </c>
      <c r="F57" s="191" t="s">
        <v>24</v>
      </c>
      <c r="G57" s="182" t="s">
        <v>419</v>
      </c>
      <c r="H57" s="183" t="s">
        <v>1596</v>
      </c>
    </row>
    <row r="58" customHeight="1" spans="1:8">
      <c r="A58" s="199"/>
      <c r="B58" s="190" t="s">
        <v>1597</v>
      </c>
      <c r="C58" s="183" t="s">
        <v>1598</v>
      </c>
      <c r="D58" s="179" t="s">
        <v>1599</v>
      </c>
      <c r="E58" s="180" t="s">
        <v>608</v>
      </c>
      <c r="F58" s="181" t="s">
        <v>24</v>
      </c>
      <c r="G58" s="182" t="s">
        <v>1600</v>
      </c>
      <c r="H58" s="179" t="s">
        <v>1601</v>
      </c>
    </row>
    <row r="59" ht="21.75" customHeight="1" spans="1:8">
      <c r="A59" s="199"/>
      <c r="B59" s="190" t="s">
        <v>1602</v>
      </c>
      <c r="C59" s="183" t="s">
        <v>1603</v>
      </c>
      <c r="D59" s="179" t="s">
        <v>1604</v>
      </c>
      <c r="E59" s="180" t="s">
        <v>608</v>
      </c>
      <c r="F59" s="181" t="s">
        <v>24</v>
      </c>
      <c r="G59" s="182" t="s">
        <v>1605</v>
      </c>
      <c r="H59" s="179" t="s">
        <v>1604</v>
      </c>
    </row>
    <row r="60" ht="21.4" customHeight="1" spans="1:8">
      <c r="A60" s="199"/>
      <c r="B60" s="190" t="s">
        <v>1606</v>
      </c>
      <c r="C60" s="183" t="s">
        <v>1492</v>
      </c>
      <c r="D60" s="179" t="s">
        <v>1607</v>
      </c>
      <c r="E60" s="180" t="s">
        <v>475</v>
      </c>
      <c r="F60" s="181" t="s">
        <v>24</v>
      </c>
      <c r="G60" s="182" t="s">
        <v>1608</v>
      </c>
      <c r="H60" s="179" t="s">
        <v>1607</v>
      </c>
    </row>
    <row r="61" ht="21.4" customHeight="1" spans="1:8">
      <c r="A61" s="199"/>
      <c r="B61" s="190" t="s">
        <v>1609</v>
      </c>
      <c r="C61" s="183" t="s">
        <v>1496</v>
      </c>
      <c r="D61" s="179" t="s">
        <v>1610</v>
      </c>
      <c r="E61" s="180" t="s">
        <v>475</v>
      </c>
      <c r="F61" s="181" t="s">
        <v>24</v>
      </c>
      <c r="G61" s="188" t="s">
        <v>1498</v>
      </c>
      <c r="H61" s="179" t="s">
        <v>1610</v>
      </c>
    </row>
    <row r="62" ht="20.65" customHeight="1" spans="1:8">
      <c r="A62" s="199"/>
      <c r="B62" s="190" t="s">
        <v>1611</v>
      </c>
      <c r="C62" s="183" t="s">
        <v>1492</v>
      </c>
      <c r="D62" s="179" t="s">
        <v>1612</v>
      </c>
      <c r="E62" s="180" t="s">
        <v>475</v>
      </c>
      <c r="F62" s="181" t="s">
        <v>24</v>
      </c>
      <c r="G62" s="182" t="s">
        <v>1608</v>
      </c>
      <c r="H62" s="179" t="s">
        <v>1612</v>
      </c>
    </row>
    <row r="63" ht="22.5" customHeight="1" spans="1:8">
      <c r="A63" s="199"/>
      <c r="B63" s="190" t="s">
        <v>1613</v>
      </c>
      <c r="C63" s="183" t="s">
        <v>1496</v>
      </c>
      <c r="D63" s="179" t="s">
        <v>1614</v>
      </c>
      <c r="E63" s="180" t="s">
        <v>475</v>
      </c>
      <c r="F63" s="181" t="s">
        <v>24</v>
      </c>
      <c r="G63" s="188" t="s">
        <v>1498</v>
      </c>
      <c r="H63" s="179" t="s">
        <v>1614</v>
      </c>
    </row>
    <row r="64" ht="18.75" customHeight="1" spans="1:8">
      <c r="A64" s="199"/>
      <c r="B64" s="145" t="s">
        <v>1615</v>
      </c>
      <c r="C64" s="203" t="s">
        <v>1616</v>
      </c>
      <c r="D64" s="203" t="s">
        <v>1617</v>
      </c>
      <c r="E64" s="180" t="s">
        <v>344</v>
      </c>
      <c r="F64" s="191" t="s">
        <v>24</v>
      </c>
      <c r="G64" s="205" t="s">
        <v>71</v>
      </c>
      <c r="H64" s="203" t="s">
        <v>1592</v>
      </c>
    </row>
    <row r="65" ht="24" customHeight="1" spans="1:8">
      <c r="A65" s="199"/>
      <c r="B65" s="190" t="s">
        <v>1618</v>
      </c>
      <c r="C65" s="183" t="s">
        <v>1619</v>
      </c>
      <c r="D65" s="183" t="s">
        <v>1620</v>
      </c>
      <c r="E65" s="180" t="s">
        <v>475</v>
      </c>
      <c r="F65" s="191" t="s">
        <v>24</v>
      </c>
      <c r="G65" s="182" t="s">
        <v>1621</v>
      </c>
      <c r="H65" s="183" t="s">
        <v>1622</v>
      </c>
    </row>
    <row r="66" ht="25.5" customHeight="1" spans="1:8">
      <c r="A66" s="199"/>
      <c r="B66" s="190" t="s">
        <v>1623</v>
      </c>
      <c r="C66" s="183" t="s">
        <v>1624</v>
      </c>
      <c r="D66" s="179" t="s">
        <v>1625</v>
      </c>
      <c r="E66" s="180" t="s">
        <v>475</v>
      </c>
      <c r="F66" s="181" t="s">
        <v>24</v>
      </c>
      <c r="G66" s="188" t="s">
        <v>1626</v>
      </c>
      <c r="H66" s="179" t="s">
        <v>1627</v>
      </c>
    </row>
    <row r="67" ht="23.65" customHeight="1" spans="1:8">
      <c r="A67" s="199"/>
      <c r="B67" s="190" t="s">
        <v>1628</v>
      </c>
      <c r="C67" s="183" t="s">
        <v>1629</v>
      </c>
      <c r="D67" s="179" t="s">
        <v>1630</v>
      </c>
      <c r="E67" s="180" t="s">
        <v>475</v>
      </c>
      <c r="F67" s="181" t="s">
        <v>24</v>
      </c>
      <c r="G67" s="182" t="s">
        <v>1631</v>
      </c>
      <c r="H67" s="179" t="s">
        <v>1632</v>
      </c>
    </row>
    <row r="68" ht="24" customHeight="1" spans="1:8">
      <c r="A68" s="199"/>
      <c r="B68" s="190" t="s">
        <v>1633</v>
      </c>
      <c r="C68" s="183" t="s">
        <v>1634</v>
      </c>
      <c r="D68" s="179" t="s">
        <v>1635</v>
      </c>
      <c r="E68" s="180" t="s">
        <v>475</v>
      </c>
      <c r="F68" s="181" t="s">
        <v>24</v>
      </c>
      <c r="G68" s="182" t="s">
        <v>1631</v>
      </c>
      <c r="H68" s="179" t="s">
        <v>1636</v>
      </c>
    </row>
    <row r="69" ht="24.4" customHeight="1" spans="1:8">
      <c r="A69" s="199"/>
      <c r="B69" s="190" t="s">
        <v>1637</v>
      </c>
      <c r="C69" s="183" t="s">
        <v>1638</v>
      </c>
      <c r="D69" s="179" t="s">
        <v>1639</v>
      </c>
      <c r="E69" s="180" t="s">
        <v>475</v>
      </c>
      <c r="F69" s="181" t="s">
        <v>24</v>
      </c>
      <c r="G69" s="182" t="s">
        <v>1631</v>
      </c>
      <c r="H69" s="179" t="s">
        <v>1640</v>
      </c>
    </row>
    <row r="70" ht="21" customHeight="1" spans="1:8">
      <c r="A70" s="199"/>
      <c r="B70" s="190" t="s">
        <v>1641</v>
      </c>
      <c r="C70" s="183" t="s">
        <v>1642</v>
      </c>
      <c r="D70" s="179" t="s">
        <v>1643</v>
      </c>
      <c r="E70" s="180" t="s">
        <v>475</v>
      </c>
      <c r="F70" s="181" t="s">
        <v>24</v>
      </c>
      <c r="G70" s="182" t="s">
        <v>71</v>
      </c>
      <c r="H70" s="179" t="s">
        <v>1644</v>
      </c>
    </row>
    <row r="71" ht="20.65" customHeight="1" spans="1:8">
      <c r="A71" s="199"/>
      <c r="B71" s="190" t="s">
        <v>1645</v>
      </c>
      <c r="C71" s="183" t="s">
        <v>1646</v>
      </c>
      <c r="D71" s="179" t="s">
        <v>1647</v>
      </c>
      <c r="E71" s="180" t="s">
        <v>475</v>
      </c>
      <c r="F71" s="181" t="s">
        <v>24</v>
      </c>
      <c r="G71" s="182" t="s">
        <v>1631</v>
      </c>
      <c r="H71" s="179" t="s">
        <v>1648</v>
      </c>
    </row>
    <row r="72" ht="24.4" customHeight="1" spans="1:8">
      <c r="A72" s="199"/>
      <c r="B72" s="190" t="s">
        <v>1649</v>
      </c>
      <c r="C72" s="183" t="s">
        <v>1650</v>
      </c>
      <c r="D72" s="179" t="s">
        <v>1651</v>
      </c>
      <c r="E72" s="180" t="s">
        <v>475</v>
      </c>
      <c r="F72" s="181" t="s">
        <v>24</v>
      </c>
      <c r="G72" s="182" t="s">
        <v>1631</v>
      </c>
      <c r="H72" s="179" t="s">
        <v>1652</v>
      </c>
    </row>
    <row r="73" ht="18.75" customHeight="1" spans="1:8">
      <c r="A73" s="199"/>
      <c r="B73" s="190" t="s">
        <v>1653</v>
      </c>
      <c r="C73" s="183" t="s">
        <v>1654</v>
      </c>
      <c r="D73" s="179" t="s">
        <v>1655</v>
      </c>
      <c r="E73" s="180" t="s">
        <v>475</v>
      </c>
      <c r="F73" s="181" t="s">
        <v>24</v>
      </c>
      <c r="G73" s="182" t="s">
        <v>1631</v>
      </c>
      <c r="H73" s="179" t="s">
        <v>1656</v>
      </c>
    </row>
    <row r="74" ht="21.4" customHeight="1" spans="1:8">
      <c r="A74" s="199"/>
      <c r="B74" s="190" t="s">
        <v>1657</v>
      </c>
      <c r="C74" s="183" t="s">
        <v>1658</v>
      </c>
      <c r="D74" s="179" t="s">
        <v>1659</v>
      </c>
      <c r="E74" s="180" t="s">
        <v>475</v>
      </c>
      <c r="F74" s="181" t="s">
        <v>24</v>
      </c>
      <c r="G74" s="182" t="s">
        <v>1631</v>
      </c>
      <c r="H74" s="179" t="s">
        <v>1660</v>
      </c>
    </row>
    <row r="75" customHeight="1" spans="1:8">
      <c r="A75" s="199"/>
      <c r="B75" s="190" t="s">
        <v>1661</v>
      </c>
      <c r="C75" s="183" t="s">
        <v>1662</v>
      </c>
      <c r="D75" s="179" t="s">
        <v>1663</v>
      </c>
      <c r="E75" s="180" t="s">
        <v>475</v>
      </c>
      <c r="F75" s="181" t="s">
        <v>24</v>
      </c>
      <c r="G75" s="182" t="s">
        <v>71</v>
      </c>
      <c r="H75" s="179" t="s">
        <v>1663</v>
      </c>
    </row>
    <row r="76" ht="19.9" customHeight="1" spans="1:8">
      <c r="A76" s="199"/>
      <c r="B76" s="190" t="s">
        <v>1664</v>
      </c>
      <c r="C76" s="183" t="s">
        <v>1665</v>
      </c>
      <c r="D76" s="179" t="s">
        <v>1666</v>
      </c>
      <c r="E76" s="180" t="s">
        <v>475</v>
      </c>
      <c r="F76" s="181" t="s">
        <v>24</v>
      </c>
      <c r="G76" s="182" t="s">
        <v>71</v>
      </c>
      <c r="H76" s="179" t="s">
        <v>1667</v>
      </c>
    </row>
    <row r="77" customHeight="1" spans="1:8">
      <c r="A77" s="199"/>
      <c r="B77" s="190" t="s">
        <v>1668</v>
      </c>
      <c r="C77" s="183" t="s">
        <v>1669</v>
      </c>
      <c r="D77" s="179" t="s">
        <v>1670</v>
      </c>
      <c r="E77" s="180" t="s">
        <v>475</v>
      </c>
      <c r="F77" s="181" t="s">
        <v>24</v>
      </c>
      <c r="G77" s="182" t="s">
        <v>1671</v>
      </c>
      <c r="H77" s="179" t="s">
        <v>1672</v>
      </c>
    </row>
    <row r="78" customHeight="1" spans="1:8">
      <c r="A78" s="199"/>
      <c r="B78" s="190" t="s">
        <v>1673</v>
      </c>
      <c r="C78" s="183" t="s">
        <v>1674</v>
      </c>
      <c r="D78" s="179" t="s">
        <v>1675</v>
      </c>
      <c r="E78" s="180" t="s">
        <v>475</v>
      </c>
      <c r="F78" s="181" t="s">
        <v>24</v>
      </c>
      <c r="G78" s="182" t="s">
        <v>71</v>
      </c>
      <c r="H78" s="179" t="s">
        <v>1675</v>
      </c>
    </row>
    <row r="79" customHeight="1" spans="1:8">
      <c r="A79" s="199"/>
      <c r="B79" s="190" t="s">
        <v>1676</v>
      </c>
      <c r="C79" s="183" t="s">
        <v>1677</v>
      </c>
      <c r="D79" s="179" t="s">
        <v>1678</v>
      </c>
      <c r="E79" s="180" t="s">
        <v>475</v>
      </c>
      <c r="F79" s="181" t="s">
        <v>24</v>
      </c>
      <c r="G79" s="182" t="s">
        <v>1679</v>
      </c>
      <c r="H79" s="179" t="s">
        <v>1680</v>
      </c>
    </row>
    <row r="80" customHeight="1" spans="1:8">
      <c r="A80" s="199"/>
      <c r="B80" s="190" t="s">
        <v>1681</v>
      </c>
      <c r="C80" s="183" t="s">
        <v>1682</v>
      </c>
      <c r="D80" s="179" t="s">
        <v>1683</v>
      </c>
      <c r="E80" s="180" t="s">
        <v>475</v>
      </c>
      <c r="F80" s="181" t="s">
        <v>24</v>
      </c>
      <c r="G80" s="182" t="s">
        <v>1543</v>
      </c>
      <c r="H80" s="179" t="s">
        <v>1684</v>
      </c>
    </row>
    <row r="81" customHeight="1" spans="1:8">
      <c r="A81" s="199"/>
      <c r="B81" s="190" t="s">
        <v>1685</v>
      </c>
      <c r="C81" s="183" t="s">
        <v>1686</v>
      </c>
      <c r="D81" s="179" t="s">
        <v>1687</v>
      </c>
      <c r="E81" s="180" t="s">
        <v>475</v>
      </c>
      <c r="F81" s="181" t="s">
        <v>24</v>
      </c>
      <c r="G81" s="182" t="s">
        <v>419</v>
      </c>
      <c r="H81" s="179" t="s">
        <v>1688</v>
      </c>
    </row>
    <row r="82" customHeight="1" spans="1:8">
      <c r="A82" s="199"/>
      <c r="B82" s="190" t="s">
        <v>1689</v>
      </c>
      <c r="C82" s="183" t="s">
        <v>969</v>
      </c>
      <c r="D82" s="183" t="s">
        <v>1690</v>
      </c>
      <c r="E82" s="206" t="s">
        <v>608</v>
      </c>
      <c r="F82" s="181" t="s">
        <v>24</v>
      </c>
      <c r="G82" s="182" t="s">
        <v>71</v>
      </c>
      <c r="H82" s="202" t="s">
        <v>668</v>
      </c>
    </row>
    <row r="83" customHeight="1" spans="1:8">
      <c r="A83" s="199"/>
      <c r="B83" s="190" t="s">
        <v>1691</v>
      </c>
      <c r="C83" s="183" t="s">
        <v>1692</v>
      </c>
      <c r="D83" s="183" t="s">
        <v>1693</v>
      </c>
      <c r="E83" s="206" t="s">
        <v>608</v>
      </c>
      <c r="F83" s="181" t="s">
        <v>24</v>
      </c>
      <c r="G83" s="182" t="s">
        <v>1543</v>
      </c>
      <c r="H83" s="183" t="s">
        <v>1694</v>
      </c>
    </row>
    <row r="84" customHeight="1" spans="1:8">
      <c r="A84" s="199"/>
      <c r="B84" s="190" t="s">
        <v>1695</v>
      </c>
      <c r="C84" s="183" t="s">
        <v>1696</v>
      </c>
      <c r="D84" s="183" t="s">
        <v>1697</v>
      </c>
      <c r="E84" s="206" t="s">
        <v>608</v>
      </c>
      <c r="F84" s="181" t="s">
        <v>24</v>
      </c>
      <c r="G84" s="182" t="s">
        <v>1543</v>
      </c>
      <c r="H84" s="179" t="s">
        <v>1698</v>
      </c>
    </row>
    <row r="85" customHeight="1" spans="1:8">
      <c r="A85" s="199"/>
      <c r="B85" s="190" t="s">
        <v>1699</v>
      </c>
      <c r="C85" s="183" t="s">
        <v>1700</v>
      </c>
      <c r="D85" s="183" t="s">
        <v>1701</v>
      </c>
      <c r="E85" s="206" t="s">
        <v>608</v>
      </c>
      <c r="F85" s="181" t="s">
        <v>24</v>
      </c>
      <c r="G85" s="189" t="s">
        <v>932</v>
      </c>
      <c r="H85" s="179" t="s">
        <v>1702</v>
      </c>
    </row>
    <row r="86" customHeight="1" spans="1:8">
      <c r="A86" s="199"/>
      <c r="B86" s="190" t="s">
        <v>1703</v>
      </c>
      <c r="C86" s="183" t="s">
        <v>1704</v>
      </c>
      <c r="D86" s="183" t="s">
        <v>1705</v>
      </c>
      <c r="E86" s="206" t="s">
        <v>608</v>
      </c>
      <c r="F86" s="181" t="s">
        <v>24</v>
      </c>
      <c r="G86" s="189" t="s">
        <v>1543</v>
      </c>
      <c r="H86" s="179" t="s">
        <v>1706</v>
      </c>
    </row>
    <row r="87" customHeight="1" spans="1:8">
      <c r="A87" s="199"/>
      <c r="B87" s="190" t="s">
        <v>1707</v>
      </c>
      <c r="C87" s="183" t="s">
        <v>1708</v>
      </c>
      <c r="D87" s="183" t="s">
        <v>1709</v>
      </c>
      <c r="E87" s="206" t="s">
        <v>608</v>
      </c>
      <c r="F87" s="181" t="s">
        <v>24</v>
      </c>
      <c r="G87" s="182" t="s">
        <v>1506</v>
      </c>
      <c r="H87" s="183" t="s">
        <v>1710</v>
      </c>
    </row>
    <row r="88" customHeight="1" spans="1:8">
      <c r="A88" s="199"/>
      <c r="B88" s="190" t="s">
        <v>1711</v>
      </c>
      <c r="C88" s="183" t="s">
        <v>1712</v>
      </c>
      <c r="D88" s="183" t="s">
        <v>1713</v>
      </c>
      <c r="E88" s="206" t="s">
        <v>608</v>
      </c>
      <c r="F88" s="181" t="s">
        <v>24</v>
      </c>
      <c r="G88" s="182" t="s">
        <v>1543</v>
      </c>
      <c r="H88" s="183" t="s">
        <v>1714</v>
      </c>
    </row>
    <row r="89" ht="22.15" customHeight="1" spans="1:8">
      <c r="A89" s="199"/>
      <c r="B89" s="190" t="s">
        <v>1715</v>
      </c>
      <c r="C89" s="183" t="s">
        <v>1716</v>
      </c>
      <c r="D89" s="183" t="s">
        <v>1717</v>
      </c>
      <c r="E89" s="180" t="s">
        <v>475</v>
      </c>
      <c r="F89" s="181" t="s">
        <v>24</v>
      </c>
      <c r="G89" s="182" t="s">
        <v>71</v>
      </c>
      <c r="H89" s="183" t="s">
        <v>1688</v>
      </c>
    </row>
    <row r="90" ht="26.65" customHeight="1" spans="1:8">
      <c r="A90" s="199"/>
      <c r="B90" s="190" t="s">
        <v>1718</v>
      </c>
      <c r="C90" s="183" t="s">
        <v>1719</v>
      </c>
      <c r="D90" s="179" t="s">
        <v>1720</v>
      </c>
      <c r="E90" s="207" t="s">
        <v>608</v>
      </c>
      <c r="F90" s="181" t="s">
        <v>24</v>
      </c>
      <c r="G90" s="182" t="s">
        <v>932</v>
      </c>
      <c r="H90" s="186" t="s">
        <v>1721</v>
      </c>
    </row>
    <row r="91" customHeight="1" spans="1:8">
      <c r="A91" s="199"/>
      <c r="B91" s="190" t="s">
        <v>1722</v>
      </c>
      <c r="C91" s="183" t="s">
        <v>1723</v>
      </c>
      <c r="D91" s="183" t="s">
        <v>1724</v>
      </c>
      <c r="E91" s="208" t="s">
        <v>475</v>
      </c>
      <c r="F91" s="181" t="s">
        <v>24</v>
      </c>
      <c r="G91" s="182" t="s">
        <v>1506</v>
      </c>
      <c r="H91" s="183" t="s">
        <v>1725</v>
      </c>
    </row>
    <row r="92" customHeight="1" spans="1:8">
      <c r="A92" s="199"/>
      <c r="B92" s="190" t="s">
        <v>1726</v>
      </c>
      <c r="C92" s="183" t="s">
        <v>1727</v>
      </c>
      <c r="D92" s="183" t="s">
        <v>1728</v>
      </c>
      <c r="E92" s="208" t="s">
        <v>475</v>
      </c>
      <c r="F92" s="181" t="s">
        <v>24</v>
      </c>
      <c r="G92" s="182" t="s">
        <v>1543</v>
      </c>
      <c r="H92" s="183" t="s">
        <v>1729</v>
      </c>
    </row>
    <row r="93" customHeight="1" spans="1:8">
      <c r="A93" s="199"/>
      <c r="B93" s="190" t="s">
        <v>1730</v>
      </c>
      <c r="C93" s="183" t="s">
        <v>1731</v>
      </c>
      <c r="D93" s="183" t="s">
        <v>1732</v>
      </c>
      <c r="E93" s="208" t="s">
        <v>475</v>
      </c>
      <c r="F93" s="181" t="s">
        <v>24</v>
      </c>
      <c r="G93" s="182" t="s">
        <v>1543</v>
      </c>
      <c r="H93" s="183" t="s">
        <v>1733</v>
      </c>
    </row>
    <row r="94" customHeight="1" spans="1:8">
      <c r="A94" s="199"/>
      <c r="B94" s="190" t="s">
        <v>1734</v>
      </c>
      <c r="C94" s="183" t="s">
        <v>1735</v>
      </c>
      <c r="D94" s="183" t="s">
        <v>1736</v>
      </c>
      <c r="E94" s="207" t="s">
        <v>344</v>
      </c>
      <c r="F94" s="181" t="s">
        <v>24</v>
      </c>
      <c r="G94" s="182" t="s">
        <v>1506</v>
      </c>
      <c r="H94" s="183" t="s">
        <v>1737</v>
      </c>
    </row>
    <row r="95" customHeight="1" spans="1:8">
      <c r="A95" s="199"/>
      <c r="B95" s="190" t="s">
        <v>1738</v>
      </c>
      <c r="C95" s="183" t="s">
        <v>1739</v>
      </c>
      <c r="D95" s="183" t="s">
        <v>1740</v>
      </c>
      <c r="E95" s="207" t="s">
        <v>475</v>
      </c>
      <c r="F95" s="181" t="s">
        <v>24</v>
      </c>
      <c r="G95" s="182" t="s">
        <v>1506</v>
      </c>
      <c r="H95" s="183" t="s">
        <v>1737</v>
      </c>
    </row>
    <row r="96" customHeight="1" spans="1:8">
      <c r="A96" s="199"/>
      <c r="B96" s="190" t="s">
        <v>1741</v>
      </c>
      <c r="C96" s="183" t="s">
        <v>1742</v>
      </c>
      <c r="D96" s="183" t="s">
        <v>1743</v>
      </c>
      <c r="E96" s="207" t="s">
        <v>608</v>
      </c>
      <c r="F96" s="181" t="s">
        <v>24</v>
      </c>
      <c r="G96" s="182" t="s">
        <v>1744</v>
      </c>
      <c r="H96" s="183" t="s">
        <v>1745</v>
      </c>
    </row>
    <row r="97" customHeight="1" spans="1:8">
      <c r="A97" s="199"/>
      <c r="B97" s="190" t="s">
        <v>1746</v>
      </c>
      <c r="C97" s="183" t="s">
        <v>1747</v>
      </c>
      <c r="D97" s="183" t="s">
        <v>1748</v>
      </c>
      <c r="E97" s="207" t="s">
        <v>608</v>
      </c>
      <c r="F97" s="181" t="s">
        <v>24</v>
      </c>
      <c r="G97" s="182" t="s">
        <v>1506</v>
      </c>
      <c r="H97" s="183" t="s">
        <v>1749</v>
      </c>
    </row>
    <row r="98" customHeight="1" spans="1:8">
      <c r="A98" s="199"/>
      <c r="B98" s="145" t="s">
        <v>1750</v>
      </c>
      <c r="C98" s="203" t="s">
        <v>1751</v>
      </c>
      <c r="D98" s="203" t="s">
        <v>1752</v>
      </c>
      <c r="E98" s="180" t="s">
        <v>475</v>
      </c>
      <c r="F98" s="204" t="s">
        <v>24</v>
      </c>
      <c r="G98" s="205" t="s">
        <v>419</v>
      </c>
      <c r="H98" s="203" t="s">
        <v>1753</v>
      </c>
    </row>
    <row r="99" customHeight="1" spans="1:8">
      <c r="A99" s="199"/>
      <c r="B99" s="190" t="s">
        <v>1754</v>
      </c>
      <c r="C99" s="183" t="s">
        <v>1755</v>
      </c>
      <c r="D99" s="183" t="s">
        <v>1756</v>
      </c>
      <c r="E99" s="180" t="s">
        <v>475</v>
      </c>
      <c r="F99" s="191" t="s">
        <v>24</v>
      </c>
      <c r="G99" s="182" t="s">
        <v>1506</v>
      </c>
      <c r="H99" s="183" t="s">
        <v>1749</v>
      </c>
    </row>
    <row r="100" customHeight="1" spans="1:8">
      <c r="A100" s="199"/>
      <c r="B100" s="190" t="s">
        <v>1757</v>
      </c>
      <c r="C100" s="183" t="s">
        <v>1758</v>
      </c>
      <c r="D100" s="183" t="s">
        <v>1759</v>
      </c>
      <c r="E100" s="180" t="s">
        <v>475</v>
      </c>
      <c r="F100" s="191" t="s">
        <v>24</v>
      </c>
      <c r="G100" s="182" t="s">
        <v>1506</v>
      </c>
      <c r="H100" s="183" t="s">
        <v>1760</v>
      </c>
    </row>
    <row r="101" customHeight="1" spans="1:8">
      <c r="A101" s="199"/>
      <c r="B101" s="190" t="s">
        <v>1761</v>
      </c>
      <c r="C101" s="183" t="s">
        <v>1762</v>
      </c>
      <c r="D101" s="183" t="s">
        <v>1763</v>
      </c>
      <c r="E101" s="180" t="s">
        <v>475</v>
      </c>
      <c r="F101" s="191" t="s">
        <v>24</v>
      </c>
      <c r="G101" s="182" t="s">
        <v>1506</v>
      </c>
      <c r="H101" s="183" t="s">
        <v>1760</v>
      </c>
    </row>
    <row r="102" customHeight="1" spans="1:8">
      <c r="A102" s="199"/>
      <c r="B102" s="190" t="s">
        <v>1764</v>
      </c>
      <c r="C102" s="183" t="s">
        <v>1765</v>
      </c>
      <c r="D102" s="183" t="s">
        <v>1766</v>
      </c>
      <c r="E102" s="180" t="s">
        <v>475</v>
      </c>
      <c r="F102" s="191" t="s">
        <v>24</v>
      </c>
      <c r="G102" s="182" t="s">
        <v>1506</v>
      </c>
      <c r="H102" s="183" t="s">
        <v>1760</v>
      </c>
    </row>
    <row r="103" customHeight="1" spans="1:8">
      <c r="A103" s="199"/>
      <c r="B103" s="190" t="s">
        <v>1767</v>
      </c>
      <c r="C103" s="183" t="s">
        <v>1768</v>
      </c>
      <c r="D103" s="183" t="s">
        <v>1769</v>
      </c>
      <c r="E103" s="180" t="s">
        <v>475</v>
      </c>
      <c r="F103" s="191" t="s">
        <v>24</v>
      </c>
      <c r="G103" s="182" t="s">
        <v>1506</v>
      </c>
      <c r="H103" s="183" t="s">
        <v>1770</v>
      </c>
    </row>
    <row r="104" customHeight="1" spans="1:8">
      <c r="A104" s="199"/>
      <c r="B104" s="190" t="s">
        <v>1771</v>
      </c>
      <c r="C104" s="183" t="s">
        <v>1772</v>
      </c>
      <c r="D104" s="183" t="s">
        <v>1773</v>
      </c>
      <c r="E104" s="180" t="s">
        <v>475</v>
      </c>
      <c r="F104" s="191" t="s">
        <v>24</v>
      </c>
      <c r="G104" s="182" t="s">
        <v>1506</v>
      </c>
      <c r="H104" s="183" t="s">
        <v>1774</v>
      </c>
    </row>
    <row r="105" customHeight="1" spans="1:8">
      <c r="A105" s="199"/>
      <c r="B105" s="190" t="s">
        <v>1775</v>
      </c>
      <c r="C105" s="183" t="s">
        <v>1776</v>
      </c>
      <c r="D105" s="183" t="s">
        <v>1777</v>
      </c>
      <c r="E105" s="180" t="s">
        <v>475</v>
      </c>
      <c r="F105" s="191" t="s">
        <v>24</v>
      </c>
      <c r="G105" s="182" t="s">
        <v>1543</v>
      </c>
      <c r="H105" s="183" t="s">
        <v>1778</v>
      </c>
    </row>
    <row r="106" customHeight="1" spans="1:8">
      <c r="A106" s="199"/>
      <c r="B106" s="190" t="s">
        <v>1779</v>
      </c>
      <c r="C106" s="183" t="s">
        <v>1780</v>
      </c>
      <c r="D106" s="183" t="s">
        <v>1781</v>
      </c>
      <c r="E106" s="180" t="s">
        <v>475</v>
      </c>
      <c r="F106" s="191" t="s">
        <v>24</v>
      </c>
      <c r="G106" s="182" t="s">
        <v>1506</v>
      </c>
      <c r="H106" s="183" t="s">
        <v>1774</v>
      </c>
    </row>
    <row r="107" customHeight="1" spans="1:8">
      <c r="A107" s="199"/>
      <c r="B107" s="190" t="s">
        <v>1782</v>
      </c>
      <c r="C107" s="183" t="s">
        <v>1783</v>
      </c>
      <c r="D107" s="183" t="s">
        <v>1784</v>
      </c>
      <c r="E107" s="180" t="s">
        <v>475</v>
      </c>
      <c r="F107" s="191" t="s">
        <v>24</v>
      </c>
      <c r="G107" s="182" t="s">
        <v>1506</v>
      </c>
      <c r="H107" s="183" t="s">
        <v>1774</v>
      </c>
    </row>
    <row r="108" customHeight="1" spans="1:8">
      <c r="A108" s="199"/>
      <c r="B108" s="190" t="s">
        <v>1785</v>
      </c>
      <c r="C108" s="183" t="s">
        <v>1786</v>
      </c>
      <c r="D108" s="183" t="s">
        <v>1787</v>
      </c>
      <c r="E108" s="180" t="s">
        <v>475</v>
      </c>
      <c r="F108" s="191" t="s">
        <v>24</v>
      </c>
      <c r="G108" s="182" t="s">
        <v>1744</v>
      </c>
      <c r="H108" s="183" t="s">
        <v>1788</v>
      </c>
    </row>
    <row r="109" customHeight="1" spans="1:8">
      <c r="A109" s="199"/>
      <c r="B109" s="190" t="s">
        <v>1789</v>
      </c>
      <c r="C109" s="183" t="s">
        <v>1790</v>
      </c>
      <c r="D109" s="183" t="s">
        <v>1791</v>
      </c>
      <c r="E109" s="180" t="s">
        <v>475</v>
      </c>
      <c r="F109" s="191" t="s">
        <v>24</v>
      </c>
      <c r="G109" s="182" t="s">
        <v>1744</v>
      </c>
      <c r="H109" s="183" t="s">
        <v>1788</v>
      </c>
    </row>
    <row r="110" customHeight="1" spans="1:8">
      <c r="A110" s="199"/>
      <c r="B110" s="190" t="s">
        <v>1792</v>
      </c>
      <c r="C110" s="183" t="s">
        <v>1793</v>
      </c>
      <c r="D110" s="183" t="s">
        <v>1794</v>
      </c>
      <c r="E110" s="180" t="s">
        <v>475</v>
      </c>
      <c r="F110" s="191" t="s">
        <v>24</v>
      </c>
      <c r="G110" s="182" t="s">
        <v>1506</v>
      </c>
      <c r="H110" s="183" t="s">
        <v>1770</v>
      </c>
    </row>
    <row r="111" customHeight="1" spans="1:8">
      <c r="A111" s="199"/>
      <c r="B111" s="190" t="s">
        <v>1795</v>
      </c>
      <c r="C111" s="183" t="s">
        <v>1796</v>
      </c>
      <c r="D111" s="183" t="s">
        <v>1797</v>
      </c>
      <c r="E111" s="180" t="s">
        <v>344</v>
      </c>
      <c r="F111" s="191" t="s">
        <v>24</v>
      </c>
      <c r="G111" s="182" t="s">
        <v>1506</v>
      </c>
      <c r="H111" s="183" t="s">
        <v>1798</v>
      </c>
    </row>
    <row r="112" customHeight="1" spans="1:8">
      <c r="A112" s="199"/>
      <c r="B112" s="190" t="s">
        <v>1799</v>
      </c>
      <c r="C112" s="183" t="s">
        <v>1800</v>
      </c>
      <c r="D112" s="183" t="s">
        <v>1801</v>
      </c>
      <c r="E112" s="180" t="s">
        <v>475</v>
      </c>
      <c r="F112" s="191" t="s">
        <v>24</v>
      </c>
      <c r="G112" s="182" t="s">
        <v>1506</v>
      </c>
      <c r="H112" s="183" t="s">
        <v>1802</v>
      </c>
    </row>
    <row r="113" customHeight="1" spans="1:8">
      <c r="A113" s="199"/>
      <c r="B113" s="190" t="s">
        <v>1803</v>
      </c>
      <c r="C113" s="183" t="s">
        <v>1804</v>
      </c>
      <c r="D113" s="183" t="s">
        <v>1805</v>
      </c>
      <c r="E113" s="180" t="s">
        <v>344</v>
      </c>
      <c r="F113" s="191" t="s">
        <v>24</v>
      </c>
      <c r="G113" s="182" t="s">
        <v>1506</v>
      </c>
      <c r="H113" s="183" t="s">
        <v>1798</v>
      </c>
    </row>
    <row r="114" customHeight="1" spans="1:8">
      <c r="A114" s="199"/>
      <c r="B114" s="190" t="s">
        <v>1806</v>
      </c>
      <c r="C114" s="183" t="s">
        <v>1807</v>
      </c>
      <c r="D114" s="183" t="s">
        <v>1808</v>
      </c>
      <c r="E114" s="180" t="s">
        <v>475</v>
      </c>
      <c r="F114" s="191" t="s">
        <v>24</v>
      </c>
      <c r="G114" s="182" t="s">
        <v>419</v>
      </c>
      <c r="H114" s="183" t="s">
        <v>1809</v>
      </c>
    </row>
    <row r="115" customHeight="1" spans="1:8">
      <c r="A115" s="199"/>
      <c r="B115" s="190" t="s">
        <v>1810</v>
      </c>
      <c r="C115" s="183" t="s">
        <v>1811</v>
      </c>
      <c r="D115" s="183" t="s">
        <v>1812</v>
      </c>
      <c r="E115" s="180" t="s">
        <v>475</v>
      </c>
      <c r="F115" s="191" t="s">
        <v>24</v>
      </c>
      <c r="G115" s="182" t="s">
        <v>419</v>
      </c>
      <c r="H115" s="183" t="s">
        <v>1813</v>
      </c>
    </row>
    <row r="116" customHeight="1" spans="1:8">
      <c r="A116" s="199"/>
      <c r="B116" s="190" t="s">
        <v>1814</v>
      </c>
      <c r="C116" s="183" t="s">
        <v>1815</v>
      </c>
      <c r="D116" s="183" t="s">
        <v>1816</v>
      </c>
      <c r="E116" s="180" t="s">
        <v>344</v>
      </c>
      <c r="F116" s="191" t="s">
        <v>24</v>
      </c>
      <c r="G116" s="182" t="s">
        <v>28</v>
      </c>
      <c r="H116" s="183" t="s">
        <v>1817</v>
      </c>
    </row>
    <row r="117" customHeight="1" spans="1:8">
      <c r="A117" s="199"/>
      <c r="B117" s="190" t="s">
        <v>1818</v>
      </c>
      <c r="C117" s="183" t="s">
        <v>1819</v>
      </c>
      <c r="D117" s="183" t="s">
        <v>1820</v>
      </c>
      <c r="E117" s="180" t="s">
        <v>475</v>
      </c>
      <c r="F117" s="191" t="s">
        <v>24</v>
      </c>
      <c r="G117" s="182" t="s">
        <v>419</v>
      </c>
      <c r="H117" s="183" t="s">
        <v>1821</v>
      </c>
    </row>
    <row r="118" customHeight="1" spans="1:8">
      <c r="A118" s="199"/>
      <c r="B118" s="190" t="s">
        <v>1822</v>
      </c>
      <c r="C118" s="183" t="s">
        <v>1823</v>
      </c>
      <c r="D118" s="183" t="s">
        <v>1824</v>
      </c>
      <c r="E118" s="180" t="s">
        <v>475</v>
      </c>
      <c r="F118" s="191" t="s">
        <v>24</v>
      </c>
      <c r="G118" s="182" t="s">
        <v>932</v>
      </c>
      <c r="H118" s="183" t="s">
        <v>1825</v>
      </c>
    </row>
    <row r="119" customHeight="1" spans="1:8">
      <c r="A119" s="199"/>
      <c r="B119" s="190" t="s">
        <v>1826</v>
      </c>
      <c r="C119" s="183" t="s">
        <v>1827</v>
      </c>
      <c r="D119" s="183" t="s">
        <v>1828</v>
      </c>
      <c r="E119" s="180" t="s">
        <v>475</v>
      </c>
      <c r="F119" s="191" t="s">
        <v>24</v>
      </c>
      <c r="G119" s="182" t="s">
        <v>71</v>
      </c>
      <c r="H119" s="183" t="s">
        <v>1351</v>
      </c>
    </row>
    <row r="120" customHeight="1" spans="1:8">
      <c r="A120" s="199"/>
      <c r="B120" s="190" t="s">
        <v>1829</v>
      </c>
      <c r="C120" s="183" t="s">
        <v>1830</v>
      </c>
      <c r="D120" s="183" t="s">
        <v>1831</v>
      </c>
      <c r="E120" s="180" t="s">
        <v>475</v>
      </c>
      <c r="F120" s="191" t="s">
        <v>24</v>
      </c>
      <c r="G120" s="182" t="s">
        <v>71</v>
      </c>
      <c r="H120" s="183" t="s">
        <v>1351</v>
      </c>
    </row>
    <row r="121" customHeight="1" spans="1:8">
      <c r="A121" s="199"/>
      <c r="B121" s="190" t="s">
        <v>1832</v>
      </c>
      <c r="C121" s="183" t="s">
        <v>1833</v>
      </c>
      <c r="D121" s="183" t="s">
        <v>1834</v>
      </c>
      <c r="E121" s="180" t="s">
        <v>475</v>
      </c>
      <c r="F121" s="191" t="s">
        <v>24</v>
      </c>
      <c r="G121" s="182" t="s">
        <v>1506</v>
      </c>
      <c r="H121" s="183" t="s">
        <v>1835</v>
      </c>
    </row>
    <row r="122" customHeight="1" spans="1:8">
      <c r="A122" s="199"/>
      <c r="B122" s="190" t="s">
        <v>1836</v>
      </c>
      <c r="C122" s="183" t="s">
        <v>1837</v>
      </c>
      <c r="D122" s="183" t="s">
        <v>1838</v>
      </c>
      <c r="E122" s="180" t="s">
        <v>475</v>
      </c>
      <c r="F122" s="191" t="s">
        <v>24</v>
      </c>
      <c r="G122" s="182" t="s">
        <v>71</v>
      </c>
      <c r="H122" s="183" t="s">
        <v>1351</v>
      </c>
    </row>
    <row r="123" customHeight="1" spans="1:8">
      <c r="A123" s="199"/>
      <c r="B123" s="190" t="s">
        <v>1839</v>
      </c>
      <c r="C123" s="183" t="s">
        <v>1840</v>
      </c>
      <c r="D123" s="183" t="s">
        <v>1841</v>
      </c>
      <c r="E123" s="180" t="s">
        <v>475</v>
      </c>
      <c r="F123" s="191" t="s">
        <v>24</v>
      </c>
      <c r="G123" s="182" t="s">
        <v>419</v>
      </c>
      <c r="H123" s="183" t="s">
        <v>1351</v>
      </c>
    </row>
    <row r="124" customHeight="1" spans="1:8">
      <c r="A124" s="199"/>
      <c r="B124" s="190" t="s">
        <v>1842</v>
      </c>
      <c r="C124" s="183" t="s">
        <v>1843</v>
      </c>
      <c r="D124" s="183" t="s">
        <v>1844</v>
      </c>
      <c r="E124" s="180" t="s">
        <v>475</v>
      </c>
      <c r="F124" s="191" t="s">
        <v>24</v>
      </c>
      <c r="G124" s="182" t="s">
        <v>419</v>
      </c>
      <c r="H124" s="183" t="s">
        <v>1845</v>
      </c>
    </row>
    <row r="125" customHeight="1" spans="1:8">
      <c r="A125" s="199"/>
      <c r="B125" s="190" t="s">
        <v>1846</v>
      </c>
      <c r="C125" s="183" t="s">
        <v>1847</v>
      </c>
      <c r="D125" s="183" t="s">
        <v>1848</v>
      </c>
      <c r="E125" s="180" t="s">
        <v>475</v>
      </c>
      <c r="F125" s="191" t="s">
        <v>24</v>
      </c>
      <c r="G125" s="182" t="s">
        <v>419</v>
      </c>
      <c r="H125" s="183" t="s">
        <v>1849</v>
      </c>
    </row>
    <row r="126" customHeight="1" spans="1:8">
      <c r="A126" s="199"/>
      <c r="B126" s="190" t="s">
        <v>1850</v>
      </c>
      <c r="C126" s="183" t="s">
        <v>1851</v>
      </c>
      <c r="D126" s="183" t="s">
        <v>1852</v>
      </c>
      <c r="E126" s="180" t="s">
        <v>475</v>
      </c>
      <c r="F126" s="191" t="s">
        <v>24</v>
      </c>
      <c r="G126" s="182" t="s">
        <v>71</v>
      </c>
      <c r="H126" s="183" t="s">
        <v>1592</v>
      </c>
    </row>
    <row r="127" customHeight="1" spans="1:8">
      <c r="A127" s="199"/>
      <c r="B127" s="190" t="s">
        <v>1853</v>
      </c>
      <c r="C127" s="183" t="s">
        <v>1854</v>
      </c>
      <c r="D127" s="183" t="s">
        <v>1855</v>
      </c>
      <c r="E127" s="180" t="s">
        <v>475</v>
      </c>
      <c r="F127" s="191" t="s">
        <v>24</v>
      </c>
      <c r="G127" s="182" t="s">
        <v>419</v>
      </c>
      <c r="H127" s="183" t="s">
        <v>1856</v>
      </c>
    </row>
    <row r="128" customHeight="1" spans="1:8">
      <c r="A128" s="199"/>
      <c r="B128" s="190" t="s">
        <v>1857</v>
      </c>
      <c r="C128" s="183" t="s">
        <v>1858</v>
      </c>
      <c r="D128" s="183" t="s">
        <v>1859</v>
      </c>
      <c r="E128" s="180" t="s">
        <v>475</v>
      </c>
      <c r="F128" s="191" t="s">
        <v>24</v>
      </c>
      <c r="G128" s="182" t="s">
        <v>419</v>
      </c>
      <c r="H128" s="183" t="s">
        <v>1860</v>
      </c>
    </row>
    <row r="129" ht="22.15" customHeight="1" spans="1:8">
      <c r="A129" s="199"/>
      <c r="B129" s="190" t="s">
        <v>1861</v>
      </c>
      <c r="C129" s="183" t="s">
        <v>1862</v>
      </c>
      <c r="D129" s="183" t="s">
        <v>1863</v>
      </c>
      <c r="E129" s="180" t="s">
        <v>475</v>
      </c>
      <c r="F129" s="191" t="s">
        <v>24</v>
      </c>
      <c r="G129" s="182" t="s">
        <v>419</v>
      </c>
      <c r="H129" s="183" t="s">
        <v>1864</v>
      </c>
    </row>
    <row r="130" customHeight="1" spans="1:8">
      <c r="A130" s="199"/>
      <c r="B130" s="190" t="s">
        <v>1865</v>
      </c>
      <c r="C130" s="183" t="s">
        <v>1866</v>
      </c>
      <c r="D130" s="183" t="s">
        <v>1867</v>
      </c>
      <c r="E130" s="180" t="s">
        <v>475</v>
      </c>
      <c r="F130" s="191" t="s">
        <v>24</v>
      </c>
      <c r="G130" s="182" t="s">
        <v>71</v>
      </c>
      <c r="H130" s="183" t="s">
        <v>1592</v>
      </c>
    </row>
    <row r="131" customHeight="1" spans="1:8">
      <c r="A131" s="199"/>
      <c r="B131" s="190" t="s">
        <v>1868</v>
      </c>
      <c r="C131" s="183" t="s">
        <v>1869</v>
      </c>
      <c r="D131" s="183" t="s">
        <v>1870</v>
      </c>
      <c r="E131" s="180" t="s">
        <v>608</v>
      </c>
      <c r="F131" s="191" t="s">
        <v>24</v>
      </c>
      <c r="G131" s="182" t="s">
        <v>419</v>
      </c>
      <c r="H131" s="183" t="s">
        <v>1871</v>
      </c>
    </row>
    <row r="132" customHeight="1" spans="1:8">
      <c r="A132" s="199"/>
      <c r="B132" s="190" t="s">
        <v>1872</v>
      </c>
      <c r="C132" s="183" t="s">
        <v>1873</v>
      </c>
      <c r="D132" s="183" t="s">
        <v>1874</v>
      </c>
      <c r="E132" s="180" t="s">
        <v>475</v>
      </c>
      <c r="F132" s="191" t="s">
        <v>24</v>
      </c>
      <c r="G132" s="182" t="s">
        <v>419</v>
      </c>
      <c r="H132" s="183" t="s">
        <v>1875</v>
      </c>
    </row>
    <row r="133" customHeight="1" spans="1:8">
      <c r="A133" s="199"/>
      <c r="B133" s="190" t="s">
        <v>1876</v>
      </c>
      <c r="C133" s="183" t="s">
        <v>1877</v>
      </c>
      <c r="D133" s="183" t="s">
        <v>1878</v>
      </c>
      <c r="E133" s="180" t="s">
        <v>475</v>
      </c>
      <c r="F133" s="191" t="s">
        <v>24</v>
      </c>
      <c r="G133" s="182" t="s">
        <v>419</v>
      </c>
      <c r="H133" s="183" t="s">
        <v>1879</v>
      </c>
    </row>
    <row r="134" customHeight="1" spans="1:8">
      <c r="A134" s="199"/>
      <c r="B134" s="190" t="s">
        <v>1880</v>
      </c>
      <c r="C134" s="183" t="s">
        <v>1881</v>
      </c>
      <c r="D134" s="183" t="s">
        <v>1882</v>
      </c>
      <c r="E134" s="180" t="s">
        <v>475</v>
      </c>
      <c r="F134" s="191" t="s">
        <v>24</v>
      </c>
      <c r="G134" s="182" t="s">
        <v>419</v>
      </c>
      <c r="H134" s="183" t="s">
        <v>1879</v>
      </c>
    </row>
    <row r="135" customHeight="1" spans="1:8">
      <c r="A135" s="199"/>
      <c r="B135" s="190" t="s">
        <v>1883</v>
      </c>
      <c r="C135" s="183" t="s">
        <v>1884</v>
      </c>
      <c r="D135" s="183" t="s">
        <v>1885</v>
      </c>
      <c r="E135" s="180" t="s">
        <v>475</v>
      </c>
      <c r="F135" s="191" t="s">
        <v>24</v>
      </c>
      <c r="G135" s="182" t="s">
        <v>1506</v>
      </c>
      <c r="H135" s="183" t="s">
        <v>1886</v>
      </c>
    </row>
    <row r="136" customHeight="1" spans="1:8">
      <c r="A136" s="199"/>
      <c r="B136" s="190" t="s">
        <v>1887</v>
      </c>
      <c r="C136" s="183" t="s">
        <v>1888</v>
      </c>
      <c r="D136" s="183" t="s">
        <v>1888</v>
      </c>
      <c r="E136" s="180" t="s">
        <v>475</v>
      </c>
      <c r="F136" s="191" t="s">
        <v>24</v>
      </c>
      <c r="G136" s="182" t="s">
        <v>1506</v>
      </c>
      <c r="H136" s="183" t="s">
        <v>1889</v>
      </c>
    </row>
    <row r="137" customHeight="1" spans="1:8">
      <c r="A137" s="199"/>
      <c r="B137" s="190" t="s">
        <v>1890</v>
      </c>
      <c r="C137" s="183" t="s">
        <v>1891</v>
      </c>
      <c r="D137" s="183" t="s">
        <v>1891</v>
      </c>
      <c r="E137" s="180" t="s">
        <v>475</v>
      </c>
      <c r="F137" s="191" t="s">
        <v>24</v>
      </c>
      <c r="G137" s="182" t="s">
        <v>1506</v>
      </c>
      <c r="H137" s="183" t="s">
        <v>1892</v>
      </c>
    </row>
    <row r="138" customHeight="1" spans="1:8">
      <c r="A138" s="199"/>
      <c r="B138" s="190" t="s">
        <v>1893</v>
      </c>
      <c r="C138" s="183" t="s">
        <v>1894</v>
      </c>
      <c r="D138" s="183" t="s">
        <v>1895</v>
      </c>
      <c r="E138" s="180" t="s">
        <v>475</v>
      </c>
      <c r="F138" s="191" t="s">
        <v>24</v>
      </c>
      <c r="G138" s="182" t="s">
        <v>1506</v>
      </c>
      <c r="H138" s="183" t="s">
        <v>1892</v>
      </c>
    </row>
    <row r="139" customHeight="1" spans="1:8">
      <c r="A139" s="199"/>
      <c r="B139" s="190" t="s">
        <v>1896</v>
      </c>
      <c r="C139" s="183" t="s">
        <v>1897</v>
      </c>
      <c r="D139" s="183" t="s">
        <v>1898</v>
      </c>
      <c r="E139" s="180" t="s">
        <v>475</v>
      </c>
      <c r="F139" s="191" t="s">
        <v>24</v>
      </c>
      <c r="G139" s="182" t="s">
        <v>419</v>
      </c>
      <c r="H139" s="183" t="s">
        <v>1899</v>
      </c>
    </row>
    <row r="140" customHeight="1" spans="1:8">
      <c r="A140" s="199"/>
      <c r="B140" s="190" t="s">
        <v>1900</v>
      </c>
      <c r="C140" s="183" t="s">
        <v>1901</v>
      </c>
      <c r="D140" s="183" t="s">
        <v>1902</v>
      </c>
      <c r="E140" s="180" t="s">
        <v>475</v>
      </c>
      <c r="F140" s="191" t="s">
        <v>24</v>
      </c>
      <c r="G140" s="182" t="s">
        <v>419</v>
      </c>
      <c r="H140" s="183" t="s">
        <v>1903</v>
      </c>
    </row>
    <row r="141" customHeight="1" spans="1:8">
      <c r="A141" s="199"/>
      <c r="B141" s="134" t="s">
        <v>1904</v>
      </c>
      <c r="C141" s="203" t="s">
        <v>1905</v>
      </c>
      <c r="D141" s="203" t="s">
        <v>1906</v>
      </c>
      <c r="E141" s="180" t="s">
        <v>475</v>
      </c>
      <c r="F141" s="204" t="s">
        <v>24</v>
      </c>
      <c r="G141" s="205" t="s">
        <v>1907</v>
      </c>
      <c r="H141" s="203" t="s">
        <v>1908</v>
      </c>
    </row>
    <row r="142" customHeight="1" spans="1:8">
      <c r="A142" s="199"/>
      <c r="B142" s="190" t="s">
        <v>1909</v>
      </c>
      <c r="C142" s="183" t="s">
        <v>1910</v>
      </c>
      <c r="D142" s="183" t="s">
        <v>1911</v>
      </c>
      <c r="E142" s="180" t="s">
        <v>475</v>
      </c>
      <c r="F142" s="191" t="s">
        <v>24</v>
      </c>
      <c r="G142" s="182" t="s">
        <v>419</v>
      </c>
      <c r="H142" s="183" t="s">
        <v>1912</v>
      </c>
    </row>
    <row r="143" customHeight="1" spans="1:8">
      <c r="A143" s="199"/>
      <c r="B143" s="187" t="s">
        <v>1913</v>
      </c>
      <c r="C143" s="193" t="s">
        <v>1914</v>
      </c>
      <c r="D143" s="193" t="s">
        <v>1915</v>
      </c>
      <c r="E143" s="180" t="s">
        <v>344</v>
      </c>
      <c r="F143" s="191" t="s">
        <v>24</v>
      </c>
      <c r="G143" s="209" t="s">
        <v>354</v>
      </c>
      <c r="H143" s="197" t="s">
        <v>1916</v>
      </c>
    </row>
    <row r="144" customHeight="1" spans="1:8">
      <c r="A144" s="199"/>
      <c r="B144" s="198" t="s">
        <v>1917</v>
      </c>
      <c r="C144" s="193" t="s">
        <v>1918</v>
      </c>
      <c r="D144" s="193" t="s">
        <v>1919</v>
      </c>
      <c r="E144" s="180" t="s">
        <v>475</v>
      </c>
      <c r="F144" s="191" t="s">
        <v>24</v>
      </c>
      <c r="G144" s="182" t="s">
        <v>419</v>
      </c>
      <c r="H144" s="183" t="s">
        <v>1920</v>
      </c>
    </row>
    <row r="145" customHeight="1" spans="1:8">
      <c r="A145" s="199"/>
      <c r="B145" s="200" t="s">
        <v>1921</v>
      </c>
      <c r="C145" s="210" t="s">
        <v>1922</v>
      </c>
      <c r="D145" s="194" t="s">
        <v>1923</v>
      </c>
      <c r="E145" s="180" t="s">
        <v>475</v>
      </c>
      <c r="F145" s="195" t="s">
        <v>24</v>
      </c>
      <c r="G145" s="211" t="s">
        <v>1485</v>
      </c>
      <c r="H145" s="201" t="s">
        <v>1924</v>
      </c>
    </row>
    <row r="146" customHeight="1" spans="1:8">
      <c r="A146" s="199"/>
      <c r="B146" s="140" t="s">
        <v>1925</v>
      </c>
      <c r="C146" s="194" t="s">
        <v>1926</v>
      </c>
      <c r="D146" s="194" t="s">
        <v>1927</v>
      </c>
      <c r="E146" s="180" t="s">
        <v>344</v>
      </c>
      <c r="F146" s="195" t="s">
        <v>24</v>
      </c>
      <c r="G146" s="212" t="s">
        <v>1928</v>
      </c>
      <c r="H146" s="201" t="s">
        <v>1929</v>
      </c>
    </row>
    <row r="147" customHeight="1" spans="1:8">
      <c r="A147" s="199"/>
      <c r="B147" s="187" t="s">
        <v>1930</v>
      </c>
      <c r="C147" s="193" t="s">
        <v>1931</v>
      </c>
      <c r="D147" s="193" t="s">
        <v>1932</v>
      </c>
      <c r="E147" s="180" t="s">
        <v>344</v>
      </c>
      <c r="F147" s="195" t="s">
        <v>24</v>
      </c>
      <c r="G147" s="196" t="s">
        <v>1933</v>
      </c>
      <c r="H147" s="197" t="s">
        <v>1934</v>
      </c>
    </row>
    <row r="148" customHeight="1" spans="1:8">
      <c r="A148" s="199"/>
      <c r="B148" s="187" t="s">
        <v>1935</v>
      </c>
      <c r="C148" s="193" t="s">
        <v>1936</v>
      </c>
      <c r="D148" s="193" t="s">
        <v>1937</v>
      </c>
      <c r="E148" s="180" t="s">
        <v>344</v>
      </c>
      <c r="F148" s="195" t="s">
        <v>24</v>
      </c>
      <c r="G148" s="196" t="s">
        <v>1938</v>
      </c>
      <c r="H148" s="197" t="s">
        <v>1939</v>
      </c>
    </row>
    <row r="149" customHeight="1" spans="1:8">
      <c r="A149" s="199"/>
      <c r="B149" s="187" t="s">
        <v>1940</v>
      </c>
      <c r="C149" s="193" t="s">
        <v>1389</v>
      </c>
      <c r="D149" s="193" t="s">
        <v>1941</v>
      </c>
      <c r="E149" s="180" t="s">
        <v>344</v>
      </c>
      <c r="F149" s="195" t="s">
        <v>24</v>
      </c>
      <c r="G149" s="211" t="s">
        <v>1391</v>
      </c>
      <c r="H149" s="201" t="s">
        <v>1942</v>
      </c>
    </row>
    <row r="150" customHeight="1" spans="1:8">
      <c r="A150" s="199"/>
      <c r="B150" s="187" t="s">
        <v>1943</v>
      </c>
      <c r="C150" s="193" t="s">
        <v>1944</v>
      </c>
      <c r="D150" s="193" t="s">
        <v>1945</v>
      </c>
      <c r="E150" s="180" t="s">
        <v>344</v>
      </c>
      <c r="F150" s="195" t="s">
        <v>24</v>
      </c>
      <c r="G150" s="209" t="s">
        <v>354</v>
      </c>
      <c r="H150" s="197" t="s">
        <v>1946</v>
      </c>
    </row>
    <row r="151" customHeight="1" spans="1:8">
      <c r="A151" s="199"/>
      <c r="B151" s="190" t="s">
        <v>1947</v>
      </c>
      <c r="C151" s="210" t="s">
        <v>1948</v>
      </c>
      <c r="D151" s="194" t="s">
        <v>1949</v>
      </c>
      <c r="E151" s="180" t="s">
        <v>344</v>
      </c>
      <c r="F151" s="195" t="s">
        <v>24</v>
      </c>
      <c r="G151" s="196" t="s">
        <v>877</v>
      </c>
      <c r="H151" s="201"/>
    </row>
    <row r="152" customHeight="1" spans="1:8">
      <c r="A152" s="199"/>
      <c r="B152" s="190" t="s">
        <v>1950</v>
      </c>
      <c r="C152" s="194" t="s">
        <v>1951</v>
      </c>
      <c r="D152" s="194" t="s">
        <v>1952</v>
      </c>
      <c r="E152" s="180" t="s">
        <v>344</v>
      </c>
      <c r="F152" s="195" t="s">
        <v>24</v>
      </c>
      <c r="G152" s="196" t="s">
        <v>1210</v>
      </c>
      <c r="H152" s="201" t="s">
        <v>1953</v>
      </c>
    </row>
    <row r="153" customHeight="1" spans="1:8">
      <c r="A153" s="199"/>
      <c r="B153" s="190" t="s">
        <v>1954</v>
      </c>
      <c r="C153" s="210" t="s">
        <v>1955</v>
      </c>
      <c r="D153" s="194" t="s">
        <v>1956</v>
      </c>
      <c r="E153" s="180" t="s">
        <v>344</v>
      </c>
      <c r="F153" s="195" t="s">
        <v>24</v>
      </c>
      <c r="G153" s="196" t="s">
        <v>1957</v>
      </c>
      <c r="H153" s="201" t="s">
        <v>1958</v>
      </c>
    </row>
    <row r="154" customHeight="1" spans="1:8">
      <c r="A154" s="199"/>
      <c r="B154" s="190" t="s">
        <v>1959</v>
      </c>
      <c r="C154" s="210" t="s">
        <v>1960</v>
      </c>
      <c r="D154" s="194" t="s">
        <v>1961</v>
      </c>
      <c r="E154" s="180" t="s">
        <v>344</v>
      </c>
      <c r="F154" s="195" t="s">
        <v>24</v>
      </c>
      <c r="G154" s="196" t="s">
        <v>1422</v>
      </c>
      <c r="H154" s="201" t="s">
        <v>1962</v>
      </c>
    </row>
    <row r="155" customHeight="1" spans="1:8">
      <c r="A155" s="199"/>
      <c r="B155" s="190" t="s">
        <v>1963</v>
      </c>
      <c r="C155" s="210" t="s">
        <v>1964</v>
      </c>
      <c r="D155" s="194" t="s">
        <v>1965</v>
      </c>
      <c r="E155" s="180" t="s">
        <v>344</v>
      </c>
      <c r="F155" s="195" t="s">
        <v>24</v>
      </c>
      <c r="G155" s="211" t="s">
        <v>1966</v>
      </c>
      <c r="H155" s="201" t="s">
        <v>1967</v>
      </c>
    </row>
    <row r="156" customHeight="1" spans="1:8">
      <c r="A156" s="199"/>
      <c r="B156" s="190" t="s">
        <v>1968</v>
      </c>
      <c r="C156" s="194" t="s">
        <v>1969</v>
      </c>
      <c r="D156" s="194" t="s">
        <v>1970</v>
      </c>
      <c r="E156" s="180" t="s">
        <v>344</v>
      </c>
      <c r="F156" s="195" t="s">
        <v>24</v>
      </c>
      <c r="G156" s="211" t="s">
        <v>1971</v>
      </c>
      <c r="H156" s="201" t="s">
        <v>1972</v>
      </c>
    </row>
    <row r="157" customHeight="1" spans="1:8">
      <c r="A157" s="199"/>
      <c r="B157" s="190" t="s">
        <v>1973</v>
      </c>
      <c r="C157" s="194" t="s">
        <v>1974</v>
      </c>
      <c r="D157" s="194" t="s">
        <v>1975</v>
      </c>
      <c r="E157" s="180" t="s">
        <v>344</v>
      </c>
      <c r="F157" s="195" t="s">
        <v>24</v>
      </c>
      <c r="G157" s="211" t="s">
        <v>1210</v>
      </c>
      <c r="H157" s="201" t="s">
        <v>1976</v>
      </c>
    </row>
    <row r="158" customHeight="1" spans="1:8">
      <c r="A158" s="199"/>
      <c r="B158" s="190" t="s">
        <v>1977</v>
      </c>
      <c r="C158" s="194" t="s">
        <v>1978</v>
      </c>
      <c r="D158" s="194" t="s">
        <v>1979</v>
      </c>
      <c r="E158" s="180" t="s">
        <v>344</v>
      </c>
      <c r="F158" s="195" t="s">
        <v>24</v>
      </c>
      <c r="G158" s="211" t="s">
        <v>1341</v>
      </c>
      <c r="H158" s="201" t="s">
        <v>1980</v>
      </c>
    </row>
    <row r="159" customHeight="1" spans="1:8">
      <c r="A159" s="199"/>
      <c r="B159" s="190" t="s">
        <v>1981</v>
      </c>
      <c r="C159" s="210" t="s">
        <v>1982</v>
      </c>
      <c r="D159" s="194" t="s">
        <v>1983</v>
      </c>
      <c r="E159" s="180" t="s">
        <v>344</v>
      </c>
      <c r="F159" s="195" t="s">
        <v>24</v>
      </c>
      <c r="G159" s="196" t="s">
        <v>1984</v>
      </c>
      <c r="H159" s="201" t="s">
        <v>1985</v>
      </c>
    </row>
    <row r="160" customHeight="1" spans="1:8">
      <c r="A160" s="199"/>
      <c r="B160" s="190" t="s">
        <v>1986</v>
      </c>
      <c r="C160" s="210" t="s">
        <v>1987</v>
      </c>
      <c r="D160" s="210" t="s">
        <v>1988</v>
      </c>
      <c r="E160" s="180" t="s">
        <v>344</v>
      </c>
      <c r="F160" s="195" t="s">
        <v>24</v>
      </c>
      <c r="G160" s="196" t="s">
        <v>1989</v>
      </c>
      <c r="H160" s="213" t="s">
        <v>1990</v>
      </c>
    </row>
    <row r="161" customHeight="1" spans="1:8">
      <c r="A161" s="199"/>
      <c r="B161" s="190" t="s">
        <v>1991</v>
      </c>
      <c r="C161" s="210" t="s">
        <v>1992</v>
      </c>
      <c r="D161" s="210" t="s">
        <v>1993</v>
      </c>
      <c r="E161" s="180" t="s">
        <v>344</v>
      </c>
      <c r="F161" s="195" t="s">
        <v>24</v>
      </c>
      <c r="G161" s="196" t="s">
        <v>1422</v>
      </c>
      <c r="H161" s="213" t="s">
        <v>1994</v>
      </c>
    </row>
    <row r="162" customHeight="1" spans="1:8">
      <c r="A162" s="199"/>
      <c r="B162" s="190" t="s">
        <v>1995</v>
      </c>
      <c r="C162" s="210" t="s">
        <v>1996</v>
      </c>
      <c r="D162" s="194" t="s">
        <v>1997</v>
      </c>
      <c r="E162" s="180" t="s">
        <v>344</v>
      </c>
      <c r="F162" s="195" t="s">
        <v>24</v>
      </c>
      <c r="G162" s="211" t="s">
        <v>1998</v>
      </c>
      <c r="H162" s="201" t="s">
        <v>1999</v>
      </c>
    </row>
    <row r="163" customHeight="1" spans="1:8">
      <c r="A163" s="199"/>
      <c r="B163" s="190" t="s">
        <v>2000</v>
      </c>
      <c r="C163" s="210" t="s">
        <v>2001</v>
      </c>
      <c r="D163" s="194" t="s">
        <v>2002</v>
      </c>
      <c r="E163" s="180" t="s">
        <v>344</v>
      </c>
      <c r="F163" s="195" t="s">
        <v>24</v>
      </c>
      <c r="G163" s="211" t="s">
        <v>1341</v>
      </c>
      <c r="H163" s="201" t="s">
        <v>2003</v>
      </c>
    </row>
    <row r="164" customHeight="1" spans="1:8">
      <c r="A164" s="199"/>
      <c r="B164" s="190" t="s">
        <v>2004</v>
      </c>
      <c r="C164" s="210" t="s">
        <v>2005</v>
      </c>
      <c r="D164" s="210" t="s">
        <v>2006</v>
      </c>
      <c r="E164" s="180" t="s">
        <v>344</v>
      </c>
      <c r="F164" s="195" t="s">
        <v>24</v>
      </c>
      <c r="G164" s="196" t="s">
        <v>1205</v>
      </c>
      <c r="H164" s="201" t="s">
        <v>2007</v>
      </c>
    </row>
    <row r="165" customHeight="1" spans="1:8">
      <c r="A165" s="199"/>
      <c r="B165" s="190" t="s">
        <v>2008</v>
      </c>
      <c r="C165" s="210" t="s">
        <v>2009</v>
      </c>
      <c r="D165" s="194" t="s">
        <v>2010</v>
      </c>
      <c r="E165" s="180" t="s">
        <v>344</v>
      </c>
      <c r="F165" s="195" t="s">
        <v>24</v>
      </c>
      <c r="G165" s="211" t="s">
        <v>1341</v>
      </c>
      <c r="H165" s="201" t="s">
        <v>2011</v>
      </c>
    </row>
    <row r="166" customHeight="1" spans="1:8">
      <c r="A166" s="199"/>
      <c r="B166" s="190" t="s">
        <v>2012</v>
      </c>
      <c r="C166" s="210" t="s">
        <v>2013</v>
      </c>
      <c r="D166" s="194" t="s">
        <v>2014</v>
      </c>
      <c r="E166" s="180" t="s">
        <v>344</v>
      </c>
      <c r="F166" s="195" t="s">
        <v>24</v>
      </c>
      <c r="G166" s="209" t="s">
        <v>2015</v>
      </c>
      <c r="H166" s="201" t="s">
        <v>2016</v>
      </c>
    </row>
    <row r="167" customHeight="1" spans="1:8">
      <c r="A167" s="199"/>
      <c r="B167" s="190" t="s">
        <v>2017</v>
      </c>
      <c r="C167" s="210" t="s">
        <v>2018</v>
      </c>
      <c r="D167" s="194" t="s">
        <v>2019</v>
      </c>
      <c r="E167" s="180" t="s">
        <v>344</v>
      </c>
      <c r="F167" s="195" t="s">
        <v>24</v>
      </c>
      <c r="G167" s="196" t="s">
        <v>1480</v>
      </c>
      <c r="H167" s="201" t="s">
        <v>2020</v>
      </c>
    </row>
    <row r="168" customHeight="1" spans="1:8">
      <c r="A168" s="199"/>
      <c r="B168" s="190" t="s">
        <v>2021</v>
      </c>
      <c r="C168" s="210" t="s">
        <v>2022</v>
      </c>
      <c r="D168" s="194" t="s">
        <v>2023</v>
      </c>
      <c r="E168" s="180" t="s">
        <v>344</v>
      </c>
      <c r="F168" s="195" t="s">
        <v>24</v>
      </c>
      <c r="G168" s="196" t="s">
        <v>2024</v>
      </c>
      <c r="H168" s="201" t="s">
        <v>2025</v>
      </c>
    </row>
    <row r="169" customHeight="1" spans="1:8">
      <c r="A169" s="199"/>
      <c r="B169" s="190" t="s">
        <v>2026</v>
      </c>
      <c r="C169" s="210" t="s">
        <v>2027</v>
      </c>
      <c r="D169" s="194" t="s">
        <v>2028</v>
      </c>
      <c r="E169" s="180" t="s">
        <v>344</v>
      </c>
      <c r="F169" s="195" t="s">
        <v>24</v>
      </c>
      <c r="G169" s="211" t="s">
        <v>2029</v>
      </c>
      <c r="H169" s="201" t="s">
        <v>2030</v>
      </c>
    </row>
    <row r="170" customHeight="1" spans="1:8">
      <c r="A170" s="199"/>
      <c r="B170" s="190" t="s">
        <v>2031</v>
      </c>
      <c r="C170" s="210" t="s">
        <v>2032</v>
      </c>
      <c r="D170" s="194" t="s">
        <v>2033</v>
      </c>
      <c r="E170" s="180" t="s">
        <v>344</v>
      </c>
      <c r="F170" s="195" t="s">
        <v>24</v>
      </c>
      <c r="G170" s="211" t="s">
        <v>1475</v>
      </c>
      <c r="H170" s="213" t="s">
        <v>2034</v>
      </c>
    </row>
    <row r="171" customHeight="1" spans="1:8">
      <c r="A171" s="199"/>
      <c r="B171" s="190" t="s">
        <v>2035</v>
      </c>
      <c r="C171" s="210" t="s">
        <v>2036</v>
      </c>
      <c r="D171" s="194" t="s">
        <v>2037</v>
      </c>
      <c r="E171" s="180" t="s">
        <v>344</v>
      </c>
      <c r="F171" s="195" t="s">
        <v>24</v>
      </c>
      <c r="G171" s="211" t="s">
        <v>1480</v>
      </c>
      <c r="H171" s="201" t="s">
        <v>2038</v>
      </c>
    </row>
    <row r="172" customHeight="1" spans="1:8">
      <c r="A172" s="199"/>
      <c r="B172" s="140" t="s">
        <v>2039</v>
      </c>
      <c r="C172" s="210" t="s">
        <v>2040</v>
      </c>
      <c r="D172" s="194" t="s">
        <v>2041</v>
      </c>
      <c r="E172" s="180" t="s">
        <v>344</v>
      </c>
      <c r="F172" s="195" t="s">
        <v>24</v>
      </c>
      <c r="G172" s="211" t="s">
        <v>1098</v>
      </c>
      <c r="H172" s="201" t="s">
        <v>2042</v>
      </c>
    </row>
    <row r="173" customFormat="1" ht="16.5" customHeight="1" spans="1:9">
      <c r="A173" s="199"/>
      <c r="B173" s="140" t="s">
        <v>2043</v>
      </c>
      <c r="C173" s="210" t="s">
        <v>2044</v>
      </c>
      <c r="D173" s="194" t="s">
        <v>2045</v>
      </c>
      <c r="E173" s="180" t="s">
        <v>475</v>
      </c>
      <c r="F173" s="195" t="s">
        <v>24</v>
      </c>
      <c r="G173" s="211" t="s">
        <v>1210</v>
      </c>
      <c r="H173" s="201" t="s">
        <v>2046</v>
      </c>
      <c r="I173" s="215"/>
    </row>
    <row r="174" customHeight="1" spans="1:8">
      <c r="A174" s="199"/>
      <c r="B174" s="140" t="s">
        <v>2047</v>
      </c>
      <c r="C174" s="210" t="s">
        <v>2048</v>
      </c>
      <c r="D174" s="194" t="s">
        <v>2049</v>
      </c>
      <c r="E174" s="180" t="s">
        <v>344</v>
      </c>
      <c r="F174" s="195" t="s">
        <v>24</v>
      </c>
      <c r="G174" s="211" t="s">
        <v>419</v>
      </c>
      <c r="H174" s="201" t="s">
        <v>2050</v>
      </c>
    </row>
    <row r="175" customHeight="1" spans="1:8">
      <c r="A175" s="199"/>
      <c r="B175" s="140" t="s">
        <v>2051</v>
      </c>
      <c r="C175" s="210" t="s">
        <v>2052</v>
      </c>
      <c r="D175" s="194" t="s">
        <v>2053</v>
      </c>
      <c r="E175" s="180" t="s">
        <v>475</v>
      </c>
      <c r="F175" s="195" t="s">
        <v>24</v>
      </c>
      <c r="G175" s="211" t="s">
        <v>1485</v>
      </c>
      <c r="H175" s="210" t="s">
        <v>2054</v>
      </c>
    </row>
    <row r="176" customHeight="1" spans="1:8">
      <c r="A176" s="199"/>
      <c r="B176" s="140" t="s">
        <v>2055</v>
      </c>
      <c r="C176" s="194" t="s">
        <v>2056</v>
      </c>
      <c r="D176" s="194" t="s">
        <v>2057</v>
      </c>
      <c r="E176" s="180" t="s">
        <v>344</v>
      </c>
      <c r="F176" s="195" t="s">
        <v>24</v>
      </c>
      <c r="G176" s="196" t="s">
        <v>1480</v>
      </c>
      <c r="H176" s="201" t="s">
        <v>2038</v>
      </c>
    </row>
    <row r="177" customHeight="1" spans="1:8">
      <c r="A177" s="199"/>
      <c r="B177" s="140" t="s">
        <v>2058</v>
      </c>
      <c r="C177" s="194" t="s">
        <v>2059</v>
      </c>
      <c r="D177" s="194" t="s">
        <v>2060</v>
      </c>
      <c r="E177" s="180" t="s">
        <v>344</v>
      </c>
      <c r="F177" s="195" t="s">
        <v>24</v>
      </c>
      <c r="G177" s="196" t="s">
        <v>2061</v>
      </c>
      <c r="H177" s="201" t="s">
        <v>2062</v>
      </c>
    </row>
    <row r="178" customHeight="1" spans="1:8">
      <c r="A178" s="199"/>
      <c r="B178" s="140" t="s">
        <v>2063</v>
      </c>
      <c r="C178" s="194" t="s">
        <v>2064</v>
      </c>
      <c r="D178" s="194" t="s">
        <v>2065</v>
      </c>
      <c r="E178" s="180" t="s">
        <v>344</v>
      </c>
      <c r="F178" s="195" t="s">
        <v>24</v>
      </c>
      <c r="G178" s="196" t="s">
        <v>1480</v>
      </c>
      <c r="H178" s="201" t="s">
        <v>2066</v>
      </c>
    </row>
    <row r="179" customHeight="1" spans="1:8">
      <c r="A179" s="199"/>
      <c r="B179" s="140" t="s">
        <v>2067</v>
      </c>
      <c r="C179" s="194" t="s">
        <v>2068</v>
      </c>
      <c r="D179" s="194" t="s">
        <v>2069</v>
      </c>
      <c r="E179" s="180" t="s">
        <v>344</v>
      </c>
      <c r="F179" s="195" t="s">
        <v>24</v>
      </c>
      <c r="G179" s="196" t="s">
        <v>1012</v>
      </c>
      <c r="H179" s="201" t="s">
        <v>2070</v>
      </c>
    </row>
    <row r="180" customHeight="1" spans="1:8">
      <c r="A180" s="199"/>
      <c r="B180" s="140" t="s">
        <v>2071</v>
      </c>
      <c r="C180" s="194" t="s">
        <v>2072</v>
      </c>
      <c r="D180" s="194" t="s">
        <v>2073</v>
      </c>
      <c r="E180" s="180" t="s">
        <v>344</v>
      </c>
      <c r="F180" s="195" t="s">
        <v>24</v>
      </c>
      <c r="G180" s="211" t="s">
        <v>2074</v>
      </c>
      <c r="H180" s="201" t="s">
        <v>2075</v>
      </c>
    </row>
    <row r="181" customHeight="1" spans="1:8">
      <c r="A181" s="199"/>
      <c r="B181" s="140" t="s">
        <v>2076</v>
      </c>
      <c r="C181" s="194" t="s">
        <v>2077</v>
      </c>
      <c r="D181" s="194" t="s">
        <v>2078</v>
      </c>
      <c r="E181" s="180" t="s">
        <v>344</v>
      </c>
      <c r="F181" s="195" t="s">
        <v>24</v>
      </c>
      <c r="G181" s="211" t="s">
        <v>2079</v>
      </c>
      <c r="H181" s="201" t="s">
        <v>2080</v>
      </c>
    </row>
    <row r="182" customHeight="1" spans="1:8">
      <c r="A182" s="199"/>
      <c r="B182" s="140" t="s">
        <v>2081</v>
      </c>
      <c r="C182" s="210" t="s">
        <v>2082</v>
      </c>
      <c r="D182" s="194" t="s">
        <v>2083</v>
      </c>
      <c r="E182" s="180" t="s">
        <v>475</v>
      </c>
      <c r="F182" s="195" t="s">
        <v>24</v>
      </c>
      <c r="G182" s="211" t="s">
        <v>2084</v>
      </c>
      <c r="H182" s="201" t="s">
        <v>2085</v>
      </c>
    </row>
    <row r="183" customHeight="1" spans="1:8">
      <c r="A183" s="199"/>
      <c r="B183" s="140" t="s">
        <v>2086</v>
      </c>
      <c r="C183" s="210" t="s">
        <v>2087</v>
      </c>
      <c r="D183" s="194" t="s">
        <v>2088</v>
      </c>
      <c r="E183" s="180" t="s">
        <v>475</v>
      </c>
      <c r="F183" s="195" t="s">
        <v>24</v>
      </c>
      <c r="G183" s="211" t="s">
        <v>419</v>
      </c>
      <c r="H183" s="201" t="s">
        <v>2089</v>
      </c>
    </row>
    <row r="184" customHeight="1" spans="1:8">
      <c r="A184" s="199"/>
      <c r="B184" s="140" t="s">
        <v>2090</v>
      </c>
      <c r="C184" s="210" t="s">
        <v>2091</v>
      </c>
      <c r="D184" s="194" t="s">
        <v>2092</v>
      </c>
      <c r="E184" s="180" t="s">
        <v>608</v>
      </c>
      <c r="F184" s="195" t="s">
        <v>24</v>
      </c>
      <c r="G184" s="211" t="s">
        <v>1485</v>
      </c>
      <c r="H184" s="201" t="s">
        <v>2093</v>
      </c>
    </row>
    <row r="185" customHeight="1" spans="1:8">
      <c r="A185" s="199"/>
      <c r="B185" s="140" t="s">
        <v>2094</v>
      </c>
      <c r="C185" s="194" t="s">
        <v>2095</v>
      </c>
      <c r="D185" s="194" t="s">
        <v>2096</v>
      </c>
      <c r="E185" s="180" t="s">
        <v>344</v>
      </c>
      <c r="F185" s="195" t="s">
        <v>24</v>
      </c>
      <c r="G185" s="211" t="s">
        <v>28</v>
      </c>
      <c r="H185" s="201" t="s">
        <v>2096</v>
      </c>
    </row>
    <row r="186" customHeight="1" spans="1:8">
      <c r="A186" s="199"/>
      <c r="B186" s="140" t="s">
        <v>2097</v>
      </c>
      <c r="C186" s="194" t="s">
        <v>2098</v>
      </c>
      <c r="D186" s="194" t="s">
        <v>2099</v>
      </c>
      <c r="E186" s="180" t="s">
        <v>344</v>
      </c>
      <c r="F186" s="195" t="s">
        <v>24</v>
      </c>
      <c r="G186" s="196" t="s">
        <v>2100</v>
      </c>
      <c r="H186" s="201" t="s">
        <v>2101</v>
      </c>
    </row>
    <row r="187" customHeight="1" spans="1:8">
      <c r="A187" s="199"/>
      <c r="B187" s="140" t="s">
        <v>2102</v>
      </c>
      <c r="C187" s="194" t="s">
        <v>2103</v>
      </c>
      <c r="D187" s="194" t="s">
        <v>2104</v>
      </c>
      <c r="E187" s="180" t="s">
        <v>344</v>
      </c>
      <c r="F187" s="195" t="s">
        <v>24</v>
      </c>
      <c r="G187" s="196" t="s">
        <v>1475</v>
      </c>
      <c r="H187" s="201" t="s">
        <v>2105</v>
      </c>
    </row>
    <row r="188" customHeight="1" spans="1:8">
      <c r="A188" s="199"/>
      <c r="B188" s="140" t="s">
        <v>2106</v>
      </c>
      <c r="C188" s="194" t="s">
        <v>2107</v>
      </c>
      <c r="D188" s="194" t="s">
        <v>2108</v>
      </c>
      <c r="E188" s="180" t="s">
        <v>344</v>
      </c>
      <c r="F188" s="195" t="s">
        <v>24</v>
      </c>
      <c r="G188" s="196" t="s">
        <v>2109</v>
      </c>
      <c r="H188" s="201" t="s">
        <v>2110</v>
      </c>
    </row>
    <row r="189" customHeight="1" spans="1:8">
      <c r="A189" s="199"/>
      <c r="B189" s="140" t="s">
        <v>2111</v>
      </c>
      <c r="C189" s="194" t="s">
        <v>2112</v>
      </c>
      <c r="D189" s="194" t="s">
        <v>2113</v>
      </c>
      <c r="E189" s="180" t="s">
        <v>344</v>
      </c>
      <c r="F189" s="195" t="s">
        <v>24</v>
      </c>
      <c r="G189" s="214" t="s">
        <v>2114</v>
      </c>
      <c r="H189" s="201" t="s">
        <v>2115</v>
      </c>
    </row>
    <row r="190" customHeight="1" spans="1:8">
      <c r="A190" s="199"/>
      <c r="B190" s="140" t="s">
        <v>2116</v>
      </c>
      <c r="C190" s="194" t="s">
        <v>2117</v>
      </c>
      <c r="D190" s="194" t="s">
        <v>2118</v>
      </c>
      <c r="E190" s="180" t="s">
        <v>475</v>
      </c>
      <c r="F190" s="195" t="s">
        <v>24</v>
      </c>
      <c r="G190" s="211" t="s">
        <v>2119</v>
      </c>
      <c r="H190" s="201" t="s">
        <v>2120</v>
      </c>
    </row>
    <row r="191" customHeight="1" spans="1:8">
      <c r="A191" s="199"/>
      <c r="B191" s="140" t="s">
        <v>2121</v>
      </c>
      <c r="C191" s="194" t="s">
        <v>2122</v>
      </c>
      <c r="D191" s="194" t="s">
        <v>2123</v>
      </c>
      <c r="E191" s="180" t="s">
        <v>475</v>
      </c>
      <c r="F191" s="195" t="s">
        <v>24</v>
      </c>
      <c r="G191" s="211" t="s">
        <v>2119</v>
      </c>
      <c r="H191" s="201" t="s">
        <v>2124</v>
      </c>
    </row>
    <row r="192" customHeight="1" spans="1:8">
      <c r="A192" s="199"/>
      <c r="B192" s="140" t="s">
        <v>2125</v>
      </c>
      <c r="C192" s="194" t="s">
        <v>2126</v>
      </c>
      <c r="D192" s="194" t="s">
        <v>2127</v>
      </c>
      <c r="E192" s="180" t="s">
        <v>475</v>
      </c>
      <c r="F192" s="195" t="s">
        <v>24</v>
      </c>
      <c r="G192" s="211" t="s">
        <v>2119</v>
      </c>
      <c r="H192" s="201" t="s">
        <v>2128</v>
      </c>
    </row>
    <row r="193" customHeight="1" spans="1:8">
      <c r="A193" s="199"/>
      <c r="B193" s="140" t="s">
        <v>2129</v>
      </c>
      <c r="C193" s="194" t="s">
        <v>2130</v>
      </c>
      <c r="D193" s="194" t="s">
        <v>2131</v>
      </c>
      <c r="E193" s="180" t="s">
        <v>475</v>
      </c>
      <c r="F193" s="195" t="s">
        <v>24</v>
      </c>
      <c r="G193" s="211" t="s">
        <v>2119</v>
      </c>
      <c r="H193" s="201" t="s">
        <v>2132</v>
      </c>
    </row>
    <row r="194" customHeight="1" spans="1:8">
      <c r="A194" s="199"/>
      <c r="B194" s="140" t="s">
        <v>2133</v>
      </c>
      <c r="C194" s="194" t="s">
        <v>2134</v>
      </c>
      <c r="D194" s="194" t="s">
        <v>2135</v>
      </c>
      <c r="E194" s="180" t="s">
        <v>475</v>
      </c>
      <c r="F194" s="195" t="s">
        <v>24</v>
      </c>
      <c r="G194" s="211" t="s">
        <v>2119</v>
      </c>
      <c r="H194" s="201" t="s">
        <v>2136</v>
      </c>
    </row>
    <row r="195" ht="19.5" customHeight="1" spans="1:8">
      <c r="A195" s="199"/>
      <c r="B195" s="187" t="s">
        <v>2137</v>
      </c>
      <c r="C195" s="193" t="s">
        <v>2138</v>
      </c>
      <c r="D195" s="193" t="s">
        <v>2139</v>
      </c>
      <c r="E195" s="180" t="s">
        <v>475</v>
      </c>
      <c r="F195" s="195" t="s">
        <v>24</v>
      </c>
      <c r="G195" s="211" t="s">
        <v>419</v>
      </c>
      <c r="H195" s="197" t="s">
        <v>2140</v>
      </c>
    </row>
    <row r="196" customHeight="1" spans="1:8">
      <c r="A196" s="199"/>
      <c r="B196" s="187" t="s">
        <v>2141</v>
      </c>
      <c r="C196" s="193" t="s">
        <v>2142</v>
      </c>
      <c r="D196" s="193" t="s">
        <v>2143</v>
      </c>
      <c r="E196" s="180" t="s">
        <v>475</v>
      </c>
      <c r="F196" s="195" t="s">
        <v>24</v>
      </c>
      <c r="G196" s="214" t="s">
        <v>2144</v>
      </c>
      <c r="H196" s="216" t="s">
        <v>2145</v>
      </c>
    </row>
    <row r="197" customHeight="1" spans="1:8">
      <c r="A197" s="199"/>
      <c r="B197" s="187" t="s">
        <v>2146</v>
      </c>
      <c r="C197" s="193" t="s">
        <v>1905</v>
      </c>
      <c r="D197" s="193" t="s">
        <v>2147</v>
      </c>
      <c r="E197" s="180" t="s">
        <v>475</v>
      </c>
      <c r="F197" s="195" t="s">
        <v>24</v>
      </c>
      <c r="G197" s="211" t="s">
        <v>28</v>
      </c>
      <c r="H197" s="216" t="s">
        <v>2148</v>
      </c>
    </row>
    <row r="198" customHeight="1" spans="1:8">
      <c r="A198" s="199"/>
      <c r="B198" s="140" t="s">
        <v>2149</v>
      </c>
      <c r="C198" s="179" t="s">
        <v>2150</v>
      </c>
      <c r="D198" s="179" t="s">
        <v>2151</v>
      </c>
      <c r="E198" s="180" t="s">
        <v>344</v>
      </c>
      <c r="F198" s="181" t="s">
        <v>24</v>
      </c>
      <c r="G198" s="217" t="s">
        <v>1928</v>
      </c>
      <c r="H198" s="218" t="s">
        <v>1929</v>
      </c>
    </row>
    <row r="199" customHeight="1" spans="1:8">
      <c r="A199" s="199"/>
      <c r="B199" s="187" t="s">
        <v>2152</v>
      </c>
      <c r="C199" s="193" t="s">
        <v>1931</v>
      </c>
      <c r="D199" s="193" t="s">
        <v>2153</v>
      </c>
      <c r="E199" s="180" t="s">
        <v>344</v>
      </c>
      <c r="F199" s="195" t="s">
        <v>24</v>
      </c>
      <c r="G199" s="196" t="s">
        <v>1933</v>
      </c>
      <c r="H199" s="197" t="s">
        <v>1934</v>
      </c>
    </row>
    <row r="200" customHeight="1" spans="1:8">
      <c r="A200" s="199"/>
      <c r="B200" s="187" t="s">
        <v>2154</v>
      </c>
      <c r="C200" s="193" t="s">
        <v>1936</v>
      </c>
      <c r="D200" s="193" t="s">
        <v>2155</v>
      </c>
      <c r="E200" s="180" t="s">
        <v>344</v>
      </c>
      <c r="F200" s="195" t="s">
        <v>24</v>
      </c>
      <c r="G200" s="196" t="s">
        <v>1938</v>
      </c>
      <c r="H200" s="197" t="s">
        <v>1939</v>
      </c>
    </row>
    <row r="201" customHeight="1" spans="1:8">
      <c r="A201" s="199"/>
      <c r="B201" s="187" t="s">
        <v>2156</v>
      </c>
      <c r="C201" s="193" t="s">
        <v>1389</v>
      </c>
      <c r="D201" s="193" t="s">
        <v>2157</v>
      </c>
      <c r="E201" s="180" t="s">
        <v>344</v>
      </c>
      <c r="F201" s="195" t="s">
        <v>24</v>
      </c>
      <c r="G201" s="211" t="s">
        <v>1391</v>
      </c>
      <c r="H201" s="201" t="s">
        <v>1942</v>
      </c>
    </row>
    <row r="202" customHeight="1" spans="1:8">
      <c r="A202" s="199"/>
      <c r="B202" s="187" t="s">
        <v>2158</v>
      </c>
      <c r="C202" s="193" t="s">
        <v>1944</v>
      </c>
      <c r="D202" s="193" t="s">
        <v>2159</v>
      </c>
      <c r="E202" s="180" t="s">
        <v>344</v>
      </c>
      <c r="F202" s="195" t="s">
        <v>24</v>
      </c>
      <c r="G202" s="209" t="s">
        <v>354</v>
      </c>
      <c r="H202" s="197" t="s">
        <v>1946</v>
      </c>
    </row>
    <row r="203" customHeight="1" spans="1:8">
      <c r="A203" s="199"/>
      <c r="B203" s="187" t="s">
        <v>2160</v>
      </c>
      <c r="C203" s="193" t="s">
        <v>2161</v>
      </c>
      <c r="D203" s="193" t="s">
        <v>2162</v>
      </c>
      <c r="E203" s="180" t="s">
        <v>344</v>
      </c>
      <c r="F203" s="195" t="s">
        <v>24</v>
      </c>
      <c r="G203" s="196" t="s">
        <v>2100</v>
      </c>
      <c r="H203" s="197" t="s">
        <v>2163</v>
      </c>
    </row>
    <row r="204" customHeight="1" spans="1:8">
      <c r="A204" s="199"/>
      <c r="B204" s="187" t="s">
        <v>2164</v>
      </c>
      <c r="C204" s="193" t="s">
        <v>2165</v>
      </c>
      <c r="D204" s="193" t="s">
        <v>2166</v>
      </c>
      <c r="E204" s="180" t="s">
        <v>344</v>
      </c>
      <c r="F204" s="195" t="s">
        <v>24</v>
      </c>
      <c r="G204" s="196" t="s">
        <v>2100</v>
      </c>
      <c r="H204" s="197" t="s">
        <v>2167</v>
      </c>
    </row>
    <row r="205" customHeight="1" spans="1:8">
      <c r="A205" s="199"/>
      <c r="B205" s="187" t="s">
        <v>2168</v>
      </c>
      <c r="C205" s="193" t="s">
        <v>2169</v>
      </c>
      <c r="D205" s="193" t="s">
        <v>2170</v>
      </c>
      <c r="E205" s="180" t="s">
        <v>344</v>
      </c>
      <c r="F205" s="195" t="s">
        <v>24</v>
      </c>
      <c r="G205" s="196" t="s">
        <v>2171</v>
      </c>
      <c r="H205" s="197" t="s">
        <v>2172</v>
      </c>
    </row>
    <row r="206" customHeight="1" spans="1:8">
      <c r="A206" s="199"/>
      <c r="B206" s="187" t="s">
        <v>2173</v>
      </c>
      <c r="C206" s="193" t="s">
        <v>2174</v>
      </c>
      <c r="D206" s="193" t="s">
        <v>2175</v>
      </c>
      <c r="E206" s="180" t="s">
        <v>344</v>
      </c>
      <c r="F206" s="195" t="s">
        <v>24</v>
      </c>
      <c r="G206" s="196" t="s">
        <v>2176</v>
      </c>
      <c r="H206" s="197" t="s">
        <v>2177</v>
      </c>
    </row>
    <row r="207" customHeight="1" spans="1:8">
      <c r="A207" s="199"/>
      <c r="B207" s="187" t="s">
        <v>2178</v>
      </c>
      <c r="C207" s="193" t="s">
        <v>2179</v>
      </c>
      <c r="D207" s="193" t="s">
        <v>2180</v>
      </c>
      <c r="E207" s="180" t="s">
        <v>344</v>
      </c>
      <c r="F207" s="195" t="s">
        <v>24</v>
      </c>
      <c r="G207" s="196" t="s">
        <v>2176</v>
      </c>
      <c r="H207" s="197" t="s">
        <v>2181</v>
      </c>
    </row>
    <row r="208" customHeight="1" spans="1:8">
      <c r="A208" s="199"/>
      <c r="B208" s="187" t="s">
        <v>2182</v>
      </c>
      <c r="C208" s="193" t="s">
        <v>2183</v>
      </c>
      <c r="D208" s="193" t="s">
        <v>2184</v>
      </c>
      <c r="E208" s="180" t="s">
        <v>344</v>
      </c>
      <c r="F208" s="195" t="s">
        <v>24</v>
      </c>
      <c r="G208" s="196" t="s">
        <v>2176</v>
      </c>
      <c r="H208" s="197" t="s">
        <v>2185</v>
      </c>
    </row>
    <row r="209" customHeight="1" spans="1:8">
      <c r="A209" s="199"/>
      <c r="B209" s="187" t="s">
        <v>2186</v>
      </c>
      <c r="C209" s="193" t="s">
        <v>2187</v>
      </c>
      <c r="D209" s="193" t="s">
        <v>2188</v>
      </c>
      <c r="E209" s="180" t="s">
        <v>344</v>
      </c>
      <c r="F209" s="195" t="s">
        <v>24</v>
      </c>
      <c r="G209" s="196" t="s">
        <v>2189</v>
      </c>
      <c r="H209" s="197" t="s">
        <v>2190</v>
      </c>
    </row>
    <row r="210" customHeight="1" spans="1:8">
      <c r="A210" s="199"/>
      <c r="B210" s="187" t="s">
        <v>2191</v>
      </c>
      <c r="C210" s="193" t="s">
        <v>2192</v>
      </c>
      <c r="D210" s="193" t="s">
        <v>2193</v>
      </c>
      <c r="E210" s="180" t="s">
        <v>344</v>
      </c>
      <c r="F210" s="195" t="s">
        <v>24</v>
      </c>
      <c r="G210" s="209" t="s">
        <v>2194</v>
      </c>
      <c r="H210" s="197" t="s">
        <v>2195</v>
      </c>
    </row>
    <row r="211" customHeight="1" spans="1:8">
      <c r="A211" s="199"/>
      <c r="B211" s="187" t="s">
        <v>2196</v>
      </c>
      <c r="C211" s="193" t="s">
        <v>1723</v>
      </c>
      <c r="D211" s="193" t="s">
        <v>2197</v>
      </c>
      <c r="E211" s="180" t="s">
        <v>344</v>
      </c>
      <c r="F211" s="195" t="s">
        <v>24</v>
      </c>
      <c r="G211" s="196" t="s">
        <v>382</v>
      </c>
      <c r="H211" s="197" t="s">
        <v>2198</v>
      </c>
    </row>
    <row r="212" customHeight="1" spans="1:8">
      <c r="A212" s="199"/>
      <c r="B212" s="187" t="s">
        <v>2199</v>
      </c>
      <c r="C212" s="193" t="s">
        <v>2200</v>
      </c>
      <c r="D212" s="193" t="s">
        <v>2201</v>
      </c>
      <c r="E212" s="180" t="s">
        <v>344</v>
      </c>
      <c r="F212" s="195" t="s">
        <v>24</v>
      </c>
      <c r="G212" s="211" t="s">
        <v>1480</v>
      </c>
      <c r="H212" s="197" t="s">
        <v>2202</v>
      </c>
    </row>
    <row r="213" customHeight="1" spans="1:8">
      <c r="A213" s="199"/>
      <c r="B213" s="187" t="s">
        <v>2203</v>
      </c>
      <c r="C213" s="193" t="s">
        <v>2204</v>
      </c>
      <c r="D213" s="193" t="s">
        <v>2205</v>
      </c>
      <c r="E213" s="180" t="s">
        <v>475</v>
      </c>
      <c r="F213" s="195" t="s">
        <v>24</v>
      </c>
      <c r="G213" s="211" t="s">
        <v>1475</v>
      </c>
      <c r="H213" s="197" t="s">
        <v>2206</v>
      </c>
    </row>
    <row r="214" customHeight="1" spans="1:8">
      <c r="A214" s="199"/>
      <c r="B214" s="187" t="s">
        <v>2207</v>
      </c>
      <c r="C214" s="193" t="s">
        <v>2208</v>
      </c>
      <c r="D214" s="193" t="s">
        <v>2209</v>
      </c>
      <c r="E214" s="180" t="s">
        <v>475</v>
      </c>
      <c r="F214" s="195" t="s">
        <v>24</v>
      </c>
      <c r="G214" s="211" t="s">
        <v>1475</v>
      </c>
      <c r="H214" s="197" t="s">
        <v>2210</v>
      </c>
    </row>
    <row r="215" customHeight="1" spans="1:8">
      <c r="A215" s="199"/>
      <c r="B215" s="187" t="s">
        <v>2211</v>
      </c>
      <c r="C215" s="193" t="s">
        <v>2212</v>
      </c>
      <c r="D215" s="193" t="s">
        <v>2213</v>
      </c>
      <c r="E215" s="180" t="s">
        <v>475</v>
      </c>
      <c r="F215" s="195" t="s">
        <v>24</v>
      </c>
      <c r="G215" s="196" t="s">
        <v>2214</v>
      </c>
      <c r="H215" s="197" t="s">
        <v>2215</v>
      </c>
    </row>
    <row r="216" customHeight="1" spans="1:8">
      <c r="A216" s="199"/>
      <c r="B216" s="187" t="s">
        <v>2216</v>
      </c>
      <c r="C216" s="193" t="s">
        <v>1719</v>
      </c>
      <c r="D216" s="193" t="s">
        <v>2217</v>
      </c>
      <c r="E216" s="180" t="s">
        <v>344</v>
      </c>
      <c r="F216" s="195" t="s">
        <v>24</v>
      </c>
      <c r="G216" s="211" t="s">
        <v>1480</v>
      </c>
      <c r="H216" s="197" t="s">
        <v>2218</v>
      </c>
    </row>
    <row r="217" customHeight="1" spans="1:8">
      <c r="A217" s="199"/>
      <c r="B217" s="187" t="s">
        <v>2219</v>
      </c>
      <c r="C217" s="193" t="s">
        <v>2220</v>
      </c>
      <c r="D217" s="193" t="s">
        <v>2221</v>
      </c>
      <c r="E217" s="180" t="s">
        <v>344</v>
      </c>
      <c r="F217" s="195" t="s">
        <v>24</v>
      </c>
      <c r="G217" s="196" t="s">
        <v>2222</v>
      </c>
      <c r="H217" s="197" t="s">
        <v>2223</v>
      </c>
    </row>
    <row r="218" customHeight="1" spans="1:8">
      <c r="A218" s="199"/>
      <c r="B218" s="187" t="s">
        <v>2224</v>
      </c>
      <c r="C218" s="193" t="s">
        <v>2225</v>
      </c>
      <c r="D218" s="193" t="s">
        <v>2226</v>
      </c>
      <c r="E218" s="180" t="s">
        <v>344</v>
      </c>
      <c r="F218" s="195" t="s">
        <v>24</v>
      </c>
      <c r="G218" s="196" t="s">
        <v>2227</v>
      </c>
      <c r="H218" s="197" t="s">
        <v>2228</v>
      </c>
    </row>
    <row r="219" customHeight="1" spans="1:8">
      <c r="A219" s="199"/>
      <c r="B219" s="187" t="s">
        <v>2229</v>
      </c>
      <c r="C219" s="193" t="s">
        <v>2187</v>
      </c>
      <c r="D219" s="193" t="s">
        <v>2188</v>
      </c>
      <c r="E219" s="180" t="s">
        <v>344</v>
      </c>
      <c r="F219" s="195" t="s">
        <v>24</v>
      </c>
      <c r="G219" s="196" t="s">
        <v>2189</v>
      </c>
      <c r="H219" s="197" t="s">
        <v>2230</v>
      </c>
    </row>
    <row r="220" customHeight="1" spans="1:8">
      <c r="A220" s="199"/>
      <c r="B220" s="187" t="s">
        <v>2231</v>
      </c>
      <c r="C220" s="193" t="s">
        <v>2232</v>
      </c>
      <c r="D220" s="193" t="s">
        <v>2233</v>
      </c>
      <c r="E220" s="180" t="s">
        <v>344</v>
      </c>
      <c r="F220" s="195" t="s">
        <v>24</v>
      </c>
      <c r="G220" s="209" t="s">
        <v>2234</v>
      </c>
      <c r="H220" s="197" t="s">
        <v>2235</v>
      </c>
    </row>
    <row r="221" customHeight="1" spans="1:8">
      <c r="A221" s="199"/>
      <c r="B221" s="187" t="s">
        <v>2236</v>
      </c>
      <c r="C221" s="193" t="s">
        <v>2237</v>
      </c>
      <c r="D221" s="193" t="s">
        <v>2238</v>
      </c>
      <c r="E221" s="180" t="s">
        <v>344</v>
      </c>
      <c r="F221" s="195" t="s">
        <v>24</v>
      </c>
      <c r="G221" s="196" t="s">
        <v>2239</v>
      </c>
      <c r="H221" s="197" t="s">
        <v>2240</v>
      </c>
    </row>
    <row r="222" customHeight="1" spans="1:8">
      <c r="A222" s="199"/>
      <c r="B222" s="187" t="s">
        <v>2241</v>
      </c>
      <c r="C222" s="193" t="s">
        <v>1723</v>
      </c>
      <c r="D222" s="193" t="s">
        <v>2242</v>
      </c>
      <c r="E222" s="180" t="s">
        <v>344</v>
      </c>
      <c r="F222" s="195" t="s">
        <v>24</v>
      </c>
      <c r="G222" s="196" t="s">
        <v>2243</v>
      </c>
      <c r="H222" s="197" t="s">
        <v>2244</v>
      </c>
    </row>
    <row r="223" customHeight="1" spans="1:8">
      <c r="A223" s="199"/>
      <c r="B223" s="187" t="s">
        <v>2245</v>
      </c>
      <c r="C223" s="193" t="s">
        <v>2246</v>
      </c>
      <c r="D223" s="193" t="s">
        <v>2247</v>
      </c>
      <c r="E223" s="180" t="s">
        <v>344</v>
      </c>
      <c r="F223" s="195" t="s">
        <v>24</v>
      </c>
      <c r="G223" s="196" t="s">
        <v>2248</v>
      </c>
      <c r="H223" s="197" t="s">
        <v>2249</v>
      </c>
    </row>
    <row r="224" customHeight="1" spans="1:8">
      <c r="A224" s="199"/>
      <c r="B224" s="187" t="s">
        <v>2250</v>
      </c>
      <c r="C224" s="193" t="s">
        <v>2251</v>
      </c>
      <c r="D224" s="193" t="s">
        <v>2252</v>
      </c>
      <c r="E224" s="180" t="s">
        <v>344</v>
      </c>
      <c r="F224" s="195" t="s">
        <v>24</v>
      </c>
      <c r="G224" s="211" t="s">
        <v>1341</v>
      </c>
      <c r="H224" s="197" t="s">
        <v>2253</v>
      </c>
    </row>
    <row r="225" customHeight="1" spans="1:8">
      <c r="A225" s="199"/>
      <c r="B225" s="187" t="s">
        <v>2254</v>
      </c>
      <c r="C225" s="193" t="s">
        <v>2255</v>
      </c>
      <c r="D225" s="193" t="s">
        <v>2256</v>
      </c>
      <c r="E225" s="180" t="s">
        <v>344</v>
      </c>
      <c r="F225" s="195" t="s">
        <v>24</v>
      </c>
      <c r="G225" s="211" t="s">
        <v>1341</v>
      </c>
      <c r="H225" s="197" t="s">
        <v>2253</v>
      </c>
    </row>
    <row r="226" customHeight="1" spans="1:8">
      <c r="A226" s="199"/>
      <c r="B226" s="187" t="s">
        <v>2257</v>
      </c>
      <c r="C226" s="193" t="s">
        <v>2258</v>
      </c>
      <c r="D226" s="193" t="s">
        <v>2259</v>
      </c>
      <c r="E226" s="180" t="s">
        <v>344</v>
      </c>
      <c r="F226" s="195" t="s">
        <v>24</v>
      </c>
      <c r="G226" s="211" t="s">
        <v>1341</v>
      </c>
      <c r="H226" s="197" t="s">
        <v>2253</v>
      </c>
    </row>
    <row r="227" customHeight="1" spans="1:8">
      <c r="A227" s="199"/>
      <c r="B227" s="187" t="s">
        <v>2260</v>
      </c>
      <c r="C227" s="193" t="s">
        <v>2261</v>
      </c>
      <c r="D227" s="193" t="s">
        <v>2262</v>
      </c>
      <c r="E227" s="180" t="s">
        <v>344</v>
      </c>
      <c r="F227" s="195" t="s">
        <v>24</v>
      </c>
      <c r="G227" s="211" t="s">
        <v>1341</v>
      </c>
      <c r="H227" s="197" t="s">
        <v>2253</v>
      </c>
    </row>
    <row r="228" customHeight="1" spans="1:8">
      <c r="A228" s="199"/>
      <c r="B228" s="187" t="s">
        <v>2263</v>
      </c>
      <c r="C228" s="193" t="s">
        <v>2264</v>
      </c>
      <c r="D228" s="193" t="s">
        <v>2265</v>
      </c>
      <c r="E228" s="180" t="s">
        <v>344</v>
      </c>
      <c r="F228" s="195" t="s">
        <v>24</v>
      </c>
      <c r="G228" s="211" t="s">
        <v>1341</v>
      </c>
      <c r="H228" s="197" t="s">
        <v>2253</v>
      </c>
    </row>
    <row r="229" customHeight="1" spans="1:8">
      <c r="A229" s="199"/>
      <c r="B229" s="187" t="s">
        <v>2266</v>
      </c>
      <c r="C229" s="193" t="s">
        <v>2267</v>
      </c>
      <c r="D229" s="193" t="s">
        <v>2268</v>
      </c>
      <c r="E229" s="180" t="s">
        <v>344</v>
      </c>
      <c r="F229" s="195" t="s">
        <v>24</v>
      </c>
      <c r="G229" s="211" t="s">
        <v>1480</v>
      </c>
      <c r="H229" s="197" t="s">
        <v>2269</v>
      </c>
    </row>
    <row r="230" customHeight="1" spans="1:8">
      <c r="A230" s="199"/>
      <c r="B230" s="187" t="s">
        <v>2270</v>
      </c>
      <c r="C230" s="193" t="s">
        <v>2271</v>
      </c>
      <c r="D230" s="193" t="s">
        <v>2272</v>
      </c>
      <c r="E230" s="180" t="s">
        <v>344</v>
      </c>
      <c r="F230" s="195" t="s">
        <v>24</v>
      </c>
      <c r="G230" s="211" t="s">
        <v>1480</v>
      </c>
      <c r="H230" s="197" t="s">
        <v>2273</v>
      </c>
    </row>
    <row r="231" customHeight="1" spans="1:8">
      <c r="A231" s="199"/>
      <c r="B231" s="187" t="s">
        <v>2274</v>
      </c>
      <c r="C231" s="193" t="s">
        <v>2275</v>
      </c>
      <c r="D231" s="193" t="s">
        <v>2276</v>
      </c>
      <c r="E231" s="180" t="s">
        <v>344</v>
      </c>
      <c r="F231" s="195" t="s">
        <v>24</v>
      </c>
      <c r="G231" s="211" t="s">
        <v>1480</v>
      </c>
      <c r="H231" s="197" t="s">
        <v>2277</v>
      </c>
    </row>
    <row r="232" customHeight="1" spans="1:8">
      <c r="A232" s="199"/>
      <c r="B232" s="187" t="s">
        <v>1487</v>
      </c>
      <c r="C232" s="193" t="s">
        <v>1488</v>
      </c>
      <c r="D232" s="194" t="s">
        <v>1489</v>
      </c>
      <c r="E232" s="180" t="s">
        <v>475</v>
      </c>
      <c r="F232" s="195" t="s">
        <v>24</v>
      </c>
      <c r="G232" s="196" t="s">
        <v>1210</v>
      </c>
      <c r="H232" s="197" t="s">
        <v>1490</v>
      </c>
    </row>
    <row r="233" customHeight="1" spans="1:8">
      <c r="A233" s="199"/>
      <c r="B233" s="187" t="s">
        <v>2278</v>
      </c>
      <c r="C233" s="193" t="s">
        <v>2279</v>
      </c>
      <c r="D233" s="194" t="s">
        <v>2280</v>
      </c>
      <c r="E233" s="180" t="s">
        <v>344</v>
      </c>
      <c r="F233" s="195" t="s">
        <v>24</v>
      </c>
      <c r="G233" s="196" t="s">
        <v>2281</v>
      </c>
      <c r="H233" s="197" t="s">
        <v>2282</v>
      </c>
    </row>
    <row r="234" customHeight="1" spans="1:8">
      <c r="A234" s="199"/>
      <c r="B234" s="187" t="s">
        <v>2283</v>
      </c>
      <c r="C234" s="193" t="s">
        <v>2064</v>
      </c>
      <c r="D234" s="194" t="s">
        <v>2284</v>
      </c>
      <c r="E234" s="180" t="s">
        <v>344</v>
      </c>
      <c r="F234" s="195" t="s">
        <v>24</v>
      </c>
      <c r="G234" s="211" t="s">
        <v>1480</v>
      </c>
      <c r="H234" s="197" t="s">
        <v>2285</v>
      </c>
    </row>
    <row r="235" customHeight="1" spans="1:8">
      <c r="A235" s="199"/>
      <c r="B235" s="187" t="s">
        <v>2286</v>
      </c>
      <c r="C235" s="193" t="s">
        <v>2068</v>
      </c>
      <c r="D235" s="194" t="s">
        <v>2287</v>
      </c>
      <c r="E235" s="180" t="s">
        <v>344</v>
      </c>
      <c r="F235" s="195" t="s">
        <v>24</v>
      </c>
      <c r="G235" s="196" t="s">
        <v>1012</v>
      </c>
      <c r="H235" s="197" t="s">
        <v>2288</v>
      </c>
    </row>
    <row r="236" customHeight="1" spans="1:8">
      <c r="A236" s="219" t="s">
        <v>2289</v>
      </c>
      <c r="B236" s="183" t="s">
        <v>2290</v>
      </c>
      <c r="C236" s="183" t="s">
        <v>2291</v>
      </c>
      <c r="D236" s="183" t="s">
        <v>2292</v>
      </c>
      <c r="E236" s="180" t="s">
        <v>344</v>
      </c>
      <c r="F236" s="191" t="s">
        <v>24</v>
      </c>
      <c r="G236" s="209" t="s">
        <v>1341</v>
      </c>
      <c r="H236" s="213" t="s">
        <v>2293</v>
      </c>
    </row>
    <row r="237" customHeight="1" spans="1:8">
      <c r="A237" s="219"/>
      <c r="B237" s="183" t="s">
        <v>2294</v>
      </c>
      <c r="C237" s="183" t="s">
        <v>2295</v>
      </c>
      <c r="D237" s="183" t="s">
        <v>2296</v>
      </c>
      <c r="E237" s="180" t="s">
        <v>344</v>
      </c>
      <c r="F237" s="191" t="s">
        <v>24</v>
      </c>
      <c r="G237" s="209" t="s">
        <v>1341</v>
      </c>
      <c r="H237" s="213" t="s">
        <v>2297</v>
      </c>
    </row>
    <row r="238" customHeight="1" spans="1:8">
      <c r="A238" s="219"/>
      <c r="B238" s="183" t="s">
        <v>2298</v>
      </c>
      <c r="C238" s="183" t="s">
        <v>2299</v>
      </c>
      <c r="D238" s="183" t="s">
        <v>2300</v>
      </c>
      <c r="E238" s="180" t="s">
        <v>344</v>
      </c>
      <c r="F238" s="191" t="s">
        <v>24</v>
      </c>
      <c r="G238" s="211" t="s">
        <v>2301</v>
      </c>
      <c r="H238" s="213" t="s">
        <v>2302</v>
      </c>
    </row>
    <row r="239" customHeight="1" spans="1:8">
      <c r="A239" s="219"/>
      <c r="B239" s="183" t="s">
        <v>2303</v>
      </c>
      <c r="C239" s="183" t="s">
        <v>2304</v>
      </c>
      <c r="D239" s="183" t="s">
        <v>2305</v>
      </c>
      <c r="E239" s="180" t="s">
        <v>344</v>
      </c>
      <c r="F239" s="191" t="s">
        <v>24</v>
      </c>
      <c r="G239" s="209" t="s">
        <v>1341</v>
      </c>
      <c r="H239" s="213" t="s">
        <v>2306</v>
      </c>
    </row>
    <row r="240" customHeight="1" spans="1:8">
      <c r="A240" s="219"/>
      <c r="B240" s="183" t="s">
        <v>2307</v>
      </c>
      <c r="C240" s="183" t="s">
        <v>2308</v>
      </c>
      <c r="D240" s="183" t="s">
        <v>2309</v>
      </c>
      <c r="E240" s="180" t="s">
        <v>344</v>
      </c>
      <c r="F240" s="191" t="s">
        <v>24</v>
      </c>
      <c r="G240" s="211" t="s">
        <v>2310</v>
      </c>
      <c r="H240" s="213" t="s">
        <v>2311</v>
      </c>
    </row>
    <row r="241" customHeight="1" spans="1:8">
      <c r="A241" s="219"/>
      <c r="B241" s="183" t="s">
        <v>2312</v>
      </c>
      <c r="C241" s="183" t="s">
        <v>2313</v>
      </c>
      <c r="D241" s="183" t="s">
        <v>2314</v>
      </c>
      <c r="E241" s="180" t="s">
        <v>344</v>
      </c>
      <c r="F241" s="191" t="s">
        <v>24</v>
      </c>
      <c r="G241" s="209" t="s">
        <v>2310</v>
      </c>
      <c r="H241" s="213" t="s">
        <v>2315</v>
      </c>
    </row>
    <row r="242" customHeight="1" spans="1:8">
      <c r="A242" s="219"/>
      <c r="B242" s="183" t="s">
        <v>2316</v>
      </c>
      <c r="C242" s="183" t="s">
        <v>2317</v>
      </c>
      <c r="D242" s="183" t="s">
        <v>2318</v>
      </c>
      <c r="E242" s="180" t="s">
        <v>344</v>
      </c>
      <c r="F242" s="191" t="s">
        <v>24</v>
      </c>
      <c r="G242" s="209" t="s">
        <v>2310</v>
      </c>
      <c r="H242" s="213" t="s">
        <v>2319</v>
      </c>
    </row>
    <row r="243" customHeight="1" spans="1:8">
      <c r="A243" s="219"/>
      <c r="B243" s="183" t="s">
        <v>2320</v>
      </c>
      <c r="C243" s="183" t="s">
        <v>2321</v>
      </c>
      <c r="D243" s="183" t="s">
        <v>2322</v>
      </c>
      <c r="E243" s="180" t="s">
        <v>344</v>
      </c>
      <c r="F243" s="191" t="s">
        <v>24</v>
      </c>
      <c r="G243" s="220" t="s">
        <v>2310</v>
      </c>
      <c r="H243" s="213" t="s">
        <v>2323</v>
      </c>
    </row>
    <row r="244" customHeight="1" spans="1:8">
      <c r="A244" s="219"/>
      <c r="B244" s="183" t="s">
        <v>2324</v>
      </c>
      <c r="C244" s="183" t="s">
        <v>2325</v>
      </c>
      <c r="D244" s="183" t="s">
        <v>2326</v>
      </c>
      <c r="E244" s="180" t="s">
        <v>344</v>
      </c>
      <c r="F244" s="191" t="s">
        <v>24</v>
      </c>
      <c r="G244" s="220" t="s">
        <v>2310</v>
      </c>
      <c r="H244" s="213" t="s">
        <v>2327</v>
      </c>
    </row>
    <row r="245" customHeight="1" spans="1:8">
      <c r="A245" s="219"/>
      <c r="B245" s="183" t="s">
        <v>2328</v>
      </c>
      <c r="C245" s="183" t="s">
        <v>2329</v>
      </c>
      <c r="D245" s="183" t="s">
        <v>2330</v>
      </c>
      <c r="E245" s="180" t="s">
        <v>344</v>
      </c>
      <c r="F245" s="191" t="s">
        <v>24</v>
      </c>
      <c r="G245" s="209" t="s">
        <v>1341</v>
      </c>
      <c r="H245" s="213" t="s">
        <v>2331</v>
      </c>
    </row>
    <row r="246" customHeight="1" spans="1:8">
      <c r="A246" s="219"/>
      <c r="B246" s="183" t="s">
        <v>2332</v>
      </c>
      <c r="C246" s="183" t="s">
        <v>2333</v>
      </c>
      <c r="D246" s="183" t="s">
        <v>2334</v>
      </c>
      <c r="E246" s="180" t="s">
        <v>344</v>
      </c>
      <c r="F246" s="191" t="s">
        <v>24</v>
      </c>
      <c r="G246" s="221" t="s">
        <v>1341</v>
      </c>
      <c r="H246" s="222" t="s">
        <v>2335</v>
      </c>
    </row>
    <row r="247" customHeight="1" spans="1:8">
      <c r="A247" s="223" t="s">
        <v>2336</v>
      </c>
      <c r="B247" s="190" t="s">
        <v>2337</v>
      </c>
      <c r="C247" s="183" t="s">
        <v>2338</v>
      </c>
      <c r="D247" s="183" t="s">
        <v>2339</v>
      </c>
      <c r="E247" s="180" t="s">
        <v>475</v>
      </c>
      <c r="F247" s="191" t="s">
        <v>24</v>
      </c>
      <c r="G247" s="182" t="s">
        <v>71</v>
      </c>
      <c r="H247" s="183" t="s">
        <v>1456</v>
      </c>
    </row>
    <row r="248" customHeight="1" spans="1:8">
      <c r="A248" s="224" t="s">
        <v>2340</v>
      </c>
      <c r="B248" s="41" t="s">
        <v>2341</v>
      </c>
      <c r="C248" s="225" t="s">
        <v>2342</v>
      </c>
      <c r="D248" s="225" t="s">
        <v>2343</v>
      </c>
      <c r="E248" s="180" t="s">
        <v>344</v>
      </c>
      <c r="F248" s="191" t="s">
        <v>24</v>
      </c>
      <c r="G248" s="182" t="s">
        <v>28</v>
      </c>
      <c r="H248" s="225" t="s">
        <v>2343</v>
      </c>
    </row>
    <row r="249" customHeight="1" spans="1:8">
      <c r="A249" s="224"/>
      <c r="B249" s="41" t="s">
        <v>2344</v>
      </c>
      <c r="C249" s="226" t="s">
        <v>2345</v>
      </c>
      <c r="D249" s="226" t="s">
        <v>2346</v>
      </c>
      <c r="E249" s="227" t="s">
        <v>475</v>
      </c>
      <c r="F249" s="191" t="s">
        <v>24</v>
      </c>
      <c r="G249" s="182" t="s">
        <v>71</v>
      </c>
      <c r="H249" s="226" t="s">
        <v>1364</v>
      </c>
    </row>
    <row r="250" customHeight="1" spans="1:8">
      <c r="A250" s="224"/>
      <c r="B250" s="41" t="s">
        <v>2347</v>
      </c>
      <c r="C250" s="225" t="s">
        <v>862</v>
      </c>
      <c r="D250" s="225" t="s">
        <v>879</v>
      </c>
      <c r="E250" s="227" t="s">
        <v>475</v>
      </c>
      <c r="F250" s="191" t="s">
        <v>24</v>
      </c>
      <c r="G250" s="228" t="s">
        <v>345</v>
      </c>
      <c r="H250" s="225" t="s">
        <v>1321</v>
      </c>
    </row>
    <row r="251" customHeight="1" spans="1:8">
      <c r="A251" s="224"/>
      <c r="B251" s="41" t="s">
        <v>2348</v>
      </c>
      <c r="C251" s="225" t="s">
        <v>2349</v>
      </c>
      <c r="D251" s="225" t="s">
        <v>2350</v>
      </c>
      <c r="E251" s="227" t="s">
        <v>475</v>
      </c>
      <c r="F251" s="191" t="s">
        <v>24</v>
      </c>
      <c r="G251" s="228" t="s">
        <v>419</v>
      </c>
      <c r="H251" s="225" t="s">
        <v>2351</v>
      </c>
    </row>
    <row r="252" customHeight="1" spans="1:8">
      <c r="A252" s="224"/>
      <c r="B252" s="41" t="s">
        <v>2352</v>
      </c>
      <c r="C252" s="225" t="s">
        <v>2353</v>
      </c>
      <c r="D252" s="229" t="s">
        <v>2354</v>
      </c>
      <c r="E252" s="227" t="s">
        <v>475</v>
      </c>
      <c r="F252" s="191" t="s">
        <v>24</v>
      </c>
      <c r="G252" s="228" t="s">
        <v>419</v>
      </c>
      <c r="H252" s="229" t="s">
        <v>2355</v>
      </c>
    </row>
    <row r="253" customHeight="1" spans="1:8">
      <c r="A253" s="224"/>
      <c r="B253" s="41" t="s">
        <v>2356</v>
      </c>
      <c r="C253" s="225" t="s">
        <v>2357</v>
      </c>
      <c r="D253" s="229" t="s">
        <v>2358</v>
      </c>
      <c r="E253" s="227" t="s">
        <v>475</v>
      </c>
      <c r="F253" s="191" t="s">
        <v>24</v>
      </c>
      <c r="G253" s="228" t="s">
        <v>419</v>
      </c>
      <c r="H253" s="229" t="s">
        <v>2359</v>
      </c>
    </row>
    <row r="254" customHeight="1" spans="1:8">
      <c r="A254" s="224"/>
      <c r="B254" s="40" t="s">
        <v>2360</v>
      </c>
      <c r="C254" s="183" t="s">
        <v>2361</v>
      </c>
      <c r="D254" s="183" t="s">
        <v>2362</v>
      </c>
      <c r="E254" s="227" t="s">
        <v>475</v>
      </c>
      <c r="F254" s="191" t="s">
        <v>24</v>
      </c>
      <c r="G254" s="182" t="s">
        <v>419</v>
      </c>
      <c r="H254" s="183" t="s">
        <v>2363</v>
      </c>
    </row>
    <row r="255" customHeight="1" spans="1:8">
      <c r="A255" s="224"/>
      <c r="B255" s="40" t="s">
        <v>2364</v>
      </c>
      <c r="C255" s="183" t="s">
        <v>2365</v>
      </c>
      <c r="D255" s="183" t="s">
        <v>2366</v>
      </c>
      <c r="E255" s="227" t="s">
        <v>475</v>
      </c>
      <c r="F255" s="191" t="s">
        <v>24</v>
      </c>
      <c r="G255" s="182" t="s">
        <v>419</v>
      </c>
      <c r="H255" s="183" t="s">
        <v>2363</v>
      </c>
    </row>
    <row r="256" customHeight="1" spans="1:8">
      <c r="A256" s="224"/>
      <c r="B256" s="40" t="s">
        <v>2367</v>
      </c>
      <c r="C256" s="183" t="s">
        <v>2368</v>
      </c>
      <c r="D256" s="183" t="s">
        <v>2369</v>
      </c>
      <c r="E256" s="227" t="s">
        <v>475</v>
      </c>
      <c r="F256" s="191" t="s">
        <v>24</v>
      </c>
      <c r="G256" s="182" t="s">
        <v>419</v>
      </c>
      <c r="H256" s="183" t="s">
        <v>2370</v>
      </c>
    </row>
    <row r="257" customHeight="1" spans="1:8">
      <c r="A257" s="224"/>
      <c r="B257" s="40" t="s">
        <v>2371</v>
      </c>
      <c r="C257" s="183" t="s">
        <v>2372</v>
      </c>
      <c r="D257" s="183" t="s">
        <v>2373</v>
      </c>
      <c r="E257" s="227" t="s">
        <v>475</v>
      </c>
      <c r="F257" s="191" t="s">
        <v>24</v>
      </c>
      <c r="G257" s="182" t="s">
        <v>419</v>
      </c>
      <c r="H257" s="183" t="s">
        <v>2370</v>
      </c>
    </row>
    <row r="258" customHeight="1" spans="1:8">
      <c r="A258" s="224"/>
      <c r="B258" s="40" t="s">
        <v>2374</v>
      </c>
      <c r="C258" s="183" t="s">
        <v>2375</v>
      </c>
      <c r="D258" s="183" t="s">
        <v>2376</v>
      </c>
      <c r="E258" s="227" t="s">
        <v>475</v>
      </c>
      <c r="F258" s="191" t="s">
        <v>24</v>
      </c>
      <c r="G258" s="182" t="s">
        <v>419</v>
      </c>
      <c r="H258" s="183" t="s">
        <v>2377</v>
      </c>
    </row>
    <row r="259" customHeight="1" spans="1:8">
      <c r="A259" s="224"/>
      <c r="B259" s="40" t="s">
        <v>2378</v>
      </c>
      <c r="C259" s="183" t="s">
        <v>2379</v>
      </c>
      <c r="D259" s="183" t="s">
        <v>2380</v>
      </c>
      <c r="E259" s="227" t="s">
        <v>475</v>
      </c>
      <c r="F259" s="191" t="s">
        <v>24</v>
      </c>
      <c r="G259" s="182" t="s">
        <v>1543</v>
      </c>
      <c r="H259" s="183" t="s">
        <v>2381</v>
      </c>
    </row>
    <row r="260" customHeight="1" spans="1:8">
      <c r="A260" s="224"/>
      <c r="B260" s="40" t="s">
        <v>2382</v>
      </c>
      <c r="C260" s="183" t="s">
        <v>2383</v>
      </c>
      <c r="D260" s="183" t="s">
        <v>2384</v>
      </c>
      <c r="E260" s="227" t="s">
        <v>475</v>
      </c>
      <c r="F260" s="191" t="s">
        <v>24</v>
      </c>
      <c r="G260" s="182" t="s">
        <v>71</v>
      </c>
      <c r="H260" s="183" t="s">
        <v>1351</v>
      </c>
    </row>
    <row r="261" customHeight="1" spans="1:8">
      <c r="A261" s="230" t="s">
        <v>2385</v>
      </c>
      <c r="B261" s="231" t="s">
        <v>2386</v>
      </c>
      <c r="C261" s="232" t="s">
        <v>2387</v>
      </c>
      <c r="D261" s="232" t="s">
        <v>2388</v>
      </c>
      <c r="E261" s="227" t="s">
        <v>475</v>
      </c>
      <c r="F261" s="191" t="s">
        <v>24</v>
      </c>
      <c r="G261" s="211" t="s">
        <v>354</v>
      </c>
      <c r="H261" s="232" t="s">
        <v>2389</v>
      </c>
    </row>
    <row r="262" customHeight="1" spans="1:8">
      <c r="A262" s="233"/>
      <c r="B262" s="198" t="s">
        <v>2390</v>
      </c>
      <c r="C262" s="193" t="s">
        <v>2391</v>
      </c>
      <c r="D262" s="194" t="s">
        <v>2392</v>
      </c>
      <c r="E262" s="227" t="s">
        <v>475</v>
      </c>
      <c r="F262" s="191" t="s">
        <v>24</v>
      </c>
      <c r="G262" s="211" t="s">
        <v>1422</v>
      </c>
      <c r="H262" s="197" t="s">
        <v>2393</v>
      </c>
    </row>
    <row r="263" customHeight="1" spans="1:8">
      <c r="A263" s="233"/>
      <c r="B263" s="198" t="s">
        <v>2394</v>
      </c>
      <c r="C263" s="193" t="s">
        <v>2395</v>
      </c>
      <c r="D263" s="194" t="s">
        <v>2396</v>
      </c>
      <c r="E263" s="227" t="s">
        <v>475</v>
      </c>
      <c r="F263" s="191" t="s">
        <v>24</v>
      </c>
      <c r="G263" s="211" t="s">
        <v>2397</v>
      </c>
      <c r="H263" s="197" t="s">
        <v>2393</v>
      </c>
    </row>
    <row r="264" customHeight="1" spans="1:8">
      <c r="A264" s="233"/>
      <c r="B264" s="198" t="s">
        <v>2398</v>
      </c>
      <c r="C264" s="193" t="s">
        <v>2399</v>
      </c>
      <c r="D264" s="194" t="s">
        <v>2400</v>
      </c>
      <c r="E264" s="227" t="s">
        <v>475</v>
      </c>
      <c r="F264" s="191" t="s">
        <v>24</v>
      </c>
      <c r="G264" s="211" t="s">
        <v>354</v>
      </c>
      <c r="H264" s="197" t="s">
        <v>2401</v>
      </c>
    </row>
    <row r="265" customHeight="1" spans="1:8">
      <c r="A265" s="224" t="s">
        <v>2402</v>
      </c>
      <c r="B265" s="234" t="s">
        <v>2403</v>
      </c>
      <c r="C265" s="226" t="s">
        <v>2404</v>
      </c>
      <c r="D265" s="226" t="s">
        <v>2404</v>
      </c>
      <c r="E265" s="227" t="s">
        <v>475</v>
      </c>
      <c r="F265" s="191" t="s">
        <v>24</v>
      </c>
      <c r="G265" s="235" t="s">
        <v>2405</v>
      </c>
      <c r="H265" s="226" t="s">
        <v>2406</v>
      </c>
    </row>
    <row r="266" customHeight="1" spans="1:8">
      <c r="A266" s="224"/>
      <c r="B266" s="234" t="s">
        <v>2407</v>
      </c>
      <c r="C266" s="226" t="s">
        <v>2408</v>
      </c>
      <c r="D266" s="226" t="s">
        <v>2409</v>
      </c>
      <c r="E266" s="227" t="s">
        <v>475</v>
      </c>
      <c r="F266" s="191" t="s">
        <v>24</v>
      </c>
      <c r="G266" s="235" t="s">
        <v>354</v>
      </c>
      <c r="H266" s="226" t="s">
        <v>2410</v>
      </c>
    </row>
  </sheetData>
  <autoFilter ref="A1:I266">
    <extLst/>
  </autoFilter>
  <mergeCells count="6">
    <mergeCell ref="A2:A53"/>
    <mergeCell ref="A54:A235"/>
    <mergeCell ref="A236:A246"/>
    <mergeCell ref="A248:A260"/>
    <mergeCell ref="A261:A264"/>
    <mergeCell ref="A265:A266"/>
  </mergeCells>
  <dataValidations count="3">
    <dataValidation type="list" allowBlank="1" showInputMessage="1" showErrorMessage="1" sqref="F21 F35 F57 F40:F54 F64:F65 F99:F140 F142:F144 F247:F266">
      <formula1>"R,W,RW"</formula1>
    </dataValidation>
    <dataValidation type="list" allowBlank="1" showInputMessage="1" showErrorMessage="1" sqref="G43:G46">
      <formula1>"unsignedByte,unsignedChar,unsignedShort,unsignedInt,unsignedLong,Byte,Char,Short,Int,Long,Double,boolean,string,date,dataTime,ENUMERATED"</formula1>
    </dataValidation>
    <dataValidation type="list" allowBlank="1" showInputMessage="1" showErrorMessage="1" sqref="G55 G142 G144 G2:G6 G8:G10 G12:G26 G31:G34 G36:G42 G47:G51 G57:G63 G65:G140 G147:G171 G176:G181 G186:G188 G199:G231 G233:G235 G247:G249 G254:G260">
      <formula1>"unsignedByte,unsignedChar,unsignedShort,unsignedInt,unsignedLong,Byte,Char,Short,Int,Long,Double,boolean,string,date,dataTime,enumeration"</formula1>
    </dataValidation>
  </dataValidations>
  <pageMargins left="0.699305555555556" right="0.699305555555556"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P33"/>
  <sheetViews>
    <sheetView workbookViewId="0">
      <pane xSplit="1" ySplit="1" topLeftCell="B11" activePane="bottomRight" state="frozen"/>
      <selection/>
      <selection pane="topRight"/>
      <selection pane="bottomLeft"/>
      <selection pane="bottomRight" activeCell="E28" sqref="E28"/>
    </sheetView>
  </sheetViews>
  <sheetFormatPr defaultColWidth="18.5" defaultRowHeight="13.15" customHeight="1"/>
  <cols>
    <col min="1" max="1" width="8.375" style="158" customWidth="1"/>
    <col min="2" max="2" width="78" style="159" customWidth="1"/>
    <col min="3" max="3" width="13.75" style="159" customWidth="1"/>
    <col min="4" max="4" width="12.625" style="159" customWidth="1"/>
    <col min="5" max="5" width="6.375" style="160" customWidth="1"/>
    <col min="6" max="6" width="4.375" style="160" customWidth="1"/>
    <col min="7" max="7" width="24" style="159" customWidth="1"/>
    <col min="8" max="8" width="35.375" style="159" customWidth="1"/>
    <col min="9" max="9" width="15.125" style="159" customWidth="1"/>
    <col min="10" max="16384" width="18.5" style="159"/>
  </cols>
  <sheetData>
    <row r="1" s="156" customFormat="1" ht="27.75" customHeight="1" spans="1:16">
      <c r="A1" s="11" t="s">
        <v>335</v>
      </c>
      <c r="B1" s="11" t="s">
        <v>336</v>
      </c>
      <c r="C1" s="33" t="s">
        <v>2</v>
      </c>
      <c r="D1" s="11" t="s">
        <v>3</v>
      </c>
      <c r="E1" s="11" t="s">
        <v>337</v>
      </c>
      <c r="F1" s="11" t="s">
        <v>8</v>
      </c>
      <c r="G1" s="11" t="s">
        <v>6</v>
      </c>
      <c r="H1" s="11" t="s">
        <v>338</v>
      </c>
      <c r="I1" s="11" t="s">
        <v>339</v>
      </c>
      <c r="J1" s="170"/>
      <c r="K1" s="170"/>
      <c r="L1" s="170"/>
      <c r="M1" s="170"/>
      <c r="N1" s="170"/>
      <c r="O1" s="170"/>
      <c r="P1" s="170"/>
    </row>
    <row r="2" s="157" customFormat="1" ht="12.75" customHeight="1" spans="1:16">
      <c r="A2" s="89" t="s">
        <v>2411</v>
      </c>
      <c r="B2" s="90" t="s">
        <v>2412</v>
      </c>
      <c r="C2" s="90" t="s">
        <v>862</v>
      </c>
      <c r="D2" s="90" t="s">
        <v>2413</v>
      </c>
      <c r="E2" s="91" t="s">
        <v>344</v>
      </c>
      <c r="F2" s="91" t="s">
        <v>24</v>
      </c>
      <c r="G2" s="90" t="s">
        <v>345</v>
      </c>
      <c r="H2" s="161" t="s">
        <v>2414</v>
      </c>
      <c r="I2" s="171"/>
      <c r="J2" s="87"/>
      <c r="K2" s="87"/>
      <c r="L2" s="87"/>
      <c r="M2" s="87"/>
      <c r="N2" s="87"/>
      <c r="O2" s="87"/>
      <c r="P2" s="87"/>
    </row>
    <row r="3" s="157" customFormat="1" ht="25.15" customHeight="1" spans="1:16">
      <c r="A3" s="89"/>
      <c r="B3" s="90" t="s">
        <v>2415</v>
      </c>
      <c r="C3" s="90" t="s">
        <v>2416</v>
      </c>
      <c r="D3" s="90" t="s">
        <v>2417</v>
      </c>
      <c r="E3" s="91" t="s">
        <v>344</v>
      </c>
      <c r="F3" s="91" t="s">
        <v>24</v>
      </c>
      <c r="G3" s="90" t="s">
        <v>2418</v>
      </c>
      <c r="H3" s="161" t="s">
        <v>2419</v>
      </c>
      <c r="I3" s="171"/>
      <c r="J3" s="87"/>
      <c r="K3" s="87"/>
      <c r="L3" s="87"/>
      <c r="M3" s="87"/>
      <c r="N3" s="87"/>
      <c r="O3" s="87"/>
      <c r="P3" s="87"/>
    </row>
    <row r="4" s="157" customFormat="1" customHeight="1" spans="1:16">
      <c r="A4" s="89"/>
      <c r="B4" s="90" t="s">
        <v>2420</v>
      </c>
      <c r="C4" s="90" t="s">
        <v>2421</v>
      </c>
      <c r="D4" s="90" t="s">
        <v>2422</v>
      </c>
      <c r="E4" s="91" t="s">
        <v>344</v>
      </c>
      <c r="F4" s="91" t="s">
        <v>24</v>
      </c>
      <c r="G4" s="90" t="s">
        <v>919</v>
      </c>
      <c r="H4" s="161" t="s">
        <v>2422</v>
      </c>
      <c r="I4" s="171"/>
      <c r="J4" s="87"/>
      <c r="K4" s="87"/>
      <c r="L4" s="87"/>
      <c r="M4" s="87"/>
      <c r="N4" s="87"/>
      <c r="O4" s="87"/>
      <c r="P4" s="87"/>
    </row>
    <row r="5" s="157" customFormat="1" ht="22.5" spans="1:16">
      <c r="A5" s="89"/>
      <c r="B5" s="90" t="s">
        <v>2423</v>
      </c>
      <c r="C5" s="90" t="s">
        <v>2424</v>
      </c>
      <c r="D5" s="90" t="s">
        <v>2425</v>
      </c>
      <c r="E5" s="91" t="s">
        <v>344</v>
      </c>
      <c r="F5" s="91" t="s">
        <v>24</v>
      </c>
      <c r="G5" s="90" t="s">
        <v>1145</v>
      </c>
      <c r="H5" s="161" t="s">
        <v>2425</v>
      </c>
      <c r="I5" s="171"/>
      <c r="J5" s="87"/>
      <c r="K5" s="87"/>
      <c r="L5" s="87"/>
      <c r="M5" s="87"/>
      <c r="N5" s="87"/>
      <c r="O5" s="87"/>
      <c r="P5" s="87"/>
    </row>
    <row r="6" s="157" customFormat="1" customHeight="1" spans="1:16">
      <c r="A6" s="89"/>
      <c r="B6" s="90" t="s">
        <v>2426</v>
      </c>
      <c r="C6" s="90" t="s">
        <v>1168</v>
      </c>
      <c r="D6" s="90" t="s">
        <v>995</v>
      </c>
      <c r="E6" s="91" t="s">
        <v>344</v>
      </c>
      <c r="F6" s="91" t="s">
        <v>24</v>
      </c>
      <c r="G6" s="90" t="s">
        <v>1145</v>
      </c>
      <c r="H6" s="161" t="s">
        <v>2427</v>
      </c>
      <c r="I6" s="171"/>
      <c r="J6" s="87"/>
      <c r="K6" s="87"/>
      <c r="L6" s="87"/>
      <c r="M6" s="87"/>
      <c r="N6" s="87"/>
      <c r="O6" s="87"/>
      <c r="P6" s="87"/>
    </row>
    <row r="7" s="157" customFormat="1" ht="45" spans="1:16">
      <c r="A7" s="89"/>
      <c r="B7" s="90" t="s">
        <v>2428</v>
      </c>
      <c r="C7" s="90" t="s">
        <v>2429</v>
      </c>
      <c r="D7" s="90" t="s">
        <v>2430</v>
      </c>
      <c r="E7" s="91" t="s">
        <v>344</v>
      </c>
      <c r="F7" s="91" t="s">
        <v>24</v>
      </c>
      <c r="G7" s="162" t="s">
        <v>1391</v>
      </c>
      <c r="H7" s="163" t="s">
        <v>2431</v>
      </c>
      <c r="I7" s="171"/>
      <c r="J7" s="87"/>
      <c r="K7" s="87"/>
      <c r="L7" s="87"/>
      <c r="M7" s="87"/>
      <c r="N7" s="87"/>
      <c r="O7" s="87"/>
      <c r="P7" s="87"/>
    </row>
    <row r="8" s="157" customFormat="1" ht="12" spans="1:16">
      <c r="A8" s="89"/>
      <c r="B8" s="90" t="s">
        <v>2432</v>
      </c>
      <c r="C8" s="90" t="s">
        <v>1148</v>
      </c>
      <c r="D8" s="90" t="s">
        <v>2433</v>
      </c>
      <c r="E8" s="91" t="s">
        <v>344</v>
      </c>
      <c r="F8" s="91" t="s">
        <v>24</v>
      </c>
      <c r="G8" s="90" t="s">
        <v>1150</v>
      </c>
      <c r="H8" s="161" t="s">
        <v>2434</v>
      </c>
      <c r="I8" s="171"/>
      <c r="J8" s="87"/>
      <c r="K8" s="87"/>
      <c r="L8" s="87"/>
      <c r="M8" s="87"/>
      <c r="N8" s="87"/>
      <c r="O8" s="87"/>
      <c r="P8" s="87"/>
    </row>
    <row r="9" s="157" customFormat="1" ht="12" spans="1:16">
      <c r="A9" s="89"/>
      <c r="B9" s="90" t="s">
        <v>2435</v>
      </c>
      <c r="C9" s="90" t="s">
        <v>899</v>
      </c>
      <c r="D9" s="90" t="s">
        <v>2436</v>
      </c>
      <c r="E9" s="91" t="s">
        <v>344</v>
      </c>
      <c r="F9" s="91" t="s">
        <v>24</v>
      </c>
      <c r="G9" s="90" t="s">
        <v>901</v>
      </c>
      <c r="H9" s="161" t="s">
        <v>2437</v>
      </c>
      <c r="I9" s="171"/>
      <c r="J9" s="87"/>
      <c r="K9" s="87"/>
      <c r="L9" s="87"/>
      <c r="M9" s="87"/>
      <c r="N9" s="87"/>
      <c r="O9" s="87"/>
      <c r="P9" s="87"/>
    </row>
    <row r="10" s="157" customFormat="1" ht="56.25" spans="1:16">
      <c r="A10" s="89"/>
      <c r="B10" s="90" t="s">
        <v>2438</v>
      </c>
      <c r="C10" s="90" t="s">
        <v>2439</v>
      </c>
      <c r="D10" s="90" t="s">
        <v>2440</v>
      </c>
      <c r="E10" s="91" t="s">
        <v>344</v>
      </c>
      <c r="F10" s="91" t="s">
        <v>24</v>
      </c>
      <c r="G10" s="90" t="s">
        <v>345</v>
      </c>
      <c r="H10" s="161" t="s">
        <v>2441</v>
      </c>
      <c r="I10" s="171"/>
      <c r="J10" s="87"/>
      <c r="K10" s="87"/>
      <c r="L10" s="87"/>
      <c r="M10" s="87"/>
      <c r="N10" s="87"/>
      <c r="O10" s="87"/>
      <c r="P10" s="87"/>
    </row>
    <row r="11" s="157" customFormat="1" ht="22.5" spans="1:16">
      <c r="A11" s="89"/>
      <c r="B11" s="90" t="s">
        <v>2442</v>
      </c>
      <c r="C11" s="90" t="s">
        <v>2443</v>
      </c>
      <c r="D11" s="90" t="s">
        <v>2444</v>
      </c>
      <c r="E11" s="91" t="s">
        <v>344</v>
      </c>
      <c r="F11" s="91" t="s">
        <v>24</v>
      </c>
      <c r="G11" s="90" t="s">
        <v>2445</v>
      </c>
      <c r="H11" s="90" t="s">
        <v>2446</v>
      </c>
      <c r="I11" s="171"/>
      <c r="J11" s="87"/>
      <c r="K11" s="87"/>
      <c r="L11" s="87"/>
      <c r="M11" s="87"/>
      <c r="N11" s="87"/>
      <c r="O11" s="87"/>
      <c r="P11" s="87"/>
    </row>
    <row r="12" s="157" customFormat="1" ht="22.5" spans="1:16">
      <c r="A12" s="89"/>
      <c r="B12" s="90" t="s">
        <v>2447</v>
      </c>
      <c r="C12" s="90" t="s">
        <v>2448</v>
      </c>
      <c r="D12" s="90" t="s">
        <v>2449</v>
      </c>
      <c r="E12" s="91" t="s">
        <v>344</v>
      </c>
      <c r="F12" s="91" t="s">
        <v>24</v>
      </c>
      <c r="G12" s="90" t="s">
        <v>2445</v>
      </c>
      <c r="H12" s="90" t="s">
        <v>2446</v>
      </c>
      <c r="I12" s="171"/>
      <c r="J12" s="87"/>
      <c r="K12" s="87"/>
      <c r="L12" s="87"/>
      <c r="M12" s="87"/>
      <c r="N12" s="87"/>
      <c r="O12" s="87"/>
      <c r="P12" s="87"/>
    </row>
    <row r="13" s="157" customFormat="1" ht="56.25" spans="1:16">
      <c r="A13" s="89"/>
      <c r="B13" s="90" t="s">
        <v>2450</v>
      </c>
      <c r="C13" s="90" t="s">
        <v>2451</v>
      </c>
      <c r="D13" s="90" t="s">
        <v>2452</v>
      </c>
      <c r="E13" s="91" t="s">
        <v>344</v>
      </c>
      <c r="F13" s="91" t="s">
        <v>24</v>
      </c>
      <c r="G13" s="90" t="s">
        <v>345</v>
      </c>
      <c r="H13" s="164" t="s">
        <v>2453</v>
      </c>
      <c r="I13" s="171"/>
      <c r="J13" s="87"/>
      <c r="K13" s="87"/>
      <c r="L13" s="87"/>
      <c r="M13" s="87"/>
      <c r="N13" s="87"/>
      <c r="O13" s="87"/>
      <c r="P13" s="87"/>
    </row>
    <row r="14" s="157" customFormat="1" ht="33.75" spans="1:16">
      <c r="A14" s="89"/>
      <c r="B14" s="90" t="s">
        <v>2454</v>
      </c>
      <c r="C14" s="90" t="s">
        <v>2455</v>
      </c>
      <c r="D14" s="90" t="s">
        <v>2456</v>
      </c>
      <c r="E14" s="91" t="s">
        <v>475</v>
      </c>
      <c r="F14" s="91" t="s">
        <v>24</v>
      </c>
      <c r="G14" s="90" t="s">
        <v>71</v>
      </c>
      <c r="H14" s="161" t="s">
        <v>2457</v>
      </c>
      <c r="I14" s="171"/>
      <c r="J14" s="87"/>
      <c r="K14" s="87"/>
      <c r="L14" s="87"/>
      <c r="M14" s="87"/>
      <c r="N14" s="87"/>
      <c r="O14" s="87"/>
      <c r="P14" s="87"/>
    </row>
    <row r="15" s="157" customFormat="1" ht="22.5" spans="1:16">
      <c r="A15" s="89"/>
      <c r="B15" s="40" t="s">
        <v>2458</v>
      </c>
      <c r="C15" s="165" t="s">
        <v>2459</v>
      </c>
      <c r="D15" s="165" t="s">
        <v>2460</v>
      </c>
      <c r="E15" s="91" t="s">
        <v>344</v>
      </c>
      <c r="F15" s="91" t="s">
        <v>24</v>
      </c>
      <c r="G15" s="165" t="s">
        <v>419</v>
      </c>
      <c r="H15" s="164" t="s">
        <v>2461</v>
      </c>
      <c r="I15" s="171"/>
      <c r="J15" s="87"/>
      <c r="K15" s="87"/>
      <c r="L15" s="87"/>
      <c r="M15" s="87"/>
      <c r="N15" s="87"/>
      <c r="O15" s="87"/>
      <c r="P15" s="87"/>
    </row>
    <row r="16" s="157" customFormat="1" ht="33.75" spans="1:16">
      <c r="A16" s="89"/>
      <c r="B16" s="142" t="s">
        <v>2462</v>
      </c>
      <c r="C16" s="165" t="s">
        <v>2463</v>
      </c>
      <c r="D16" s="165" t="s">
        <v>2456</v>
      </c>
      <c r="E16" s="166" t="s">
        <v>475</v>
      </c>
      <c r="F16" s="91" t="s">
        <v>24</v>
      </c>
      <c r="G16" s="165" t="s">
        <v>71</v>
      </c>
      <c r="H16" s="164" t="s">
        <v>2457</v>
      </c>
      <c r="I16" s="171"/>
      <c r="J16" s="87"/>
      <c r="K16" s="87"/>
      <c r="L16" s="87"/>
      <c r="M16" s="87"/>
      <c r="N16" s="87"/>
      <c r="O16" s="87"/>
      <c r="P16" s="87"/>
    </row>
    <row r="17" s="157" customFormat="1" ht="33.75" spans="1:16">
      <c r="A17" s="89"/>
      <c r="B17" s="142" t="s">
        <v>2464</v>
      </c>
      <c r="C17" s="165" t="s">
        <v>2465</v>
      </c>
      <c r="D17" s="165" t="s">
        <v>2466</v>
      </c>
      <c r="E17" s="166" t="s">
        <v>475</v>
      </c>
      <c r="F17" s="91" t="s">
        <v>24</v>
      </c>
      <c r="G17" s="165" t="s">
        <v>71</v>
      </c>
      <c r="H17" s="165" t="s">
        <v>2467</v>
      </c>
      <c r="I17" s="171"/>
      <c r="J17" s="87"/>
      <c r="K17" s="87"/>
      <c r="L17" s="87"/>
      <c r="M17" s="87"/>
      <c r="N17" s="87"/>
      <c r="O17" s="87"/>
      <c r="P17" s="87"/>
    </row>
    <row r="18" s="157" customFormat="1" ht="33.75" spans="1:16">
      <c r="A18" s="89"/>
      <c r="B18" s="40" t="s">
        <v>2468</v>
      </c>
      <c r="C18" s="165" t="s">
        <v>2469</v>
      </c>
      <c r="D18" s="165" t="s">
        <v>2470</v>
      </c>
      <c r="E18" s="166" t="s">
        <v>475</v>
      </c>
      <c r="F18" s="91" t="s">
        <v>24</v>
      </c>
      <c r="G18" s="165" t="s">
        <v>71</v>
      </c>
      <c r="H18" s="165" t="s">
        <v>2471</v>
      </c>
      <c r="I18" s="171"/>
      <c r="J18" s="87"/>
      <c r="K18" s="87"/>
      <c r="L18" s="87"/>
      <c r="M18" s="87"/>
      <c r="N18" s="87"/>
      <c r="O18" s="87"/>
      <c r="P18" s="87"/>
    </row>
    <row r="19" s="157" customFormat="1" ht="27" customHeight="1" spans="1:16">
      <c r="A19" s="89" t="s">
        <v>2472</v>
      </c>
      <c r="B19" s="40" t="s">
        <v>2473</v>
      </c>
      <c r="C19" s="165" t="s">
        <v>2474</v>
      </c>
      <c r="D19" s="165" t="s">
        <v>2475</v>
      </c>
      <c r="E19" s="91" t="s">
        <v>344</v>
      </c>
      <c r="F19" s="91" t="s">
        <v>24</v>
      </c>
      <c r="G19" s="165" t="s">
        <v>1485</v>
      </c>
      <c r="H19" s="165" t="s">
        <v>2476</v>
      </c>
      <c r="I19" s="171"/>
      <c r="J19" s="87"/>
      <c r="K19" s="87"/>
      <c r="L19" s="87"/>
      <c r="M19" s="87"/>
      <c r="N19" s="87"/>
      <c r="O19" s="87"/>
      <c r="P19" s="87"/>
    </row>
    <row r="20" ht="12.75" customHeight="1" spans="1:9">
      <c r="A20" s="89"/>
      <c r="B20" s="90" t="s">
        <v>2477</v>
      </c>
      <c r="C20" s="90" t="s">
        <v>862</v>
      </c>
      <c r="D20" s="90" t="s">
        <v>2413</v>
      </c>
      <c r="E20" s="91" t="s">
        <v>344</v>
      </c>
      <c r="F20" s="91" t="s">
        <v>24</v>
      </c>
      <c r="G20" s="90" t="s">
        <v>345</v>
      </c>
      <c r="H20" s="161" t="s">
        <v>2414</v>
      </c>
      <c r="I20" s="93"/>
    </row>
    <row r="21" customHeight="1" spans="1:9">
      <c r="A21" s="89"/>
      <c r="B21" s="90" t="s">
        <v>2478</v>
      </c>
      <c r="C21" s="90" t="s">
        <v>2416</v>
      </c>
      <c r="D21" s="90" t="s">
        <v>2417</v>
      </c>
      <c r="E21" s="91" t="s">
        <v>344</v>
      </c>
      <c r="F21" s="91" t="s">
        <v>24</v>
      </c>
      <c r="G21" s="90" t="s">
        <v>2479</v>
      </c>
      <c r="H21" s="161" t="s">
        <v>2480</v>
      </c>
      <c r="I21" s="93"/>
    </row>
    <row r="22" ht="22.15" customHeight="1" spans="1:9">
      <c r="A22" s="89"/>
      <c r="B22" s="90" t="s">
        <v>2481</v>
      </c>
      <c r="C22" s="90" t="s">
        <v>2482</v>
      </c>
      <c r="D22" s="90" t="s">
        <v>2483</v>
      </c>
      <c r="E22" s="91" t="s">
        <v>344</v>
      </c>
      <c r="F22" s="91" t="s">
        <v>24</v>
      </c>
      <c r="G22" s="90" t="s">
        <v>689</v>
      </c>
      <c r="H22" s="161" t="s">
        <v>2484</v>
      </c>
      <c r="I22" s="93"/>
    </row>
    <row r="23" spans="1:9">
      <c r="A23" s="89"/>
      <c r="B23" s="90" t="s">
        <v>2485</v>
      </c>
      <c r="C23" s="90" t="s">
        <v>1148</v>
      </c>
      <c r="D23" s="167" t="s">
        <v>2486</v>
      </c>
      <c r="E23" s="91" t="s">
        <v>344</v>
      </c>
      <c r="F23" s="91" t="s">
        <v>24</v>
      </c>
      <c r="G23" s="90" t="s">
        <v>2487</v>
      </c>
      <c r="H23" s="161" t="s">
        <v>2488</v>
      </c>
      <c r="I23" s="93"/>
    </row>
    <row r="24" ht="56.25" spans="1:9">
      <c r="A24" s="89"/>
      <c r="B24" s="90" t="s">
        <v>2489</v>
      </c>
      <c r="C24" s="90" t="s">
        <v>2439</v>
      </c>
      <c r="D24" s="90" t="s">
        <v>2440</v>
      </c>
      <c r="E24" s="91" t="s">
        <v>344</v>
      </c>
      <c r="F24" s="91" t="s">
        <v>24</v>
      </c>
      <c r="G24" s="90" t="s">
        <v>345</v>
      </c>
      <c r="H24" s="161" t="s">
        <v>2441</v>
      </c>
      <c r="I24" s="93"/>
    </row>
    <row r="25" ht="22.5" spans="1:9">
      <c r="A25" s="89"/>
      <c r="B25" s="90" t="s">
        <v>2490</v>
      </c>
      <c r="C25" s="90" t="s">
        <v>2443</v>
      </c>
      <c r="D25" s="90" t="s">
        <v>2444</v>
      </c>
      <c r="E25" s="91" t="s">
        <v>344</v>
      </c>
      <c r="F25" s="91" t="s">
        <v>24</v>
      </c>
      <c r="G25" s="90" t="s">
        <v>2445</v>
      </c>
      <c r="H25" s="90" t="s">
        <v>2491</v>
      </c>
      <c r="I25" s="93"/>
    </row>
    <row r="26" ht="22.5" spans="1:9">
      <c r="A26" s="89"/>
      <c r="B26" s="90" t="s">
        <v>2492</v>
      </c>
      <c r="C26" s="90" t="s">
        <v>2493</v>
      </c>
      <c r="D26" s="90" t="s">
        <v>2449</v>
      </c>
      <c r="E26" s="91" t="s">
        <v>344</v>
      </c>
      <c r="F26" s="91" t="s">
        <v>24</v>
      </c>
      <c r="G26" s="90" t="s">
        <v>2445</v>
      </c>
      <c r="H26" s="90" t="s">
        <v>2491</v>
      </c>
      <c r="I26" s="93"/>
    </row>
    <row r="27" ht="56.25" spans="1:9">
      <c r="A27" s="89"/>
      <c r="B27" s="90" t="s">
        <v>2494</v>
      </c>
      <c r="C27" s="90" t="s">
        <v>2451</v>
      </c>
      <c r="D27" s="90" t="s">
        <v>2452</v>
      </c>
      <c r="E27" s="91" t="s">
        <v>344</v>
      </c>
      <c r="F27" s="91" t="s">
        <v>24</v>
      </c>
      <c r="G27" s="90" t="s">
        <v>345</v>
      </c>
      <c r="H27" s="161" t="s">
        <v>2453</v>
      </c>
      <c r="I27" s="93"/>
    </row>
    <row r="28" ht="33.75" spans="1:9">
      <c r="A28" s="89"/>
      <c r="B28" s="90" t="s">
        <v>2495</v>
      </c>
      <c r="C28" s="90" t="s">
        <v>2455</v>
      </c>
      <c r="D28" s="90" t="s">
        <v>2456</v>
      </c>
      <c r="E28" s="91" t="s">
        <v>475</v>
      </c>
      <c r="F28" s="91" t="s">
        <v>24</v>
      </c>
      <c r="G28" s="90" t="s">
        <v>71</v>
      </c>
      <c r="H28" s="161" t="s">
        <v>2457</v>
      </c>
      <c r="I28" s="93"/>
    </row>
    <row r="29" spans="1:9">
      <c r="A29" s="89"/>
      <c r="B29" s="90" t="s">
        <v>2496</v>
      </c>
      <c r="C29" s="90" t="s">
        <v>899</v>
      </c>
      <c r="D29" s="90" t="s">
        <v>2436</v>
      </c>
      <c r="E29" s="91" t="s">
        <v>344</v>
      </c>
      <c r="F29" s="91" t="s">
        <v>24</v>
      </c>
      <c r="G29" s="90" t="s">
        <v>689</v>
      </c>
      <c r="H29" s="161" t="s">
        <v>2497</v>
      </c>
      <c r="I29" s="93"/>
    </row>
    <row r="30" ht="33.75" spans="1:9">
      <c r="A30" s="89"/>
      <c r="B30" s="90" t="s">
        <v>2498</v>
      </c>
      <c r="C30" s="90" t="s">
        <v>930</v>
      </c>
      <c r="D30" s="90" t="s">
        <v>2499</v>
      </c>
      <c r="E30" s="91" t="s">
        <v>344</v>
      </c>
      <c r="F30" s="168" t="s">
        <v>24</v>
      </c>
      <c r="G30" s="90" t="s">
        <v>1475</v>
      </c>
      <c r="H30" s="161" t="s">
        <v>2500</v>
      </c>
      <c r="I30" s="93"/>
    </row>
    <row r="31" ht="33.75" customHeight="1" spans="1:9">
      <c r="A31" s="89"/>
      <c r="B31" s="40" t="s">
        <v>2501</v>
      </c>
      <c r="C31" s="169" t="s">
        <v>2463</v>
      </c>
      <c r="D31" s="165" t="s">
        <v>2456</v>
      </c>
      <c r="E31" s="91" t="s">
        <v>475</v>
      </c>
      <c r="F31" s="168" t="s">
        <v>24</v>
      </c>
      <c r="G31" s="165" t="s">
        <v>71</v>
      </c>
      <c r="H31" s="164" t="s">
        <v>2457</v>
      </c>
      <c r="I31" s="94"/>
    </row>
    <row r="32" ht="41.25" customHeight="1" spans="1:9">
      <c r="A32" s="89"/>
      <c r="B32" s="40" t="s">
        <v>2502</v>
      </c>
      <c r="C32" s="169" t="s">
        <v>2465</v>
      </c>
      <c r="D32" s="165" t="s">
        <v>2466</v>
      </c>
      <c r="E32" s="91" t="s">
        <v>475</v>
      </c>
      <c r="F32" s="168" t="s">
        <v>24</v>
      </c>
      <c r="G32" s="165" t="s">
        <v>71</v>
      </c>
      <c r="H32" s="165" t="s">
        <v>2467</v>
      </c>
      <c r="I32" s="94"/>
    </row>
    <row r="33" ht="37.15" customHeight="1" spans="1:9">
      <c r="A33" s="89"/>
      <c r="B33" s="40" t="s">
        <v>2503</v>
      </c>
      <c r="C33" s="169" t="s">
        <v>2504</v>
      </c>
      <c r="D33" s="165" t="s">
        <v>2505</v>
      </c>
      <c r="E33" s="91" t="s">
        <v>475</v>
      </c>
      <c r="F33" s="168" t="s">
        <v>24</v>
      </c>
      <c r="G33" s="165" t="s">
        <v>71</v>
      </c>
      <c r="H33" s="165" t="s">
        <v>2506</v>
      </c>
      <c r="I33" s="94"/>
    </row>
  </sheetData>
  <autoFilter ref="A1:I33">
    <extLst/>
  </autoFilter>
  <mergeCells count="2">
    <mergeCell ref="A2:A18"/>
    <mergeCell ref="A19:A33"/>
  </mergeCells>
  <dataValidations count="1">
    <dataValidation type="list" allowBlank="1" showInputMessage="1" showErrorMessage="1" sqref="G16:G18 G31:G33">
      <formula1>"unsignedChar,unsignedShort,unsignedInt,unsignedLong,Char,Short,Int,Long,Double,boolean,string,date,dataTime,ENUMERATED"</formula1>
    </dataValidation>
  </dataValidations>
  <pageMargins left="0.699305555555556" right="0.699305555555556"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I251"/>
  <sheetViews>
    <sheetView workbookViewId="0">
      <pane xSplit="1" ySplit="1" topLeftCell="B35" activePane="bottomRight" state="frozen"/>
      <selection/>
      <selection pane="topRight"/>
      <selection pane="bottomLeft"/>
      <selection pane="bottomRight" activeCell="G42" sqref="G42"/>
    </sheetView>
  </sheetViews>
  <sheetFormatPr defaultColWidth="9" defaultRowHeight="13.15" customHeight="1"/>
  <cols>
    <col min="1" max="1" width="8.375" style="129" customWidth="1"/>
    <col min="2" max="2" width="102.75" style="130" customWidth="1"/>
    <col min="3" max="3" width="21.125" style="130" customWidth="1"/>
    <col min="4" max="4" width="16.125" style="130" customWidth="1"/>
    <col min="5" max="5" width="8.5" style="130" customWidth="1"/>
    <col min="6" max="6" width="7" style="131" customWidth="1"/>
    <col min="7" max="7" width="20" style="130" customWidth="1"/>
    <col min="8" max="8" width="32.5" style="130" customWidth="1"/>
    <col min="9" max="9" width="9.375" style="130" customWidth="1"/>
    <col min="10" max="16384" width="9" style="130"/>
  </cols>
  <sheetData>
    <row r="1" s="128" customFormat="1" ht="24.75" customHeight="1" spans="1:9">
      <c r="A1" s="11" t="s">
        <v>335</v>
      </c>
      <c r="B1" s="11" t="s">
        <v>336</v>
      </c>
      <c r="C1" s="33" t="s">
        <v>2</v>
      </c>
      <c r="D1" s="11" t="s">
        <v>3</v>
      </c>
      <c r="E1" s="11" t="s">
        <v>337</v>
      </c>
      <c r="F1" s="11" t="s">
        <v>8</v>
      </c>
      <c r="G1" s="11" t="s">
        <v>6</v>
      </c>
      <c r="H1" s="11" t="s">
        <v>338</v>
      </c>
      <c r="I1" s="11" t="s">
        <v>339</v>
      </c>
    </row>
    <row r="2" customHeight="1" spans="1:8">
      <c r="A2" s="50" t="s">
        <v>2507</v>
      </c>
      <c r="B2" s="40" t="s">
        <v>2508</v>
      </c>
      <c r="C2" s="49" t="s">
        <v>2509</v>
      </c>
      <c r="D2" s="40" t="s">
        <v>2510</v>
      </c>
      <c r="E2" s="132" t="s">
        <v>344</v>
      </c>
      <c r="F2" s="133" t="s">
        <v>57</v>
      </c>
      <c r="G2" s="40" t="s">
        <v>71</v>
      </c>
      <c r="H2" s="134"/>
    </row>
    <row r="3" ht="12.75" customHeight="1" spans="1:8">
      <c r="A3" s="50"/>
      <c r="B3" s="40" t="s">
        <v>2511</v>
      </c>
      <c r="C3" s="49" t="s">
        <v>2512</v>
      </c>
      <c r="D3" s="40" t="s">
        <v>2513</v>
      </c>
      <c r="E3" s="132" t="s">
        <v>475</v>
      </c>
      <c r="F3" s="133" t="s">
        <v>24</v>
      </c>
      <c r="G3" s="40" t="s">
        <v>1012</v>
      </c>
      <c r="H3" s="134" t="s">
        <v>2513</v>
      </c>
    </row>
    <row r="4" ht="25.15" customHeight="1" spans="1:8">
      <c r="A4" s="50"/>
      <c r="B4" s="40" t="s">
        <v>2514</v>
      </c>
      <c r="C4" s="49" t="s">
        <v>2515</v>
      </c>
      <c r="D4" s="40" t="s">
        <v>2516</v>
      </c>
      <c r="E4" s="132" t="s">
        <v>608</v>
      </c>
      <c r="F4" s="133" t="s">
        <v>24</v>
      </c>
      <c r="G4" s="40" t="s">
        <v>2517</v>
      </c>
      <c r="H4" s="134" t="s">
        <v>2518</v>
      </c>
    </row>
    <row r="5" ht="21" customHeight="1" spans="1:8">
      <c r="A5" s="50"/>
      <c r="B5" s="40" t="s">
        <v>2519</v>
      </c>
      <c r="C5" s="49" t="s">
        <v>2520</v>
      </c>
      <c r="D5" s="40" t="s">
        <v>2521</v>
      </c>
      <c r="E5" s="132" t="s">
        <v>608</v>
      </c>
      <c r="F5" s="133" t="s">
        <v>24</v>
      </c>
      <c r="G5" s="40" t="s">
        <v>2517</v>
      </c>
      <c r="H5" s="134" t="s">
        <v>2522</v>
      </c>
    </row>
    <row r="6" ht="22.15" customHeight="1" spans="1:8">
      <c r="A6" s="50"/>
      <c r="B6" s="40" t="s">
        <v>2523</v>
      </c>
      <c r="C6" s="49" t="s">
        <v>2524</v>
      </c>
      <c r="D6" s="40" t="s">
        <v>2525</v>
      </c>
      <c r="E6" s="132" t="s">
        <v>608</v>
      </c>
      <c r="F6" s="133" t="s">
        <v>24</v>
      </c>
      <c r="G6" s="40" t="s">
        <v>2517</v>
      </c>
      <c r="H6" s="134" t="s">
        <v>2526</v>
      </c>
    </row>
    <row r="7" ht="22.15" customHeight="1" spans="1:8">
      <c r="A7" s="50"/>
      <c r="B7" s="40" t="s">
        <v>2527</v>
      </c>
      <c r="C7" s="49" t="s">
        <v>2528</v>
      </c>
      <c r="D7" s="40" t="s">
        <v>2529</v>
      </c>
      <c r="E7" s="132" t="s">
        <v>608</v>
      </c>
      <c r="F7" s="133" t="s">
        <v>24</v>
      </c>
      <c r="G7" s="40" t="s">
        <v>2517</v>
      </c>
      <c r="H7" s="134" t="s">
        <v>2530</v>
      </c>
    </row>
    <row r="8" ht="21.75" customHeight="1" spans="1:8">
      <c r="A8" s="50"/>
      <c r="B8" s="40" t="s">
        <v>2531</v>
      </c>
      <c r="C8" s="49" t="s">
        <v>2532</v>
      </c>
      <c r="D8" s="40" t="s">
        <v>2533</v>
      </c>
      <c r="E8" s="132" t="s">
        <v>608</v>
      </c>
      <c r="F8" s="133" t="s">
        <v>24</v>
      </c>
      <c r="G8" s="40" t="s">
        <v>2517</v>
      </c>
      <c r="H8" s="134" t="s">
        <v>2534</v>
      </c>
    </row>
    <row r="9" ht="27.75" customHeight="1" spans="1:8">
      <c r="A9" s="50"/>
      <c r="B9" s="40" t="s">
        <v>2535</v>
      </c>
      <c r="C9" s="49" t="s">
        <v>2536</v>
      </c>
      <c r="D9" s="40" t="s">
        <v>2537</v>
      </c>
      <c r="E9" s="132" t="s">
        <v>608</v>
      </c>
      <c r="F9" s="133" t="s">
        <v>24</v>
      </c>
      <c r="G9" s="40" t="s">
        <v>2517</v>
      </c>
      <c r="H9" s="134" t="s">
        <v>2538</v>
      </c>
    </row>
    <row r="10" ht="27" customHeight="1" spans="1:8">
      <c r="A10" s="50"/>
      <c r="B10" s="40" t="s">
        <v>2539</v>
      </c>
      <c r="C10" s="49" t="s">
        <v>2515</v>
      </c>
      <c r="D10" s="40" t="s">
        <v>2540</v>
      </c>
      <c r="E10" s="132" t="s">
        <v>608</v>
      </c>
      <c r="F10" s="133" t="s">
        <v>24</v>
      </c>
      <c r="G10" s="40" t="s">
        <v>2517</v>
      </c>
      <c r="H10" s="134" t="s">
        <v>2541</v>
      </c>
    </row>
    <row r="11" ht="27.4" customHeight="1" spans="1:8">
      <c r="A11" s="50"/>
      <c r="B11" s="40" t="s">
        <v>2542</v>
      </c>
      <c r="C11" s="49" t="s">
        <v>2520</v>
      </c>
      <c r="D11" s="40" t="s">
        <v>2543</v>
      </c>
      <c r="E11" s="132" t="s">
        <v>608</v>
      </c>
      <c r="F11" s="133" t="s">
        <v>24</v>
      </c>
      <c r="G11" s="40" t="s">
        <v>2517</v>
      </c>
      <c r="H11" s="134" t="s">
        <v>2522</v>
      </c>
    </row>
    <row r="12" ht="23.85" customHeight="1" spans="1:8">
      <c r="A12" s="50"/>
      <c r="B12" s="40" t="s">
        <v>2544</v>
      </c>
      <c r="C12" s="49" t="s">
        <v>2524</v>
      </c>
      <c r="D12" s="40" t="s">
        <v>2545</v>
      </c>
      <c r="E12" s="132" t="s">
        <v>608</v>
      </c>
      <c r="F12" s="133" t="s">
        <v>24</v>
      </c>
      <c r="G12" s="40" t="s">
        <v>2517</v>
      </c>
      <c r="H12" s="134" t="s">
        <v>2526</v>
      </c>
    </row>
    <row r="13" ht="25.9" customHeight="1" spans="1:8">
      <c r="A13" s="50"/>
      <c r="B13" s="40" t="s">
        <v>2546</v>
      </c>
      <c r="C13" s="49" t="s">
        <v>2528</v>
      </c>
      <c r="D13" s="40" t="s">
        <v>2547</v>
      </c>
      <c r="E13" s="132" t="s">
        <v>608</v>
      </c>
      <c r="F13" s="133" t="s">
        <v>24</v>
      </c>
      <c r="G13" s="40" t="s">
        <v>2517</v>
      </c>
      <c r="H13" s="134" t="s">
        <v>2548</v>
      </c>
    </row>
    <row r="14" ht="26.65" customHeight="1" spans="1:8">
      <c r="A14" s="50"/>
      <c r="B14" s="40" t="s">
        <v>2549</v>
      </c>
      <c r="C14" s="49" t="s">
        <v>2532</v>
      </c>
      <c r="D14" s="40" t="s">
        <v>2550</v>
      </c>
      <c r="E14" s="132" t="s">
        <v>608</v>
      </c>
      <c r="F14" s="133" t="s">
        <v>24</v>
      </c>
      <c r="G14" s="40" t="s">
        <v>2517</v>
      </c>
      <c r="H14" s="134" t="s">
        <v>2551</v>
      </c>
    </row>
    <row r="15" ht="21" customHeight="1" spans="1:8">
      <c r="A15" s="50"/>
      <c r="B15" s="40" t="s">
        <v>2552</v>
      </c>
      <c r="C15" s="49" t="s">
        <v>2536</v>
      </c>
      <c r="D15" s="40" t="s">
        <v>2553</v>
      </c>
      <c r="E15" s="132" t="s">
        <v>608</v>
      </c>
      <c r="F15" s="133" t="s">
        <v>24</v>
      </c>
      <c r="G15" s="40" t="s">
        <v>2517</v>
      </c>
      <c r="H15" s="134" t="s">
        <v>2554</v>
      </c>
    </row>
    <row r="16" ht="22.9" customHeight="1" spans="1:8">
      <c r="A16" s="50"/>
      <c r="B16" s="40" t="s">
        <v>2555</v>
      </c>
      <c r="C16" s="49" t="s">
        <v>2556</v>
      </c>
      <c r="D16" s="40" t="s">
        <v>2557</v>
      </c>
      <c r="E16" s="132" t="s">
        <v>608</v>
      </c>
      <c r="F16" s="133" t="s">
        <v>24</v>
      </c>
      <c r="G16" s="40" t="s">
        <v>2517</v>
      </c>
      <c r="H16" s="134" t="s">
        <v>2558</v>
      </c>
    </row>
    <row r="17" ht="22.15" customHeight="1" spans="1:8">
      <c r="A17" s="50"/>
      <c r="B17" s="40" t="s">
        <v>2559</v>
      </c>
      <c r="C17" s="49" t="s">
        <v>2560</v>
      </c>
      <c r="D17" s="40" t="s">
        <v>2561</v>
      </c>
      <c r="E17" s="132" t="s">
        <v>608</v>
      </c>
      <c r="F17" s="133" t="s">
        <v>24</v>
      </c>
      <c r="G17" s="40" t="s">
        <v>2517</v>
      </c>
      <c r="H17" s="134" t="s">
        <v>2562</v>
      </c>
    </row>
    <row r="18" ht="24.4" customHeight="1" spans="1:8">
      <c r="A18" s="50"/>
      <c r="B18" s="40" t="s">
        <v>2563</v>
      </c>
      <c r="C18" s="49" t="s">
        <v>2564</v>
      </c>
      <c r="D18" s="40" t="s">
        <v>2565</v>
      </c>
      <c r="E18" s="132" t="s">
        <v>608</v>
      </c>
      <c r="F18" s="133" t="s">
        <v>24</v>
      </c>
      <c r="G18" s="40" t="s">
        <v>2517</v>
      </c>
      <c r="H18" s="134" t="s">
        <v>2566</v>
      </c>
    </row>
    <row r="19" customHeight="1" spans="1:8">
      <c r="A19" s="135" t="s">
        <v>2567</v>
      </c>
      <c r="B19" s="40" t="s">
        <v>2568</v>
      </c>
      <c r="C19" s="49" t="s">
        <v>969</v>
      </c>
      <c r="D19" s="40" t="s">
        <v>2569</v>
      </c>
      <c r="E19" s="132" t="s">
        <v>608</v>
      </c>
      <c r="F19" s="133" t="s">
        <v>24</v>
      </c>
      <c r="G19" s="40" t="s">
        <v>71</v>
      </c>
      <c r="H19" s="134"/>
    </row>
    <row r="20" customHeight="1" spans="1:8">
      <c r="A20" s="136"/>
      <c r="B20" s="40" t="s">
        <v>2570</v>
      </c>
      <c r="C20" s="49" t="s">
        <v>903</v>
      </c>
      <c r="D20" s="40" t="s">
        <v>2571</v>
      </c>
      <c r="E20" s="132" t="s">
        <v>608</v>
      </c>
      <c r="F20" s="133" t="s">
        <v>24</v>
      </c>
      <c r="G20" s="40" t="s">
        <v>345</v>
      </c>
      <c r="H20" s="134" t="s">
        <v>2572</v>
      </c>
    </row>
    <row r="21" customHeight="1" spans="1:8">
      <c r="A21" s="136"/>
      <c r="B21" s="40" t="s">
        <v>2573</v>
      </c>
      <c r="C21" s="49" t="s">
        <v>2459</v>
      </c>
      <c r="D21" s="40" t="s">
        <v>2460</v>
      </c>
      <c r="E21" s="132" t="s">
        <v>608</v>
      </c>
      <c r="F21" s="133" t="s">
        <v>24</v>
      </c>
      <c r="G21" s="40" t="s">
        <v>419</v>
      </c>
      <c r="H21" s="134" t="s">
        <v>2461</v>
      </c>
    </row>
    <row r="22" customHeight="1" spans="1:8">
      <c r="A22" s="136"/>
      <c r="B22" s="40" t="s">
        <v>2574</v>
      </c>
      <c r="C22" s="49" t="s">
        <v>2575</v>
      </c>
      <c r="D22" s="40" t="s">
        <v>2576</v>
      </c>
      <c r="E22" s="132" t="s">
        <v>608</v>
      </c>
      <c r="F22" s="133" t="s">
        <v>24</v>
      </c>
      <c r="G22" s="40" t="s">
        <v>71</v>
      </c>
      <c r="H22" s="134"/>
    </row>
    <row r="23" customHeight="1" spans="1:8">
      <c r="A23" s="136"/>
      <c r="B23" s="40" t="s">
        <v>2577</v>
      </c>
      <c r="C23" s="49" t="s">
        <v>2578</v>
      </c>
      <c r="D23" s="40" t="s">
        <v>2579</v>
      </c>
      <c r="E23" s="132" t="s">
        <v>608</v>
      </c>
      <c r="F23" s="133" t="s">
        <v>24</v>
      </c>
      <c r="G23" s="40" t="s">
        <v>71</v>
      </c>
      <c r="H23" s="134"/>
    </row>
    <row r="24" customHeight="1" spans="1:8">
      <c r="A24" s="136"/>
      <c r="B24" s="40" t="s">
        <v>2580</v>
      </c>
      <c r="C24" s="49" t="s">
        <v>2581</v>
      </c>
      <c r="D24" s="40" t="s">
        <v>2582</v>
      </c>
      <c r="E24" s="132" t="s">
        <v>608</v>
      </c>
      <c r="F24" s="133" t="s">
        <v>24</v>
      </c>
      <c r="G24" s="40" t="s">
        <v>419</v>
      </c>
      <c r="H24" s="134" t="s">
        <v>2583</v>
      </c>
    </row>
    <row r="25" customHeight="1" spans="1:8">
      <c r="A25" s="136"/>
      <c r="B25" s="40" t="s">
        <v>2584</v>
      </c>
      <c r="C25" s="49" t="s">
        <v>2585</v>
      </c>
      <c r="D25" s="40" t="s">
        <v>2586</v>
      </c>
      <c r="E25" s="132" t="s">
        <v>608</v>
      </c>
      <c r="F25" s="133" t="s">
        <v>24</v>
      </c>
      <c r="G25" s="40" t="s">
        <v>2144</v>
      </c>
      <c r="H25" s="134" t="s">
        <v>2586</v>
      </c>
    </row>
    <row r="26" customHeight="1" spans="1:8">
      <c r="A26" s="136"/>
      <c r="B26" s="40" t="s">
        <v>2587</v>
      </c>
      <c r="C26" s="49" t="s">
        <v>2588</v>
      </c>
      <c r="D26" s="40" t="s">
        <v>2589</v>
      </c>
      <c r="E26" s="132" t="s">
        <v>608</v>
      </c>
      <c r="F26" s="133" t="s">
        <v>24</v>
      </c>
      <c r="G26" s="40" t="s">
        <v>2590</v>
      </c>
      <c r="H26" s="134" t="s">
        <v>2589</v>
      </c>
    </row>
    <row r="27" customHeight="1" spans="1:8">
      <c r="A27" s="136"/>
      <c r="B27" s="40" t="s">
        <v>2591</v>
      </c>
      <c r="C27" s="49" t="s">
        <v>2592</v>
      </c>
      <c r="D27" s="40" t="s">
        <v>2593</v>
      </c>
      <c r="E27" s="132" t="s">
        <v>608</v>
      </c>
      <c r="F27" s="133" t="s">
        <v>24</v>
      </c>
      <c r="G27" s="40" t="s">
        <v>2594</v>
      </c>
      <c r="H27" s="134" t="s">
        <v>2595</v>
      </c>
    </row>
    <row r="28" customHeight="1" spans="1:8">
      <c r="A28" s="136"/>
      <c r="B28" s="40" t="s">
        <v>2596</v>
      </c>
      <c r="C28" s="49" t="s">
        <v>2597</v>
      </c>
      <c r="D28" s="40" t="s">
        <v>2598</v>
      </c>
      <c r="E28" s="132" t="s">
        <v>608</v>
      </c>
      <c r="F28" s="133" t="s">
        <v>24</v>
      </c>
      <c r="G28" s="40" t="s">
        <v>2599</v>
      </c>
      <c r="H28" s="134"/>
    </row>
    <row r="29" customHeight="1" spans="1:8">
      <c r="A29" s="136"/>
      <c r="B29" s="40" t="s">
        <v>2600</v>
      </c>
      <c r="C29" s="49" t="s">
        <v>2601</v>
      </c>
      <c r="D29" s="40" t="s">
        <v>2602</v>
      </c>
      <c r="E29" s="132" t="s">
        <v>608</v>
      </c>
      <c r="F29" s="133" t="s">
        <v>24</v>
      </c>
      <c r="G29" s="40" t="s">
        <v>2603</v>
      </c>
      <c r="H29" s="134" t="s">
        <v>2604</v>
      </c>
    </row>
    <row r="30" customHeight="1" spans="1:8">
      <c r="A30" s="136"/>
      <c r="B30" s="40" t="s">
        <v>2605</v>
      </c>
      <c r="C30" s="49" t="s">
        <v>2606</v>
      </c>
      <c r="D30" s="40" t="s">
        <v>2607</v>
      </c>
      <c r="E30" s="132" t="s">
        <v>608</v>
      </c>
      <c r="F30" s="133" t="s">
        <v>24</v>
      </c>
      <c r="G30" s="40" t="s">
        <v>2608</v>
      </c>
      <c r="H30" s="134" t="s">
        <v>2609</v>
      </c>
    </row>
    <row r="31" customHeight="1" spans="1:8">
      <c r="A31" s="135" t="s">
        <v>2610</v>
      </c>
      <c r="B31" s="40" t="s">
        <v>2611</v>
      </c>
      <c r="C31" s="49" t="s">
        <v>969</v>
      </c>
      <c r="D31" s="40" t="s">
        <v>2569</v>
      </c>
      <c r="E31" s="132" t="s">
        <v>344</v>
      </c>
      <c r="F31" s="133" t="s">
        <v>24</v>
      </c>
      <c r="G31" s="40" t="s">
        <v>71</v>
      </c>
      <c r="H31" s="134" t="s">
        <v>2612</v>
      </c>
    </row>
    <row r="32" customHeight="1" spans="1:8">
      <c r="A32" s="136"/>
      <c r="B32" s="40" t="s">
        <v>2613</v>
      </c>
      <c r="C32" s="49" t="s">
        <v>903</v>
      </c>
      <c r="D32" s="40" t="s">
        <v>2614</v>
      </c>
      <c r="E32" s="132" t="s">
        <v>475</v>
      </c>
      <c r="F32" s="133" t="s">
        <v>24</v>
      </c>
      <c r="G32" s="40" t="s">
        <v>345</v>
      </c>
      <c r="H32" s="134" t="s">
        <v>2614</v>
      </c>
    </row>
    <row r="33" customHeight="1" spans="1:8">
      <c r="A33" s="136"/>
      <c r="B33" s="40" t="s">
        <v>2615</v>
      </c>
      <c r="C33" s="49" t="s">
        <v>2616</v>
      </c>
      <c r="D33" s="40" t="s">
        <v>2617</v>
      </c>
      <c r="E33" s="132" t="s">
        <v>475</v>
      </c>
      <c r="F33" s="133" t="s">
        <v>24</v>
      </c>
      <c r="G33" s="40" t="s">
        <v>1012</v>
      </c>
      <c r="H33" s="134" t="s">
        <v>2618</v>
      </c>
    </row>
    <row r="34" customHeight="1" spans="1:8">
      <c r="A34" s="136"/>
      <c r="B34" s="40" t="s">
        <v>2619</v>
      </c>
      <c r="C34" s="49" t="s">
        <v>2620</v>
      </c>
      <c r="D34" s="40" t="s">
        <v>2621</v>
      </c>
      <c r="E34" s="132" t="s">
        <v>475</v>
      </c>
      <c r="F34" s="133" t="s">
        <v>24</v>
      </c>
      <c r="G34" s="40" t="s">
        <v>1012</v>
      </c>
      <c r="H34" s="134" t="s">
        <v>2622</v>
      </c>
    </row>
    <row r="35" customHeight="1" spans="1:8">
      <c r="A35" s="136"/>
      <c r="B35" s="40" t="s">
        <v>2623</v>
      </c>
      <c r="C35" s="49" t="s">
        <v>2624</v>
      </c>
      <c r="D35" s="40" t="s">
        <v>2625</v>
      </c>
      <c r="E35" s="132" t="s">
        <v>475</v>
      </c>
      <c r="F35" s="133" t="s">
        <v>24</v>
      </c>
      <c r="G35" s="40" t="s">
        <v>1012</v>
      </c>
      <c r="H35" s="134" t="s">
        <v>2626</v>
      </c>
    </row>
    <row r="36" customHeight="1" spans="1:8">
      <c r="A36" s="136"/>
      <c r="B36" s="40" t="s">
        <v>2627</v>
      </c>
      <c r="C36" s="49" t="s">
        <v>2628</v>
      </c>
      <c r="D36" s="40" t="s">
        <v>2629</v>
      </c>
      <c r="E36" s="132" t="s">
        <v>344</v>
      </c>
      <c r="F36" s="133" t="s">
        <v>24</v>
      </c>
      <c r="G36" s="40" t="s">
        <v>71</v>
      </c>
      <c r="H36" s="134" t="s">
        <v>2630</v>
      </c>
    </row>
    <row r="37" customHeight="1" spans="1:8">
      <c r="A37" s="136"/>
      <c r="B37" s="40" t="s">
        <v>2631</v>
      </c>
      <c r="C37" s="49" t="s">
        <v>2632</v>
      </c>
      <c r="D37" s="40" t="s">
        <v>2633</v>
      </c>
      <c r="E37" s="132" t="s">
        <v>344</v>
      </c>
      <c r="F37" s="133" t="s">
        <v>24</v>
      </c>
      <c r="G37" s="40" t="s">
        <v>2634</v>
      </c>
      <c r="H37" s="134" t="s">
        <v>2635</v>
      </c>
    </row>
    <row r="38" customHeight="1" spans="1:8">
      <c r="A38" s="136"/>
      <c r="B38" s="40" t="s">
        <v>2636</v>
      </c>
      <c r="C38" s="49" t="s">
        <v>2585</v>
      </c>
      <c r="D38" s="40" t="s">
        <v>2637</v>
      </c>
      <c r="E38" s="132" t="s">
        <v>344</v>
      </c>
      <c r="F38" s="133" t="s">
        <v>24</v>
      </c>
      <c r="G38" s="40" t="s">
        <v>2144</v>
      </c>
      <c r="H38" s="134" t="s">
        <v>2638</v>
      </c>
    </row>
    <row r="39" customHeight="1" spans="1:8">
      <c r="A39" s="136"/>
      <c r="B39" s="40" t="s">
        <v>2639</v>
      </c>
      <c r="C39" s="49" t="s">
        <v>2597</v>
      </c>
      <c r="D39" s="40" t="s">
        <v>2598</v>
      </c>
      <c r="E39" s="132" t="s">
        <v>344</v>
      </c>
      <c r="F39" s="133" t="s">
        <v>24</v>
      </c>
      <c r="G39" s="40" t="s">
        <v>2599</v>
      </c>
      <c r="H39" s="134" t="s">
        <v>2640</v>
      </c>
    </row>
    <row r="40" customHeight="1" spans="1:8">
      <c r="A40" s="136"/>
      <c r="B40" s="40" t="s">
        <v>2641</v>
      </c>
      <c r="C40" s="49" t="s">
        <v>2592</v>
      </c>
      <c r="D40" s="40" t="s">
        <v>2642</v>
      </c>
      <c r="E40" s="132" t="s">
        <v>344</v>
      </c>
      <c r="F40" s="133" t="s">
        <v>24</v>
      </c>
      <c r="G40" s="40" t="s">
        <v>2594</v>
      </c>
      <c r="H40" s="134" t="s">
        <v>2643</v>
      </c>
    </row>
    <row r="41" customHeight="1" spans="1:8">
      <c r="A41" s="136"/>
      <c r="B41" s="40" t="s">
        <v>2644</v>
      </c>
      <c r="C41" s="49" t="s">
        <v>2588</v>
      </c>
      <c r="D41" s="40" t="s">
        <v>2645</v>
      </c>
      <c r="E41" s="132" t="s">
        <v>344</v>
      </c>
      <c r="F41" s="133" t="s">
        <v>24</v>
      </c>
      <c r="G41" s="40" t="s">
        <v>2646</v>
      </c>
      <c r="H41" s="134" t="s">
        <v>2647</v>
      </c>
    </row>
    <row r="42" customHeight="1" spans="1:8">
      <c r="A42" s="136"/>
      <c r="B42" s="40" t="s">
        <v>2648</v>
      </c>
      <c r="C42" s="49" t="s">
        <v>1251</v>
      </c>
      <c r="D42" s="40" t="s">
        <v>1252</v>
      </c>
      <c r="E42" s="132" t="s">
        <v>344</v>
      </c>
      <c r="F42" s="133" t="s">
        <v>24</v>
      </c>
      <c r="G42" s="40" t="s">
        <v>2649</v>
      </c>
      <c r="H42" s="134" t="s">
        <v>2650</v>
      </c>
    </row>
    <row r="43" customHeight="1" spans="1:8">
      <c r="A43" s="136"/>
      <c r="B43" s="40" t="s">
        <v>2651</v>
      </c>
      <c r="C43" s="49" t="s">
        <v>2459</v>
      </c>
      <c r="D43" s="40" t="s">
        <v>2460</v>
      </c>
      <c r="E43" s="132" t="s">
        <v>344</v>
      </c>
      <c r="F43" s="133" t="s">
        <v>24</v>
      </c>
      <c r="G43" s="40" t="s">
        <v>419</v>
      </c>
      <c r="H43" s="134" t="s">
        <v>2461</v>
      </c>
    </row>
    <row r="44" customHeight="1" spans="1:8">
      <c r="A44" s="136"/>
      <c r="B44" s="40" t="s">
        <v>2652</v>
      </c>
      <c r="C44" s="49" t="s">
        <v>2575</v>
      </c>
      <c r="D44" s="40" t="s">
        <v>2576</v>
      </c>
      <c r="E44" s="132" t="s">
        <v>608</v>
      </c>
      <c r="F44" s="133" t="s">
        <v>24</v>
      </c>
      <c r="G44" s="40" t="s">
        <v>71</v>
      </c>
      <c r="H44" s="134" t="s">
        <v>2653</v>
      </c>
    </row>
    <row r="45" customHeight="1" spans="1:8">
      <c r="A45" s="136"/>
      <c r="B45" s="40" t="s">
        <v>2654</v>
      </c>
      <c r="C45" s="49" t="s">
        <v>2655</v>
      </c>
      <c r="D45" s="40" t="s">
        <v>2656</v>
      </c>
      <c r="E45" s="132" t="s">
        <v>608</v>
      </c>
      <c r="F45" s="133" t="s">
        <v>24</v>
      </c>
      <c r="G45" s="40" t="s">
        <v>71</v>
      </c>
      <c r="H45" s="134" t="s">
        <v>2657</v>
      </c>
    </row>
    <row r="46" customHeight="1" spans="1:8">
      <c r="A46" s="136"/>
      <c r="B46" s="40" t="s">
        <v>2658</v>
      </c>
      <c r="C46" s="49" t="s">
        <v>2659</v>
      </c>
      <c r="D46" s="40" t="s">
        <v>2660</v>
      </c>
      <c r="E46" s="132" t="s">
        <v>344</v>
      </c>
      <c r="F46" s="133" t="s">
        <v>24</v>
      </c>
      <c r="G46" s="40" t="s">
        <v>2603</v>
      </c>
      <c r="H46" s="134" t="s">
        <v>2661</v>
      </c>
    </row>
    <row r="47" customHeight="1" spans="1:8">
      <c r="A47" s="136"/>
      <c r="B47" s="40" t="s">
        <v>2662</v>
      </c>
      <c r="C47" s="49" t="s">
        <v>2601</v>
      </c>
      <c r="D47" s="40" t="s">
        <v>2663</v>
      </c>
      <c r="E47" s="132" t="s">
        <v>608</v>
      </c>
      <c r="F47" s="133" t="s">
        <v>24</v>
      </c>
      <c r="G47" s="40" t="s">
        <v>2603</v>
      </c>
      <c r="H47" s="134" t="s">
        <v>2664</v>
      </c>
    </row>
    <row r="48" customHeight="1" spans="1:8">
      <c r="A48" s="136"/>
      <c r="B48" s="40" t="s">
        <v>2665</v>
      </c>
      <c r="C48" s="49" t="s">
        <v>2606</v>
      </c>
      <c r="D48" s="40" t="s">
        <v>2607</v>
      </c>
      <c r="E48" s="132" t="s">
        <v>608</v>
      </c>
      <c r="F48" s="133" t="s">
        <v>24</v>
      </c>
      <c r="G48" s="40" t="s">
        <v>2608</v>
      </c>
      <c r="H48" s="134" t="s">
        <v>2609</v>
      </c>
    </row>
    <row r="49" customHeight="1" spans="1:8">
      <c r="A49" s="137"/>
      <c r="B49" s="40" t="s">
        <v>2666</v>
      </c>
      <c r="C49" s="49" t="s">
        <v>2667</v>
      </c>
      <c r="D49" s="40" t="s">
        <v>2668</v>
      </c>
      <c r="E49" s="132" t="s">
        <v>344</v>
      </c>
      <c r="F49" s="133" t="s">
        <v>24</v>
      </c>
      <c r="G49" s="40" t="s">
        <v>2603</v>
      </c>
      <c r="H49" s="134" t="s">
        <v>2668</v>
      </c>
    </row>
    <row r="50" customHeight="1" spans="1:8">
      <c r="A50" s="135" t="s">
        <v>2669</v>
      </c>
      <c r="B50" s="40" t="s">
        <v>2670</v>
      </c>
      <c r="C50" s="49" t="s">
        <v>969</v>
      </c>
      <c r="D50" s="40" t="s">
        <v>2569</v>
      </c>
      <c r="E50" s="132" t="s">
        <v>344</v>
      </c>
      <c r="F50" s="133" t="s">
        <v>24</v>
      </c>
      <c r="G50" s="40" t="s">
        <v>71</v>
      </c>
      <c r="H50" s="134" t="s">
        <v>2612</v>
      </c>
    </row>
    <row r="51" customHeight="1" spans="1:8">
      <c r="A51" s="136"/>
      <c r="B51" s="40" t="s">
        <v>2671</v>
      </c>
      <c r="C51" s="49" t="s">
        <v>903</v>
      </c>
      <c r="D51" s="40" t="s">
        <v>2672</v>
      </c>
      <c r="E51" s="132" t="s">
        <v>475</v>
      </c>
      <c r="F51" s="133" t="s">
        <v>24</v>
      </c>
      <c r="G51" s="40" t="s">
        <v>345</v>
      </c>
      <c r="H51" s="134" t="s">
        <v>2672</v>
      </c>
    </row>
    <row r="52" customHeight="1" spans="1:8">
      <c r="A52" s="136"/>
      <c r="B52" s="40" t="s">
        <v>2673</v>
      </c>
      <c r="C52" s="49" t="s">
        <v>2674</v>
      </c>
      <c r="D52" s="40" t="s">
        <v>2675</v>
      </c>
      <c r="E52" s="132" t="s">
        <v>475</v>
      </c>
      <c r="F52" s="133" t="s">
        <v>24</v>
      </c>
      <c r="G52" s="40" t="s">
        <v>1012</v>
      </c>
      <c r="H52" s="134" t="s">
        <v>2676</v>
      </c>
    </row>
    <row r="53" customHeight="1" spans="1:8">
      <c r="A53" s="136"/>
      <c r="B53" s="40" t="s">
        <v>2677</v>
      </c>
      <c r="C53" s="49" t="s">
        <v>2678</v>
      </c>
      <c r="D53" s="40" t="s">
        <v>2679</v>
      </c>
      <c r="E53" s="132" t="s">
        <v>475</v>
      </c>
      <c r="F53" s="133" t="s">
        <v>24</v>
      </c>
      <c r="G53" s="40" t="s">
        <v>1012</v>
      </c>
      <c r="H53" s="134" t="s">
        <v>2680</v>
      </c>
    </row>
    <row r="54" customHeight="1" spans="1:8">
      <c r="A54" s="136"/>
      <c r="B54" s="40" t="s">
        <v>2681</v>
      </c>
      <c r="C54" s="49" t="s">
        <v>2682</v>
      </c>
      <c r="D54" s="40" t="s">
        <v>2683</v>
      </c>
      <c r="E54" s="132" t="s">
        <v>475</v>
      </c>
      <c r="F54" s="133" t="s">
        <v>24</v>
      </c>
      <c r="G54" s="40" t="s">
        <v>1012</v>
      </c>
      <c r="H54" s="134" t="s">
        <v>2684</v>
      </c>
    </row>
    <row r="55" customHeight="1" spans="1:8">
      <c r="A55" s="136"/>
      <c r="B55" s="40" t="s">
        <v>2685</v>
      </c>
      <c r="C55" s="49" t="s">
        <v>2628</v>
      </c>
      <c r="D55" s="40" t="s">
        <v>2686</v>
      </c>
      <c r="E55" s="132" t="s">
        <v>344</v>
      </c>
      <c r="F55" s="133" t="s">
        <v>24</v>
      </c>
      <c r="G55" s="40" t="s">
        <v>2687</v>
      </c>
      <c r="H55" s="134" t="s">
        <v>2630</v>
      </c>
    </row>
    <row r="56" customHeight="1" spans="1:8">
      <c r="A56" s="136"/>
      <c r="B56" s="40" t="s">
        <v>2688</v>
      </c>
      <c r="C56" s="49" t="s">
        <v>2632</v>
      </c>
      <c r="D56" s="40" t="s">
        <v>2633</v>
      </c>
      <c r="E56" s="132" t="s">
        <v>344</v>
      </c>
      <c r="F56" s="133" t="s">
        <v>24</v>
      </c>
      <c r="G56" s="40" t="s">
        <v>2634</v>
      </c>
      <c r="H56" s="134" t="s">
        <v>2689</v>
      </c>
    </row>
    <row r="57" customHeight="1" spans="1:8">
      <c r="A57" s="136"/>
      <c r="B57" s="40" t="s">
        <v>2690</v>
      </c>
      <c r="C57" s="49" t="s">
        <v>2585</v>
      </c>
      <c r="D57" s="40" t="s">
        <v>2637</v>
      </c>
      <c r="E57" s="132" t="s">
        <v>344</v>
      </c>
      <c r="F57" s="133" t="s">
        <v>24</v>
      </c>
      <c r="G57" s="40" t="s">
        <v>2144</v>
      </c>
      <c r="H57" s="134" t="s">
        <v>2638</v>
      </c>
    </row>
    <row r="58" customHeight="1" spans="1:8">
      <c r="A58" s="136"/>
      <c r="B58" s="40" t="s">
        <v>2691</v>
      </c>
      <c r="C58" s="49" t="s">
        <v>2597</v>
      </c>
      <c r="D58" s="40" t="s">
        <v>2598</v>
      </c>
      <c r="E58" s="132" t="s">
        <v>344</v>
      </c>
      <c r="F58" s="133" t="s">
        <v>57</v>
      </c>
      <c r="G58" s="40" t="s">
        <v>2599</v>
      </c>
      <c r="H58" s="134" t="s">
        <v>2640</v>
      </c>
    </row>
    <row r="59" customHeight="1" spans="1:8">
      <c r="A59" s="136"/>
      <c r="B59" s="40" t="s">
        <v>2692</v>
      </c>
      <c r="C59" s="49" t="s">
        <v>2592</v>
      </c>
      <c r="D59" s="40" t="s">
        <v>2642</v>
      </c>
      <c r="E59" s="132" t="s">
        <v>344</v>
      </c>
      <c r="F59" s="133" t="s">
        <v>24</v>
      </c>
      <c r="G59" s="40" t="s">
        <v>2594</v>
      </c>
      <c r="H59" s="134" t="s">
        <v>2643</v>
      </c>
    </row>
    <row r="60" customHeight="1" spans="1:8">
      <c r="A60" s="136"/>
      <c r="B60" s="40" t="s">
        <v>2693</v>
      </c>
      <c r="C60" s="49" t="s">
        <v>2588</v>
      </c>
      <c r="D60" s="40" t="s">
        <v>2645</v>
      </c>
      <c r="E60" s="132" t="s">
        <v>344</v>
      </c>
      <c r="F60" s="133" t="s">
        <v>24</v>
      </c>
      <c r="G60" s="40" t="s">
        <v>2646</v>
      </c>
      <c r="H60" s="134" t="s">
        <v>2647</v>
      </c>
    </row>
    <row r="61" customHeight="1" spans="1:8">
      <c r="A61" s="136"/>
      <c r="B61" s="40" t="s">
        <v>2694</v>
      </c>
      <c r="C61" s="49" t="s">
        <v>1251</v>
      </c>
      <c r="D61" s="40" t="s">
        <v>1252</v>
      </c>
      <c r="E61" s="132" t="s">
        <v>344</v>
      </c>
      <c r="F61" s="133" t="s">
        <v>24</v>
      </c>
      <c r="G61" s="40" t="s">
        <v>2649</v>
      </c>
      <c r="H61" s="134" t="s">
        <v>2695</v>
      </c>
    </row>
    <row r="62" customHeight="1" spans="1:8">
      <c r="A62" s="136"/>
      <c r="B62" s="40" t="s">
        <v>2696</v>
      </c>
      <c r="C62" s="49" t="s">
        <v>2459</v>
      </c>
      <c r="D62" s="40" t="s">
        <v>2460</v>
      </c>
      <c r="E62" s="132" t="s">
        <v>344</v>
      </c>
      <c r="F62" s="133" t="s">
        <v>24</v>
      </c>
      <c r="G62" s="40" t="s">
        <v>419</v>
      </c>
      <c r="H62" s="134" t="s">
        <v>2461</v>
      </c>
    </row>
    <row r="63" customHeight="1" spans="1:8">
      <c r="A63" s="136"/>
      <c r="B63" s="40" t="s">
        <v>2697</v>
      </c>
      <c r="C63" s="49" t="s">
        <v>2575</v>
      </c>
      <c r="D63" s="40" t="s">
        <v>2576</v>
      </c>
      <c r="E63" s="132" t="s">
        <v>608</v>
      </c>
      <c r="F63" s="133" t="s">
        <v>24</v>
      </c>
      <c r="G63" s="40" t="s">
        <v>71</v>
      </c>
      <c r="H63" s="134" t="s">
        <v>2698</v>
      </c>
    </row>
    <row r="64" customHeight="1" spans="1:8">
      <c r="A64" s="136"/>
      <c r="B64" s="40" t="s">
        <v>2699</v>
      </c>
      <c r="C64" s="49" t="s">
        <v>2659</v>
      </c>
      <c r="D64" s="40" t="s">
        <v>2700</v>
      </c>
      <c r="E64" s="132" t="s">
        <v>344</v>
      </c>
      <c r="F64" s="133" t="s">
        <v>24</v>
      </c>
      <c r="G64" s="40" t="s">
        <v>2603</v>
      </c>
      <c r="H64" s="134" t="s">
        <v>2701</v>
      </c>
    </row>
    <row r="65" customHeight="1" spans="1:8">
      <c r="A65" s="136"/>
      <c r="B65" s="40" t="s">
        <v>2702</v>
      </c>
      <c r="C65" s="49" t="s">
        <v>2601</v>
      </c>
      <c r="D65" s="40" t="s">
        <v>2703</v>
      </c>
      <c r="E65" s="132" t="s">
        <v>608</v>
      </c>
      <c r="F65" s="133" t="s">
        <v>24</v>
      </c>
      <c r="G65" s="40" t="s">
        <v>2603</v>
      </c>
      <c r="H65" s="134" t="s">
        <v>2704</v>
      </c>
    </row>
    <row r="66" customHeight="1" spans="1:8">
      <c r="A66" s="136"/>
      <c r="B66" s="40" t="s">
        <v>2705</v>
      </c>
      <c r="C66" s="49" t="s">
        <v>2655</v>
      </c>
      <c r="D66" s="40" t="s">
        <v>2656</v>
      </c>
      <c r="E66" s="132" t="s">
        <v>608</v>
      </c>
      <c r="F66" s="133" t="s">
        <v>24</v>
      </c>
      <c r="G66" s="40" t="s">
        <v>71</v>
      </c>
      <c r="H66" s="134" t="s">
        <v>2657</v>
      </c>
    </row>
    <row r="67" customHeight="1" spans="1:8">
      <c r="A67" s="136"/>
      <c r="B67" s="40" t="s">
        <v>2706</v>
      </c>
      <c r="C67" s="49" t="s">
        <v>2606</v>
      </c>
      <c r="D67" s="40" t="s">
        <v>2607</v>
      </c>
      <c r="E67" s="132" t="s">
        <v>608</v>
      </c>
      <c r="F67" s="133" t="s">
        <v>24</v>
      </c>
      <c r="G67" s="40" t="s">
        <v>2608</v>
      </c>
      <c r="H67" s="134" t="s">
        <v>2609</v>
      </c>
    </row>
    <row r="68" customHeight="1" spans="1:8">
      <c r="A68" s="137"/>
      <c r="B68" s="40" t="s">
        <v>2707</v>
      </c>
      <c r="C68" s="49" t="s">
        <v>2667</v>
      </c>
      <c r="D68" s="40" t="s">
        <v>2708</v>
      </c>
      <c r="E68" s="132" t="s">
        <v>344</v>
      </c>
      <c r="F68" s="133" t="s">
        <v>24</v>
      </c>
      <c r="G68" s="40" t="s">
        <v>2603</v>
      </c>
      <c r="H68" s="134" t="s">
        <v>2708</v>
      </c>
    </row>
    <row r="69" customHeight="1" spans="1:8">
      <c r="A69" s="135" t="s">
        <v>2709</v>
      </c>
      <c r="B69" s="40" t="s">
        <v>2710</v>
      </c>
      <c r="C69" s="49" t="s">
        <v>969</v>
      </c>
      <c r="D69" s="40" t="s">
        <v>2569</v>
      </c>
      <c r="E69" s="132" t="s">
        <v>344</v>
      </c>
      <c r="F69" s="133" t="s">
        <v>24</v>
      </c>
      <c r="G69" s="40" t="s">
        <v>71</v>
      </c>
      <c r="H69" s="134" t="s">
        <v>2612</v>
      </c>
    </row>
    <row r="70" customHeight="1" spans="1:8">
      <c r="A70" s="136"/>
      <c r="B70" s="40" t="s">
        <v>2711</v>
      </c>
      <c r="C70" s="49" t="s">
        <v>903</v>
      </c>
      <c r="D70" s="40" t="s">
        <v>2571</v>
      </c>
      <c r="E70" s="132" t="s">
        <v>475</v>
      </c>
      <c r="F70" s="133" t="s">
        <v>24</v>
      </c>
      <c r="G70" s="40" t="s">
        <v>345</v>
      </c>
      <c r="H70" s="134" t="s">
        <v>2572</v>
      </c>
    </row>
    <row r="71" customHeight="1" spans="1:8">
      <c r="A71" s="136"/>
      <c r="B71" s="40" t="s">
        <v>2712</v>
      </c>
      <c r="C71" s="49" t="s">
        <v>2713</v>
      </c>
      <c r="D71" s="40" t="s">
        <v>2714</v>
      </c>
      <c r="E71" s="132" t="s">
        <v>475</v>
      </c>
      <c r="F71" s="133" t="s">
        <v>24</v>
      </c>
      <c r="G71" s="40" t="s">
        <v>2715</v>
      </c>
      <c r="H71" s="134" t="s">
        <v>2716</v>
      </c>
    </row>
    <row r="72" customHeight="1" spans="1:8">
      <c r="A72" s="136"/>
      <c r="B72" s="40" t="s">
        <v>2717</v>
      </c>
      <c r="C72" s="49" t="s">
        <v>2718</v>
      </c>
      <c r="D72" s="40" t="s">
        <v>2719</v>
      </c>
      <c r="E72" s="132" t="s">
        <v>475</v>
      </c>
      <c r="F72" s="133" t="s">
        <v>24</v>
      </c>
      <c r="G72" s="40" t="s">
        <v>2715</v>
      </c>
      <c r="H72" s="134" t="s">
        <v>2720</v>
      </c>
    </row>
    <row r="73" customHeight="1" spans="1:8">
      <c r="A73" s="136"/>
      <c r="B73" s="40" t="s">
        <v>2721</v>
      </c>
      <c r="C73" s="49" t="s">
        <v>2722</v>
      </c>
      <c r="D73" s="40" t="s">
        <v>2723</v>
      </c>
      <c r="E73" s="132" t="s">
        <v>475</v>
      </c>
      <c r="F73" s="133" t="s">
        <v>24</v>
      </c>
      <c r="G73" s="40" t="s">
        <v>2715</v>
      </c>
      <c r="H73" s="134" t="s">
        <v>2724</v>
      </c>
    </row>
    <row r="74" customHeight="1" spans="1:8">
      <c r="A74" s="136"/>
      <c r="B74" s="40" t="s">
        <v>2725</v>
      </c>
      <c r="C74" s="49" t="s">
        <v>2632</v>
      </c>
      <c r="D74" s="40" t="s">
        <v>2633</v>
      </c>
      <c r="E74" s="132" t="s">
        <v>344</v>
      </c>
      <c r="F74" s="133" t="s">
        <v>24</v>
      </c>
      <c r="G74" s="40" t="s">
        <v>2634</v>
      </c>
      <c r="H74" s="134" t="s">
        <v>2635</v>
      </c>
    </row>
    <row r="75" customHeight="1" spans="1:8">
      <c r="A75" s="136"/>
      <c r="B75" s="40" t="s">
        <v>2726</v>
      </c>
      <c r="C75" s="49" t="s">
        <v>2585</v>
      </c>
      <c r="D75" s="40" t="s">
        <v>2637</v>
      </c>
      <c r="E75" s="132" t="s">
        <v>344</v>
      </c>
      <c r="F75" s="133" t="s">
        <v>24</v>
      </c>
      <c r="G75" s="40" t="s">
        <v>2144</v>
      </c>
      <c r="H75" s="134" t="s">
        <v>2638</v>
      </c>
    </row>
    <row r="76" customHeight="1" spans="1:8">
      <c r="A76" s="136"/>
      <c r="B76" s="40" t="s">
        <v>2727</v>
      </c>
      <c r="C76" s="49" t="s">
        <v>2597</v>
      </c>
      <c r="D76" s="40" t="s">
        <v>2598</v>
      </c>
      <c r="E76" s="132" t="s">
        <v>344</v>
      </c>
      <c r="F76" s="133" t="s">
        <v>57</v>
      </c>
      <c r="G76" s="40" t="s">
        <v>2599</v>
      </c>
      <c r="H76" s="134" t="s">
        <v>2640</v>
      </c>
    </row>
    <row r="77" customHeight="1" spans="1:8">
      <c r="A77" s="136"/>
      <c r="B77" s="40" t="s">
        <v>2728</v>
      </c>
      <c r="C77" s="49" t="s">
        <v>2592</v>
      </c>
      <c r="D77" s="40" t="s">
        <v>2642</v>
      </c>
      <c r="E77" s="132" t="s">
        <v>344</v>
      </c>
      <c r="F77" s="133" t="s">
        <v>24</v>
      </c>
      <c r="G77" s="40" t="s">
        <v>2594</v>
      </c>
      <c r="H77" s="134" t="s">
        <v>2643</v>
      </c>
    </row>
    <row r="78" customHeight="1" spans="1:8">
      <c r="A78" s="136"/>
      <c r="B78" s="40" t="s">
        <v>2729</v>
      </c>
      <c r="C78" s="49" t="s">
        <v>2628</v>
      </c>
      <c r="D78" s="40" t="s">
        <v>2730</v>
      </c>
      <c r="E78" s="132" t="s">
        <v>344</v>
      </c>
      <c r="F78" s="133" t="s">
        <v>24</v>
      </c>
      <c r="G78" s="40" t="s">
        <v>71</v>
      </c>
      <c r="H78" s="134" t="s">
        <v>2630</v>
      </c>
    </row>
    <row r="79" customHeight="1" spans="1:8">
      <c r="A79" s="136"/>
      <c r="B79" s="40" t="s">
        <v>2731</v>
      </c>
      <c r="C79" s="49" t="s">
        <v>2588</v>
      </c>
      <c r="D79" s="40" t="s">
        <v>2645</v>
      </c>
      <c r="E79" s="132" t="s">
        <v>344</v>
      </c>
      <c r="F79" s="133" t="s">
        <v>24</v>
      </c>
      <c r="G79" s="40" t="s">
        <v>2646</v>
      </c>
      <c r="H79" s="134" t="s">
        <v>2732</v>
      </c>
    </row>
    <row r="80" customHeight="1" spans="1:8">
      <c r="A80" s="136"/>
      <c r="B80" s="40" t="s">
        <v>2733</v>
      </c>
      <c r="C80" s="49" t="s">
        <v>1251</v>
      </c>
      <c r="D80" s="40" t="s">
        <v>1252</v>
      </c>
      <c r="E80" s="132" t="s">
        <v>344</v>
      </c>
      <c r="F80" s="133" t="s">
        <v>24</v>
      </c>
      <c r="G80" s="40" t="s">
        <v>2649</v>
      </c>
      <c r="H80" s="134" t="s">
        <v>2695</v>
      </c>
    </row>
    <row r="81" customHeight="1" spans="1:8">
      <c r="A81" s="136"/>
      <c r="B81" s="40" t="s">
        <v>2734</v>
      </c>
      <c r="C81" s="49" t="s">
        <v>2578</v>
      </c>
      <c r="D81" s="40" t="s">
        <v>2579</v>
      </c>
      <c r="E81" s="132" t="s">
        <v>608</v>
      </c>
      <c r="F81" s="133" t="s">
        <v>24</v>
      </c>
      <c r="G81" s="40" t="s">
        <v>71</v>
      </c>
      <c r="H81" s="134" t="s">
        <v>2735</v>
      </c>
    </row>
    <row r="82" customHeight="1" spans="1:8">
      <c r="A82" s="136"/>
      <c r="B82" s="40" t="s">
        <v>2736</v>
      </c>
      <c r="C82" s="49" t="s">
        <v>2459</v>
      </c>
      <c r="D82" s="40" t="s">
        <v>2460</v>
      </c>
      <c r="E82" s="132" t="s">
        <v>344</v>
      </c>
      <c r="F82" s="133" t="s">
        <v>24</v>
      </c>
      <c r="G82" s="40" t="s">
        <v>419</v>
      </c>
      <c r="H82" s="134" t="s">
        <v>2461</v>
      </c>
    </row>
    <row r="83" customHeight="1" spans="1:8">
      <c r="A83" s="136"/>
      <c r="B83" s="40" t="s">
        <v>2737</v>
      </c>
      <c r="C83" s="49" t="s">
        <v>2575</v>
      </c>
      <c r="D83" s="40" t="s">
        <v>2576</v>
      </c>
      <c r="E83" s="132" t="s">
        <v>608</v>
      </c>
      <c r="F83" s="133" t="s">
        <v>24</v>
      </c>
      <c r="G83" s="40" t="s">
        <v>71</v>
      </c>
      <c r="H83" s="134" t="s">
        <v>2653</v>
      </c>
    </row>
    <row r="84" customHeight="1" spans="1:8">
      <c r="A84" s="136"/>
      <c r="B84" s="40" t="s">
        <v>2738</v>
      </c>
      <c r="C84" s="49" t="s">
        <v>2655</v>
      </c>
      <c r="D84" s="40" t="s">
        <v>2656</v>
      </c>
      <c r="E84" s="132" t="s">
        <v>608</v>
      </c>
      <c r="F84" s="133" t="s">
        <v>24</v>
      </c>
      <c r="G84" s="40" t="s">
        <v>71</v>
      </c>
      <c r="H84" s="134" t="s">
        <v>2657</v>
      </c>
    </row>
    <row r="85" customHeight="1" spans="1:8">
      <c r="A85" s="136"/>
      <c r="B85" s="40" t="s">
        <v>2739</v>
      </c>
      <c r="C85" s="49" t="s">
        <v>2659</v>
      </c>
      <c r="D85" s="40" t="s">
        <v>2740</v>
      </c>
      <c r="E85" s="132" t="s">
        <v>344</v>
      </c>
      <c r="F85" s="133" t="s">
        <v>24</v>
      </c>
      <c r="G85" s="40" t="s">
        <v>2603</v>
      </c>
      <c r="H85" s="134" t="s">
        <v>2741</v>
      </c>
    </row>
    <row r="86" customHeight="1" spans="1:8">
      <c r="A86" s="136"/>
      <c r="B86" s="40" t="s">
        <v>2742</v>
      </c>
      <c r="C86" s="49" t="s">
        <v>2601</v>
      </c>
      <c r="D86" s="40" t="s">
        <v>2743</v>
      </c>
      <c r="E86" s="132" t="s">
        <v>608</v>
      </c>
      <c r="F86" s="133" t="s">
        <v>24</v>
      </c>
      <c r="G86" s="40" t="s">
        <v>2603</v>
      </c>
      <c r="H86" s="134" t="s">
        <v>2744</v>
      </c>
    </row>
    <row r="87" customHeight="1" spans="1:8">
      <c r="A87" s="136"/>
      <c r="B87" s="40" t="s">
        <v>2745</v>
      </c>
      <c r="C87" s="49" t="s">
        <v>2606</v>
      </c>
      <c r="D87" s="40" t="s">
        <v>2607</v>
      </c>
      <c r="E87" s="132" t="s">
        <v>608</v>
      </c>
      <c r="F87" s="133" t="s">
        <v>24</v>
      </c>
      <c r="G87" s="40" t="s">
        <v>2608</v>
      </c>
      <c r="H87" s="134" t="s">
        <v>2609</v>
      </c>
    </row>
    <row r="88" customHeight="1" spans="1:8">
      <c r="A88" s="137"/>
      <c r="B88" s="40" t="s">
        <v>2746</v>
      </c>
      <c r="C88" s="49" t="s">
        <v>2667</v>
      </c>
      <c r="D88" s="40" t="s">
        <v>2747</v>
      </c>
      <c r="E88" s="132" t="s">
        <v>344</v>
      </c>
      <c r="F88" s="133" t="s">
        <v>24</v>
      </c>
      <c r="G88" s="40" t="s">
        <v>2603</v>
      </c>
      <c r="H88" s="134" t="s">
        <v>2747</v>
      </c>
    </row>
    <row r="89" customHeight="1" spans="1:8">
      <c r="A89" s="135" t="s">
        <v>2748</v>
      </c>
      <c r="B89" s="40" t="s">
        <v>2749</v>
      </c>
      <c r="C89" s="49" t="s">
        <v>969</v>
      </c>
      <c r="D89" s="40" t="s">
        <v>2569</v>
      </c>
      <c r="E89" s="132" t="s">
        <v>344</v>
      </c>
      <c r="F89" s="133" t="s">
        <v>24</v>
      </c>
      <c r="G89" s="40" t="s">
        <v>71</v>
      </c>
      <c r="H89" s="134" t="s">
        <v>2612</v>
      </c>
    </row>
    <row r="90" customHeight="1" spans="1:8">
      <c r="A90" s="136"/>
      <c r="B90" s="40" t="s">
        <v>2750</v>
      </c>
      <c r="C90" s="49" t="s">
        <v>903</v>
      </c>
      <c r="D90" s="40" t="s">
        <v>2571</v>
      </c>
      <c r="E90" s="132" t="s">
        <v>475</v>
      </c>
      <c r="F90" s="133" t="s">
        <v>24</v>
      </c>
      <c r="G90" s="40" t="s">
        <v>345</v>
      </c>
      <c r="H90" s="134" t="s">
        <v>2572</v>
      </c>
    </row>
    <row r="91" customHeight="1" spans="1:8">
      <c r="A91" s="136"/>
      <c r="B91" s="40" t="s">
        <v>2751</v>
      </c>
      <c r="C91" s="49" t="s">
        <v>2752</v>
      </c>
      <c r="D91" s="40" t="s">
        <v>2753</v>
      </c>
      <c r="E91" s="132" t="s">
        <v>475</v>
      </c>
      <c r="F91" s="133" t="s">
        <v>24</v>
      </c>
      <c r="G91" s="40" t="s">
        <v>1012</v>
      </c>
      <c r="H91" s="134" t="s">
        <v>2754</v>
      </c>
    </row>
    <row r="92" customHeight="1" spans="1:8">
      <c r="A92" s="136"/>
      <c r="B92" s="40" t="s">
        <v>2755</v>
      </c>
      <c r="C92" s="49" t="s">
        <v>2756</v>
      </c>
      <c r="D92" s="40" t="s">
        <v>2757</v>
      </c>
      <c r="E92" s="132" t="s">
        <v>475</v>
      </c>
      <c r="F92" s="133" t="s">
        <v>24</v>
      </c>
      <c r="G92" s="40" t="s">
        <v>1012</v>
      </c>
      <c r="H92" s="134" t="s">
        <v>2758</v>
      </c>
    </row>
    <row r="93" customHeight="1" spans="1:8">
      <c r="A93" s="136"/>
      <c r="B93" s="40" t="s">
        <v>2759</v>
      </c>
      <c r="C93" s="49" t="s">
        <v>2760</v>
      </c>
      <c r="D93" s="40" t="s">
        <v>2761</v>
      </c>
      <c r="E93" s="132" t="s">
        <v>475</v>
      </c>
      <c r="F93" s="133" t="s">
        <v>24</v>
      </c>
      <c r="G93" s="40" t="s">
        <v>1012</v>
      </c>
      <c r="H93" s="134" t="s">
        <v>2762</v>
      </c>
    </row>
    <row r="94" customHeight="1" spans="1:8">
      <c r="A94" s="136"/>
      <c r="B94" s="40" t="s">
        <v>2763</v>
      </c>
      <c r="C94" s="49" t="s">
        <v>2764</v>
      </c>
      <c r="D94" s="40" t="s">
        <v>2765</v>
      </c>
      <c r="E94" s="132" t="s">
        <v>344</v>
      </c>
      <c r="F94" s="133" t="s">
        <v>24</v>
      </c>
      <c r="G94" s="40" t="s">
        <v>71</v>
      </c>
      <c r="H94" s="134" t="s">
        <v>2630</v>
      </c>
    </row>
    <row r="95" customHeight="1" spans="1:8">
      <c r="A95" s="136"/>
      <c r="B95" s="40" t="s">
        <v>2766</v>
      </c>
      <c r="C95" s="49" t="s">
        <v>2632</v>
      </c>
      <c r="D95" s="40" t="s">
        <v>2633</v>
      </c>
      <c r="E95" s="132" t="s">
        <v>344</v>
      </c>
      <c r="F95" s="133" t="s">
        <v>24</v>
      </c>
      <c r="G95" s="40" t="s">
        <v>2767</v>
      </c>
      <c r="H95" s="134" t="s">
        <v>2768</v>
      </c>
    </row>
    <row r="96" customHeight="1" spans="1:8">
      <c r="A96" s="136"/>
      <c r="B96" s="40" t="s">
        <v>2769</v>
      </c>
      <c r="C96" s="49" t="s">
        <v>2585</v>
      </c>
      <c r="D96" s="40" t="s">
        <v>2637</v>
      </c>
      <c r="E96" s="132" t="s">
        <v>344</v>
      </c>
      <c r="F96" s="133" t="s">
        <v>24</v>
      </c>
      <c r="G96" s="40" t="s">
        <v>2144</v>
      </c>
      <c r="H96" s="134" t="s">
        <v>2638</v>
      </c>
    </row>
    <row r="97" customHeight="1" spans="1:8">
      <c r="A97" s="136"/>
      <c r="B97" s="40" t="s">
        <v>2770</v>
      </c>
      <c r="C97" s="49" t="s">
        <v>2597</v>
      </c>
      <c r="D97" s="40" t="s">
        <v>2598</v>
      </c>
      <c r="E97" s="132" t="s">
        <v>344</v>
      </c>
      <c r="F97" s="133" t="s">
        <v>57</v>
      </c>
      <c r="G97" s="40" t="s">
        <v>2599</v>
      </c>
      <c r="H97" s="134" t="s">
        <v>2640</v>
      </c>
    </row>
    <row r="98" customHeight="1" spans="1:8">
      <c r="A98" s="136"/>
      <c r="B98" s="40" t="s">
        <v>2771</v>
      </c>
      <c r="C98" s="49" t="s">
        <v>2592</v>
      </c>
      <c r="D98" s="40" t="s">
        <v>2642</v>
      </c>
      <c r="E98" s="132" t="s">
        <v>344</v>
      </c>
      <c r="F98" s="133" t="s">
        <v>24</v>
      </c>
      <c r="G98" s="40" t="s">
        <v>2594</v>
      </c>
      <c r="H98" s="134" t="s">
        <v>2643</v>
      </c>
    </row>
    <row r="99" customHeight="1" spans="1:8">
      <c r="A99" s="136"/>
      <c r="B99" s="40" t="s">
        <v>2772</v>
      </c>
      <c r="C99" s="49" t="s">
        <v>2588</v>
      </c>
      <c r="D99" s="40" t="s">
        <v>2645</v>
      </c>
      <c r="E99" s="132" t="s">
        <v>344</v>
      </c>
      <c r="F99" s="133" t="s">
        <v>24</v>
      </c>
      <c r="G99" s="40" t="s">
        <v>2646</v>
      </c>
      <c r="H99" s="134" t="s">
        <v>2773</v>
      </c>
    </row>
    <row r="100" customHeight="1" spans="1:8">
      <c r="A100" s="136"/>
      <c r="B100" s="40" t="s">
        <v>2774</v>
      </c>
      <c r="C100" s="49" t="s">
        <v>1251</v>
      </c>
      <c r="D100" s="40" t="s">
        <v>1252</v>
      </c>
      <c r="E100" s="132" t="s">
        <v>344</v>
      </c>
      <c r="F100" s="133" t="s">
        <v>24</v>
      </c>
      <c r="G100" s="40" t="s">
        <v>2649</v>
      </c>
      <c r="H100" s="134" t="s">
        <v>2695</v>
      </c>
    </row>
    <row r="101" customHeight="1" spans="1:8">
      <c r="A101" s="136"/>
      <c r="B101" s="40" t="s">
        <v>2775</v>
      </c>
      <c r="C101" s="49" t="s">
        <v>2578</v>
      </c>
      <c r="D101" s="40" t="s">
        <v>2579</v>
      </c>
      <c r="E101" s="132" t="s">
        <v>608</v>
      </c>
      <c r="F101" s="133" t="s">
        <v>24</v>
      </c>
      <c r="G101" s="40" t="s">
        <v>71</v>
      </c>
      <c r="H101" s="134" t="s">
        <v>2735</v>
      </c>
    </row>
    <row r="102" customHeight="1" spans="1:8">
      <c r="A102" s="136"/>
      <c r="B102" s="40" t="s">
        <v>2776</v>
      </c>
      <c r="C102" s="49" t="s">
        <v>2459</v>
      </c>
      <c r="D102" s="40" t="s">
        <v>2460</v>
      </c>
      <c r="E102" s="132" t="s">
        <v>344</v>
      </c>
      <c r="F102" s="133" t="s">
        <v>24</v>
      </c>
      <c r="G102" s="40" t="s">
        <v>419</v>
      </c>
      <c r="H102" s="134" t="s">
        <v>2461</v>
      </c>
    </row>
    <row r="103" customHeight="1" spans="1:8">
      <c r="A103" s="136"/>
      <c r="B103" s="40" t="s">
        <v>2777</v>
      </c>
      <c r="C103" s="49" t="s">
        <v>2575</v>
      </c>
      <c r="D103" s="40" t="s">
        <v>2576</v>
      </c>
      <c r="E103" s="132" t="s">
        <v>608</v>
      </c>
      <c r="F103" s="133" t="s">
        <v>24</v>
      </c>
      <c r="G103" s="40" t="s">
        <v>71</v>
      </c>
      <c r="H103" s="134" t="s">
        <v>2653</v>
      </c>
    </row>
    <row r="104" customHeight="1" spans="1:8">
      <c r="A104" s="136"/>
      <c r="B104" s="40" t="s">
        <v>2778</v>
      </c>
      <c r="C104" s="49" t="s">
        <v>2655</v>
      </c>
      <c r="D104" s="40" t="s">
        <v>2656</v>
      </c>
      <c r="E104" s="132" t="s">
        <v>608</v>
      </c>
      <c r="F104" s="133" t="s">
        <v>24</v>
      </c>
      <c r="G104" s="40" t="s">
        <v>71</v>
      </c>
      <c r="H104" s="134" t="s">
        <v>2657</v>
      </c>
    </row>
    <row r="105" customHeight="1" spans="1:8">
      <c r="A105" s="136"/>
      <c r="B105" s="40" t="s">
        <v>2779</v>
      </c>
      <c r="C105" s="49" t="s">
        <v>2606</v>
      </c>
      <c r="D105" s="40" t="s">
        <v>2607</v>
      </c>
      <c r="E105" s="132" t="s">
        <v>608</v>
      </c>
      <c r="F105" s="133" t="s">
        <v>24</v>
      </c>
      <c r="G105" s="40" t="s">
        <v>2608</v>
      </c>
      <c r="H105" s="134" t="s">
        <v>2609</v>
      </c>
    </row>
    <row r="106" customHeight="1" spans="1:8">
      <c r="A106" s="136"/>
      <c r="B106" s="40" t="s">
        <v>2780</v>
      </c>
      <c r="C106" s="49" t="s">
        <v>2659</v>
      </c>
      <c r="D106" s="40" t="s">
        <v>2781</v>
      </c>
      <c r="E106" s="132" t="s">
        <v>344</v>
      </c>
      <c r="F106" s="133" t="s">
        <v>24</v>
      </c>
      <c r="G106" s="40" t="s">
        <v>2603</v>
      </c>
      <c r="H106" s="134" t="s">
        <v>2782</v>
      </c>
    </row>
    <row r="107" customHeight="1" spans="1:8">
      <c r="A107" s="136"/>
      <c r="B107" s="40" t="s">
        <v>2783</v>
      </c>
      <c r="C107" s="49" t="s">
        <v>2601</v>
      </c>
      <c r="D107" s="40" t="s">
        <v>2784</v>
      </c>
      <c r="E107" s="132" t="s">
        <v>608</v>
      </c>
      <c r="F107" s="133" t="s">
        <v>24</v>
      </c>
      <c r="G107" s="40" t="s">
        <v>2603</v>
      </c>
      <c r="H107" s="134" t="s">
        <v>2785</v>
      </c>
    </row>
    <row r="108" customHeight="1" spans="1:8">
      <c r="A108" s="137"/>
      <c r="B108" s="40" t="s">
        <v>2786</v>
      </c>
      <c r="C108" s="49" t="s">
        <v>2667</v>
      </c>
      <c r="D108" s="40" t="s">
        <v>2787</v>
      </c>
      <c r="E108" s="132" t="s">
        <v>344</v>
      </c>
      <c r="F108" s="133" t="s">
        <v>24</v>
      </c>
      <c r="G108" s="40" t="s">
        <v>2603</v>
      </c>
      <c r="H108" s="134" t="s">
        <v>2787</v>
      </c>
    </row>
    <row r="109" customHeight="1" spans="1:8">
      <c r="A109" s="135" t="s">
        <v>2788</v>
      </c>
      <c r="B109" s="40" t="s">
        <v>2789</v>
      </c>
      <c r="C109" s="49" t="s">
        <v>969</v>
      </c>
      <c r="D109" s="40" t="s">
        <v>2569</v>
      </c>
      <c r="E109" s="132" t="s">
        <v>344</v>
      </c>
      <c r="F109" s="133" t="s">
        <v>24</v>
      </c>
      <c r="G109" s="40" t="s">
        <v>71</v>
      </c>
      <c r="H109" s="134" t="s">
        <v>2612</v>
      </c>
    </row>
    <row r="110" customHeight="1" spans="1:8">
      <c r="A110" s="136"/>
      <c r="B110" s="40" t="s">
        <v>2790</v>
      </c>
      <c r="C110" s="49" t="s">
        <v>903</v>
      </c>
      <c r="D110" s="40" t="s">
        <v>2571</v>
      </c>
      <c r="E110" s="132" t="s">
        <v>475</v>
      </c>
      <c r="F110" s="133" t="s">
        <v>24</v>
      </c>
      <c r="G110" s="40" t="s">
        <v>345</v>
      </c>
      <c r="H110" s="134" t="s">
        <v>2572</v>
      </c>
    </row>
    <row r="111" customHeight="1" spans="1:8">
      <c r="A111" s="136"/>
      <c r="B111" s="40" t="s">
        <v>2791</v>
      </c>
      <c r="C111" s="49" t="s">
        <v>2792</v>
      </c>
      <c r="D111" s="40" t="s">
        <v>2793</v>
      </c>
      <c r="E111" s="132" t="s">
        <v>475</v>
      </c>
      <c r="F111" s="133" t="s">
        <v>24</v>
      </c>
      <c r="G111" s="40" t="s">
        <v>1012</v>
      </c>
      <c r="H111" s="134" t="s">
        <v>2794</v>
      </c>
    </row>
    <row r="112" customHeight="1" spans="1:8">
      <c r="A112" s="136"/>
      <c r="B112" s="40" t="s">
        <v>2795</v>
      </c>
      <c r="C112" s="49" t="s">
        <v>2796</v>
      </c>
      <c r="D112" s="40" t="s">
        <v>2797</v>
      </c>
      <c r="E112" s="132" t="s">
        <v>475</v>
      </c>
      <c r="F112" s="133" t="s">
        <v>24</v>
      </c>
      <c r="G112" s="40" t="s">
        <v>1012</v>
      </c>
      <c r="H112" s="134" t="s">
        <v>2798</v>
      </c>
    </row>
    <row r="113" customHeight="1" spans="1:8">
      <c r="A113" s="136"/>
      <c r="B113" s="40" t="s">
        <v>2799</v>
      </c>
      <c r="C113" s="49" t="s">
        <v>2800</v>
      </c>
      <c r="D113" s="40" t="s">
        <v>2801</v>
      </c>
      <c r="E113" s="132" t="s">
        <v>475</v>
      </c>
      <c r="F113" s="133" t="s">
        <v>24</v>
      </c>
      <c r="G113" s="40" t="s">
        <v>1012</v>
      </c>
      <c r="H113" s="134" t="s">
        <v>2802</v>
      </c>
    </row>
    <row r="114" customHeight="1" spans="1:8">
      <c r="A114" s="136"/>
      <c r="B114" s="40" t="s">
        <v>2803</v>
      </c>
      <c r="C114" s="49" t="s">
        <v>2804</v>
      </c>
      <c r="D114" s="40" t="s">
        <v>2805</v>
      </c>
      <c r="E114" s="132" t="s">
        <v>475</v>
      </c>
      <c r="F114" s="133" t="s">
        <v>24</v>
      </c>
      <c r="G114" s="40" t="s">
        <v>1012</v>
      </c>
      <c r="H114" s="134" t="s">
        <v>2806</v>
      </c>
    </row>
    <row r="115" customHeight="1" spans="1:8">
      <c r="A115" s="136"/>
      <c r="B115" s="40" t="s">
        <v>2807</v>
      </c>
      <c r="C115" s="49" t="s">
        <v>2808</v>
      </c>
      <c r="D115" s="40" t="s">
        <v>2809</v>
      </c>
      <c r="E115" s="132" t="s">
        <v>475</v>
      </c>
      <c r="F115" s="133" t="s">
        <v>24</v>
      </c>
      <c r="G115" s="40" t="s">
        <v>1012</v>
      </c>
      <c r="H115" s="134" t="s">
        <v>2810</v>
      </c>
    </row>
    <row r="116" customHeight="1" spans="1:8">
      <c r="A116" s="136"/>
      <c r="B116" s="40" t="s">
        <v>2811</v>
      </c>
      <c r="C116" s="49" t="s">
        <v>2812</v>
      </c>
      <c r="D116" s="40" t="s">
        <v>2813</v>
      </c>
      <c r="E116" s="132" t="s">
        <v>475</v>
      </c>
      <c r="F116" s="133" t="s">
        <v>24</v>
      </c>
      <c r="G116" s="40" t="s">
        <v>1012</v>
      </c>
      <c r="H116" s="134" t="s">
        <v>2814</v>
      </c>
    </row>
    <row r="117" customHeight="1" spans="1:8">
      <c r="A117" s="136"/>
      <c r="B117" s="40" t="s">
        <v>2815</v>
      </c>
      <c r="C117" s="49" t="s">
        <v>2816</v>
      </c>
      <c r="D117" s="40" t="s">
        <v>2817</v>
      </c>
      <c r="E117" s="132" t="s">
        <v>344</v>
      </c>
      <c r="F117" s="133" t="s">
        <v>24</v>
      </c>
      <c r="G117" s="40" t="s">
        <v>71</v>
      </c>
      <c r="H117" s="134" t="s">
        <v>2630</v>
      </c>
    </row>
    <row r="118" customHeight="1" spans="1:8">
      <c r="A118" s="136"/>
      <c r="B118" s="40" t="s">
        <v>2818</v>
      </c>
      <c r="C118" s="49" t="s">
        <v>2632</v>
      </c>
      <c r="D118" s="40" t="s">
        <v>2633</v>
      </c>
      <c r="E118" s="132" t="s">
        <v>344</v>
      </c>
      <c r="F118" s="133" t="s">
        <v>24</v>
      </c>
      <c r="G118" s="40" t="s">
        <v>2634</v>
      </c>
      <c r="H118" s="134" t="s">
        <v>2635</v>
      </c>
    </row>
    <row r="119" customHeight="1" spans="1:8">
      <c r="A119" s="136"/>
      <c r="B119" s="40" t="s">
        <v>2819</v>
      </c>
      <c r="C119" s="49" t="s">
        <v>2585</v>
      </c>
      <c r="D119" s="40" t="s">
        <v>2637</v>
      </c>
      <c r="E119" s="132" t="s">
        <v>344</v>
      </c>
      <c r="F119" s="133" t="s">
        <v>24</v>
      </c>
      <c r="G119" s="40" t="s">
        <v>2144</v>
      </c>
      <c r="H119" s="134" t="s">
        <v>2638</v>
      </c>
    </row>
    <row r="120" customHeight="1" spans="1:8">
      <c r="A120" s="136"/>
      <c r="B120" s="40" t="s">
        <v>2820</v>
      </c>
      <c r="C120" s="49" t="s">
        <v>2597</v>
      </c>
      <c r="D120" s="40" t="s">
        <v>2598</v>
      </c>
      <c r="E120" s="132" t="s">
        <v>344</v>
      </c>
      <c r="F120" s="133" t="s">
        <v>57</v>
      </c>
      <c r="G120" s="40" t="s">
        <v>2599</v>
      </c>
      <c r="H120" s="134" t="s">
        <v>2640</v>
      </c>
    </row>
    <row r="121" customHeight="1" spans="1:8">
      <c r="A121" s="136"/>
      <c r="B121" s="40" t="s">
        <v>2821</v>
      </c>
      <c r="C121" s="49" t="s">
        <v>2592</v>
      </c>
      <c r="D121" s="40" t="s">
        <v>2642</v>
      </c>
      <c r="E121" s="132" t="s">
        <v>344</v>
      </c>
      <c r="F121" s="133" t="s">
        <v>24</v>
      </c>
      <c r="G121" s="40" t="s">
        <v>2594</v>
      </c>
      <c r="H121" s="134" t="s">
        <v>2643</v>
      </c>
    </row>
    <row r="122" customHeight="1" spans="1:8">
      <c r="A122" s="136"/>
      <c r="B122" s="40" t="s">
        <v>2822</v>
      </c>
      <c r="C122" s="49" t="s">
        <v>2588</v>
      </c>
      <c r="D122" s="40" t="s">
        <v>2645</v>
      </c>
      <c r="E122" s="132" t="s">
        <v>344</v>
      </c>
      <c r="F122" s="133" t="s">
        <v>24</v>
      </c>
      <c r="G122" s="40" t="s">
        <v>2646</v>
      </c>
      <c r="H122" s="134" t="s">
        <v>2773</v>
      </c>
    </row>
    <row r="123" customHeight="1" spans="1:8">
      <c r="A123" s="136"/>
      <c r="B123" s="40" t="s">
        <v>2823</v>
      </c>
      <c r="C123" s="49" t="s">
        <v>1251</v>
      </c>
      <c r="D123" s="40" t="s">
        <v>1252</v>
      </c>
      <c r="E123" s="132" t="s">
        <v>344</v>
      </c>
      <c r="F123" s="133" t="s">
        <v>24</v>
      </c>
      <c r="G123" s="40" t="s">
        <v>2649</v>
      </c>
      <c r="H123" s="134" t="s">
        <v>2695</v>
      </c>
    </row>
    <row r="124" customHeight="1" spans="1:8">
      <c r="A124" s="136"/>
      <c r="B124" s="40" t="s">
        <v>2824</v>
      </c>
      <c r="C124" s="49" t="s">
        <v>2578</v>
      </c>
      <c r="D124" s="40" t="s">
        <v>2579</v>
      </c>
      <c r="E124" s="132" t="s">
        <v>608</v>
      </c>
      <c r="F124" s="133" t="s">
        <v>24</v>
      </c>
      <c r="G124" s="40" t="s">
        <v>71</v>
      </c>
      <c r="H124" s="134" t="s">
        <v>2735</v>
      </c>
    </row>
    <row r="125" customHeight="1" spans="1:8">
      <c r="A125" s="136"/>
      <c r="B125" s="40" t="s">
        <v>2825</v>
      </c>
      <c r="C125" s="49" t="s">
        <v>2459</v>
      </c>
      <c r="D125" s="40" t="s">
        <v>2460</v>
      </c>
      <c r="E125" s="132" t="s">
        <v>344</v>
      </c>
      <c r="F125" s="133" t="s">
        <v>24</v>
      </c>
      <c r="G125" s="40" t="s">
        <v>419</v>
      </c>
      <c r="H125" s="134" t="s">
        <v>2461</v>
      </c>
    </row>
    <row r="126" customHeight="1" spans="1:8">
      <c r="A126" s="136"/>
      <c r="B126" s="40" t="s">
        <v>2826</v>
      </c>
      <c r="C126" s="49" t="s">
        <v>2575</v>
      </c>
      <c r="D126" s="40" t="s">
        <v>2576</v>
      </c>
      <c r="E126" s="132" t="s">
        <v>608</v>
      </c>
      <c r="F126" s="133" t="s">
        <v>24</v>
      </c>
      <c r="G126" s="40" t="s">
        <v>71</v>
      </c>
      <c r="H126" s="134" t="s">
        <v>2653</v>
      </c>
    </row>
    <row r="127" customHeight="1" spans="1:8">
      <c r="A127" s="136"/>
      <c r="B127" s="40" t="s">
        <v>2827</v>
      </c>
      <c r="C127" s="49" t="s">
        <v>2655</v>
      </c>
      <c r="D127" s="40" t="s">
        <v>2656</v>
      </c>
      <c r="E127" s="132" t="s">
        <v>608</v>
      </c>
      <c r="F127" s="133" t="s">
        <v>24</v>
      </c>
      <c r="G127" s="40" t="s">
        <v>71</v>
      </c>
      <c r="H127" s="134" t="s">
        <v>2657</v>
      </c>
    </row>
    <row r="128" customHeight="1" spans="1:8">
      <c r="A128" s="136"/>
      <c r="B128" s="40" t="s">
        <v>2828</v>
      </c>
      <c r="C128" s="49" t="s">
        <v>2659</v>
      </c>
      <c r="D128" s="40" t="s">
        <v>2829</v>
      </c>
      <c r="E128" s="132" t="s">
        <v>344</v>
      </c>
      <c r="F128" s="133" t="s">
        <v>24</v>
      </c>
      <c r="G128" s="40" t="s">
        <v>2603</v>
      </c>
      <c r="H128" s="134" t="s">
        <v>2830</v>
      </c>
    </row>
    <row r="129" customHeight="1" spans="1:8">
      <c r="A129" s="136"/>
      <c r="B129" s="40" t="s">
        <v>2831</v>
      </c>
      <c r="C129" s="49" t="s">
        <v>2601</v>
      </c>
      <c r="D129" s="40" t="s">
        <v>2832</v>
      </c>
      <c r="E129" s="132" t="s">
        <v>608</v>
      </c>
      <c r="F129" s="133" t="s">
        <v>24</v>
      </c>
      <c r="G129" s="40" t="s">
        <v>2603</v>
      </c>
      <c r="H129" s="134" t="s">
        <v>2833</v>
      </c>
    </row>
    <row r="130" customHeight="1" spans="1:8">
      <c r="A130" s="136"/>
      <c r="B130" s="40" t="s">
        <v>2834</v>
      </c>
      <c r="C130" s="49" t="s">
        <v>2606</v>
      </c>
      <c r="D130" s="40" t="s">
        <v>2607</v>
      </c>
      <c r="E130" s="132" t="s">
        <v>344</v>
      </c>
      <c r="F130" s="133" t="s">
        <v>24</v>
      </c>
      <c r="G130" s="40" t="s">
        <v>2608</v>
      </c>
      <c r="H130" s="134" t="s">
        <v>2609</v>
      </c>
    </row>
    <row r="131" customHeight="1" spans="1:8">
      <c r="A131" s="137"/>
      <c r="B131" s="40" t="s">
        <v>2835</v>
      </c>
      <c r="C131" s="49" t="s">
        <v>2667</v>
      </c>
      <c r="D131" s="40" t="s">
        <v>2836</v>
      </c>
      <c r="E131" s="132" t="s">
        <v>344</v>
      </c>
      <c r="F131" s="133" t="s">
        <v>24</v>
      </c>
      <c r="G131" s="40" t="s">
        <v>2603</v>
      </c>
      <c r="H131" s="134" t="s">
        <v>2836</v>
      </c>
    </row>
    <row r="132" customHeight="1" spans="1:8">
      <c r="A132" s="135" t="s">
        <v>2837</v>
      </c>
      <c r="B132" s="40" t="s">
        <v>2838</v>
      </c>
      <c r="C132" s="49" t="s">
        <v>969</v>
      </c>
      <c r="D132" s="40" t="s">
        <v>2569</v>
      </c>
      <c r="E132" s="132" t="s">
        <v>344</v>
      </c>
      <c r="F132" s="133" t="s">
        <v>24</v>
      </c>
      <c r="G132" s="40" t="s">
        <v>71</v>
      </c>
      <c r="H132" s="134" t="s">
        <v>2612</v>
      </c>
    </row>
    <row r="133" customHeight="1" spans="1:8">
      <c r="A133" s="136"/>
      <c r="B133" s="40" t="s">
        <v>2839</v>
      </c>
      <c r="C133" s="49" t="s">
        <v>903</v>
      </c>
      <c r="D133" s="40" t="s">
        <v>2571</v>
      </c>
      <c r="E133" s="132" t="s">
        <v>475</v>
      </c>
      <c r="F133" s="133" t="s">
        <v>24</v>
      </c>
      <c r="G133" s="40" t="s">
        <v>345</v>
      </c>
      <c r="H133" s="134" t="s">
        <v>2572</v>
      </c>
    </row>
    <row r="134" customHeight="1" spans="1:8">
      <c r="A134" s="136"/>
      <c r="B134" s="40" t="s">
        <v>2840</v>
      </c>
      <c r="C134" s="49" t="s">
        <v>2841</v>
      </c>
      <c r="D134" s="40" t="s">
        <v>2842</v>
      </c>
      <c r="E134" s="132" t="s">
        <v>475</v>
      </c>
      <c r="F134" s="133" t="s">
        <v>24</v>
      </c>
      <c r="G134" s="40" t="s">
        <v>2843</v>
      </c>
      <c r="H134" s="134" t="s">
        <v>2844</v>
      </c>
    </row>
    <row r="135" customHeight="1" spans="1:8">
      <c r="A135" s="136"/>
      <c r="B135" s="40" t="s">
        <v>2845</v>
      </c>
      <c r="C135" s="49" t="s">
        <v>2846</v>
      </c>
      <c r="D135" s="40" t="s">
        <v>2847</v>
      </c>
      <c r="E135" s="132" t="s">
        <v>475</v>
      </c>
      <c r="F135" s="133" t="s">
        <v>24</v>
      </c>
      <c r="G135" s="40" t="s">
        <v>2767</v>
      </c>
      <c r="H135" s="134" t="s">
        <v>2848</v>
      </c>
    </row>
    <row r="136" customHeight="1" spans="1:8">
      <c r="A136" s="136"/>
      <c r="B136" s="40" t="s">
        <v>2849</v>
      </c>
      <c r="C136" s="49" t="s">
        <v>2850</v>
      </c>
      <c r="D136" s="40" t="s">
        <v>2851</v>
      </c>
      <c r="E136" s="132" t="s">
        <v>475</v>
      </c>
      <c r="F136" s="133" t="s">
        <v>24</v>
      </c>
      <c r="G136" s="40" t="s">
        <v>1012</v>
      </c>
      <c r="H136" s="134" t="s">
        <v>2852</v>
      </c>
    </row>
    <row r="137" customHeight="1" spans="1:8">
      <c r="A137" s="136"/>
      <c r="B137" s="40" t="s">
        <v>2853</v>
      </c>
      <c r="C137" s="49" t="s">
        <v>2632</v>
      </c>
      <c r="D137" s="40" t="s">
        <v>2633</v>
      </c>
      <c r="E137" s="132" t="s">
        <v>344</v>
      </c>
      <c r="F137" s="133" t="s">
        <v>24</v>
      </c>
      <c r="G137" s="40" t="s">
        <v>2634</v>
      </c>
      <c r="H137" s="134" t="s">
        <v>2854</v>
      </c>
    </row>
    <row r="138" customHeight="1" spans="1:8">
      <c r="A138" s="136"/>
      <c r="B138" s="40" t="s">
        <v>2855</v>
      </c>
      <c r="C138" s="49" t="s">
        <v>2585</v>
      </c>
      <c r="D138" s="40" t="s">
        <v>2637</v>
      </c>
      <c r="E138" s="132" t="s">
        <v>344</v>
      </c>
      <c r="F138" s="133" t="s">
        <v>24</v>
      </c>
      <c r="G138" s="40" t="s">
        <v>2144</v>
      </c>
      <c r="H138" s="134" t="s">
        <v>2856</v>
      </c>
    </row>
    <row r="139" customHeight="1" spans="1:8">
      <c r="A139" s="136"/>
      <c r="B139" s="40" t="s">
        <v>2857</v>
      </c>
      <c r="C139" s="49" t="s">
        <v>2597</v>
      </c>
      <c r="D139" s="40" t="s">
        <v>2598</v>
      </c>
      <c r="E139" s="132" t="s">
        <v>344</v>
      </c>
      <c r="F139" s="133" t="s">
        <v>57</v>
      </c>
      <c r="G139" s="40" t="s">
        <v>2599</v>
      </c>
      <c r="H139" s="134" t="s">
        <v>2640</v>
      </c>
    </row>
    <row r="140" customHeight="1" spans="1:8">
      <c r="A140" s="136"/>
      <c r="B140" s="40" t="s">
        <v>2858</v>
      </c>
      <c r="C140" s="49" t="s">
        <v>2592</v>
      </c>
      <c r="D140" s="40" t="s">
        <v>2642</v>
      </c>
      <c r="E140" s="132" t="s">
        <v>344</v>
      </c>
      <c r="F140" s="133" t="s">
        <v>24</v>
      </c>
      <c r="G140" s="40" t="s">
        <v>2594</v>
      </c>
      <c r="H140" s="134" t="s">
        <v>2643</v>
      </c>
    </row>
    <row r="141" customHeight="1" spans="1:8">
      <c r="A141" s="136"/>
      <c r="B141" s="40" t="s">
        <v>2859</v>
      </c>
      <c r="C141" s="49" t="s">
        <v>2588</v>
      </c>
      <c r="D141" s="40" t="s">
        <v>2645</v>
      </c>
      <c r="E141" s="132" t="s">
        <v>344</v>
      </c>
      <c r="F141" s="133" t="s">
        <v>24</v>
      </c>
      <c r="G141" s="40" t="s">
        <v>2646</v>
      </c>
      <c r="H141" s="134" t="s">
        <v>2860</v>
      </c>
    </row>
    <row r="142" customHeight="1" spans="1:8">
      <c r="A142" s="136"/>
      <c r="B142" s="40" t="s">
        <v>2861</v>
      </c>
      <c r="C142" s="49" t="s">
        <v>1251</v>
      </c>
      <c r="D142" s="40" t="s">
        <v>1252</v>
      </c>
      <c r="E142" s="132" t="s">
        <v>344</v>
      </c>
      <c r="F142" s="133" t="s">
        <v>24</v>
      </c>
      <c r="G142" s="40" t="s">
        <v>2649</v>
      </c>
      <c r="H142" s="134" t="s">
        <v>2862</v>
      </c>
    </row>
    <row r="143" customHeight="1" spans="1:8">
      <c r="A143" s="136"/>
      <c r="B143" s="40" t="s">
        <v>2863</v>
      </c>
      <c r="C143" s="49" t="s">
        <v>2628</v>
      </c>
      <c r="D143" s="40" t="s">
        <v>2864</v>
      </c>
      <c r="E143" s="132" t="s">
        <v>344</v>
      </c>
      <c r="F143" s="133" t="s">
        <v>24</v>
      </c>
      <c r="G143" s="40" t="s">
        <v>71</v>
      </c>
      <c r="H143" s="134" t="s">
        <v>2630</v>
      </c>
    </row>
    <row r="144" customHeight="1" spans="1:8">
      <c r="A144" s="136"/>
      <c r="B144" s="40" t="s">
        <v>2865</v>
      </c>
      <c r="C144" s="49" t="s">
        <v>1554</v>
      </c>
      <c r="D144" s="40" t="s">
        <v>2866</v>
      </c>
      <c r="E144" s="132" t="s">
        <v>344</v>
      </c>
      <c r="F144" s="133" t="s">
        <v>24</v>
      </c>
      <c r="G144" s="40" t="s">
        <v>2603</v>
      </c>
      <c r="H144" s="134" t="s">
        <v>2867</v>
      </c>
    </row>
    <row r="145" customHeight="1" spans="1:8">
      <c r="A145" s="137"/>
      <c r="B145" s="40" t="s">
        <v>2868</v>
      </c>
      <c r="C145" s="49" t="s">
        <v>2667</v>
      </c>
      <c r="D145" s="40" t="s">
        <v>2869</v>
      </c>
      <c r="E145" s="132" t="s">
        <v>344</v>
      </c>
      <c r="F145" s="133" t="s">
        <v>24</v>
      </c>
      <c r="G145" s="40" t="s">
        <v>2603</v>
      </c>
      <c r="H145" s="134" t="s">
        <v>2869</v>
      </c>
    </row>
    <row r="146" customHeight="1" spans="1:8">
      <c r="A146" s="135" t="s">
        <v>2870</v>
      </c>
      <c r="B146" s="40" t="s">
        <v>2871</v>
      </c>
      <c r="C146" s="49" t="s">
        <v>969</v>
      </c>
      <c r="D146" s="40" t="s">
        <v>2569</v>
      </c>
      <c r="E146" s="132" t="s">
        <v>344</v>
      </c>
      <c r="F146" s="133" t="s">
        <v>24</v>
      </c>
      <c r="G146" s="40" t="s">
        <v>71</v>
      </c>
      <c r="H146" s="134" t="s">
        <v>2612</v>
      </c>
    </row>
    <row r="147" customHeight="1" spans="1:8">
      <c r="A147" s="136"/>
      <c r="B147" s="40" t="s">
        <v>2872</v>
      </c>
      <c r="C147" s="49" t="s">
        <v>903</v>
      </c>
      <c r="D147" s="40" t="s">
        <v>2571</v>
      </c>
      <c r="E147" s="132" t="s">
        <v>475</v>
      </c>
      <c r="F147" s="133" t="s">
        <v>24</v>
      </c>
      <c r="G147" s="40" t="s">
        <v>345</v>
      </c>
      <c r="H147" s="134" t="s">
        <v>2572</v>
      </c>
    </row>
    <row r="148" customHeight="1" spans="1:8">
      <c r="A148" s="136"/>
      <c r="B148" s="40" t="s">
        <v>2873</v>
      </c>
      <c r="C148" s="49" t="s">
        <v>2874</v>
      </c>
      <c r="D148" s="40" t="s">
        <v>2875</v>
      </c>
      <c r="E148" s="132" t="s">
        <v>475</v>
      </c>
      <c r="F148" s="133" t="s">
        <v>24</v>
      </c>
      <c r="G148" s="40" t="s">
        <v>1012</v>
      </c>
      <c r="H148" s="134" t="s">
        <v>2876</v>
      </c>
    </row>
    <row r="149" customHeight="1" spans="1:8">
      <c r="A149" s="136"/>
      <c r="B149" s="40" t="s">
        <v>2877</v>
      </c>
      <c r="C149" s="49" t="s">
        <v>2878</v>
      </c>
      <c r="D149" s="40" t="s">
        <v>2879</v>
      </c>
      <c r="E149" s="132" t="s">
        <v>475</v>
      </c>
      <c r="F149" s="133" t="s">
        <v>24</v>
      </c>
      <c r="G149" s="40" t="s">
        <v>1012</v>
      </c>
      <c r="H149" s="134" t="s">
        <v>2880</v>
      </c>
    </row>
    <row r="150" customHeight="1" spans="1:8">
      <c r="A150" s="136"/>
      <c r="B150" s="40" t="s">
        <v>2881</v>
      </c>
      <c r="C150" s="49" t="s">
        <v>2882</v>
      </c>
      <c r="D150" s="40" t="s">
        <v>2883</v>
      </c>
      <c r="E150" s="132" t="s">
        <v>475</v>
      </c>
      <c r="F150" s="133" t="s">
        <v>24</v>
      </c>
      <c r="G150" s="40" t="s">
        <v>1012</v>
      </c>
      <c r="H150" s="134" t="s">
        <v>2884</v>
      </c>
    </row>
    <row r="151" customHeight="1" spans="1:8">
      <c r="A151" s="136"/>
      <c r="B151" s="40" t="s">
        <v>2885</v>
      </c>
      <c r="C151" s="49" t="s">
        <v>2886</v>
      </c>
      <c r="D151" s="40" t="s">
        <v>2887</v>
      </c>
      <c r="E151" s="132" t="s">
        <v>475</v>
      </c>
      <c r="F151" s="133" t="s">
        <v>24</v>
      </c>
      <c r="G151" s="40" t="s">
        <v>2843</v>
      </c>
      <c r="H151" s="134" t="s">
        <v>2888</v>
      </c>
    </row>
    <row r="152" customHeight="1" spans="1:8">
      <c r="A152" s="136"/>
      <c r="B152" s="40" t="s">
        <v>2889</v>
      </c>
      <c r="C152" s="49" t="s">
        <v>2890</v>
      </c>
      <c r="D152" s="40" t="s">
        <v>2891</v>
      </c>
      <c r="E152" s="132" t="s">
        <v>475</v>
      </c>
      <c r="F152" s="133" t="s">
        <v>24</v>
      </c>
      <c r="G152" s="40" t="s">
        <v>2767</v>
      </c>
      <c r="H152" s="134"/>
    </row>
    <row r="153" customHeight="1" spans="1:8">
      <c r="A153" s="136"/>
      <c r="B153" s="40" t="s">
        <v>2892</v>
      </c>
      <c r="C153" s="49" t="s">
        <v>2893</v>
      </c>
      <c r="D153" s="40" t="s">
        <v>2894</v>
      </c>
      <c r="E153" s="132" t="s">
        <v>475</v>
      </c>
      <c r="F153" s="133" t="s">
        <v>24</v>
      </c>
      <c r="G153" s="40" t="s">
        <v>1012</v>
      </c>
      <c r="H153" s="134"/>
    </row>
    <row r="154" customHeight="1" spans="1:8">
      <c r="A154" s="136"/>
      <c r="B154" s="40" t="s">
        <v>2895</v>
      </c>
      <c r="C154" s="49" t="s">
        <v>2632</v>
      </c>
      <c r="D154" s="40" t="s">
        <v>2633</v>
      </c>
      <c r="E154" s="132" t="s">
        <v>344</v>
      </c>
      <c r="F154" s="133" t="s">
        <v>24</v>
      </c>
      <c r="G154" s="40" t="s">
        <v>2634</v>
      </c>
      <c r="H154" s="134" t="s">
        <v>2854</v>
      </c>
    </row>
    <row r="155" customHeight="1" spans="1:8">
      <c r="A155" s="136"/>
      <c r="B155" s="40" t="s">
        <v>2896</v>
      </c>
      <c r="C155" s="49" t="s">
        <v>2585</v>
      </c>
      <c r="D155" s="40" t="s">
        <v>2637</v>
      </c>
      <c r="E155" s="132" t="s">
        <v>344</v>
      </c>
      <c r="F155" s="133" t="s">
        <v>24</v>
      </c>
      <c r="G155" s="40" t="s">
        <v>2144</v>
      </c>
      <c r="H155" s="134" t="s">
        <v>2856</v>
      </c>
    </row>
    <row r="156" customHeight="1" spans="1:8">
      <c r="A156" s="136"/>
      <c r="B156" s="40" t="s">
        <v>2897</v>
      </c>
      <c r="C156" s="49" t="s">
        <v>2597</v>
      </c>
      <c r="D156" s="40" t="s">
        <v>2598</v>
      </c>
      <c r="E156" s="132" t="s">
        <v>344</v>
      </c>
      <c r="F156" s="133" t="s">
        <v>57</v>
      </c>
      <c r="G156" s="40" t="s">
        <v>2599</v>
      </c>
      <c r="H156" s="134" t="s">
        <v>2640</v>
      </c>
    </row>
    <row r="157" customHeight="1" spans="1:8">
      <c r="A157" s="136"/>
      <c r="B157" s="40" t="s">
        <v>2898</v>
      </c>
      <c r="C157" s="49" t="s">
        <v>2592</v>
      </c>
      <c r="D157" s="40" t="s">
        <v>2642</v>
      </c>
      <c r="E157" s="132" t="s">
        <v>344</v>
      </c>
      <c r="F157" s="133" t="s">
        <v>24</v>
      </c>
      <c r="G157" s="40" t="s">
        <v>2594</v>
      </c>
      <c r="H157" s="134" t="s">
        <v>2643</v>
      </c>
    </row>
    <row r="158" customHeight="1" spans="1:8">
      <c r="A158" s="136"/>
      <c r="B158" s="40" t="s">
        <v>2899</v>
      </c>
      <c r="C158" s="49" t="s">
        <v>2588</v>
      </c>
      <c r="D158" s="40" t="s">
        <v>2645</v>
      </c>
      <c r="E158" s="132" t="s">
        <v>344</v>
      </c>
      <c r="F158" s="133" t="s">
        <v>24</v>
      </c>
      <c r="G158" s="40" t="s">
        <v>2646</v>
      </c>
      <c r="H158" s="134" t="s">
        <v>2900</v>
      </c>
    </row>
    <row r="159" customHeight="1" spans="1:8">
      <c r="A159" s="136"/>
      <c r="B159" s="40" t="s">
        <v>2901</v>
      </c>
      <c r="C159" s="49" t="s">
        <v>1251</v>
      </c>
      <c r="D159" s="40" t="s">
        <v>1252</v>
      </c>
      <c r="E159" s="132" t="s">
        <v>344</v>
      </c>
      <c r="F159" s="133" t="s">
        <v>24</v>
      </c>
      <c r="G159" s="40" t="s">
        <v>2649</v>
      </c>
      <c r="H159" s="134" t="s">
        <v>2862</v>
      </c>
    </row>
    <row r="160" customHeight="1" spans="1:8">
      <c r="A160" s="136"/>
      <c r="B160" s="40" t="s">
        <v>2902</v>
      </c>
      <c r="C160" s="49" t="s">
        <v>2628</v>
      </c>
      <c r="D160" s="40" t="s">
        <v>2903</v>
      </c>
      <c r="E160" s="132" t="s">
        <v>344</v>
      </c>
      <c r="F160" s="133" t="s">
        <v>24</v>
      </c>
      <c r="G160" s="40" t="s">
        <v>71</v>
      </c>
      <c r="H160" s="134" t="s">
        <v>2630</v>
      </c>
    </row>
    <row r="161" customHeight="1" spans="1:8">
      <c r="A161" s="136"/>
      <c r="B161" s="40" t="s">
        <v>2904</v>
      </c>
      <c r="C161" s="49" t="s">
        <v>1554</v>
      </c>
      <c r="D161" s="40" t="s">
        <v>2905</v>
      </c>
      <c r="E161" s="132" t="s">
        <v>344</v>
      </c>
      <c r="F161" s="133" t="s">
        <v>24</v>
      </c>
      <c r="G161" s="40" t="s">
        <v>2603</v>
      </c>
      <c r="H161" s="134" t="s">
        <v>2906</v>
      </c>
    </row>
    <row r="162" customHeight="1" spans="1:8">
      <c r="A162" s="137"/>
      <c r="B162" s="40" t="s">
        <v>2907</v>
      </c>
      <c r="C162" s="49" t="s">
        <v>2667</v>
      </c>
      <c r="D162" s="40" t="s">
        <v>2908</v>
      </c>
      <c r="E162" s="132" t="s">
        <v>344</v>
      </c>
      <c r="F162" s="133" t="s">
        <v>24</v>
      </c>
      <c r="G162" s="40" t="s">
        <v>2603</v>
      </c>
      <c r="H162" s="134" t="s">
        <v>2908</v>
      </c>
    </row>
    <row r="163" ht="21.75" customHeight="1" spans="1:8">
      <c r="A163" s="138" t="s">
        <v>2909</v>
      </c>
      <c r="B163" s="139" t="s">
        <v>2910</v>
      </c>
      <c r="C163" s="49" t="s">
        <v>2482</v>
      </c>
      <c r="D163" s="40" t="s">
        <v>2911</v>
      </c>
      <c r="E163" s="132" t="s">
        <v>344</v>
      </c>
      <c r="F163" s="133" t="s">
        <v>24</v>
      </c>
      <c r="G163" s="40" t="s">
        <v>689</v>
      </c>
      <c r="H163" s="134" t="s">
        <v>2911</v>
      </c>
    </row>
    <row r="164" ht="21" customHeight="1" spans="1:8">
      <c r="A164" s="50"/>
      <c r="B164" s="139" t="s">
        <v>2912</v>
      </c>
      <c r="C164" s="49" t="s">
        <v>903</v>
      </c>
      <c r="D164" s="40" t="s">
        <v>2913</v>
      </c>
      <c r="E164" s="132" t="s">
        <v>475</v>
      </c>
      <c r="F164" s="133" t="s">
        <v>24</v>
      </c>
      <c r="G164" s="40" t="s">
        <v>345</v>
      </c>
      <c r="H164" s="134" t="s">
        <v>2572</v>
      </c>
    </row>
    <row r="165" ht="23.65" customHeight="1" spans="1:8">
      <c r="A165" s="40"/>
      <c r="B165" s="139" t="s">
        <v>2914</v>
      </c>
      <c r="C165" s="49" t="s">
        <v>2915</v>
      </c>
      <c r="D165" s="140" t="s">
        <v>2916</v>
      </c>
      <c r="E165" s="132" t="s">
        <v>344</v>
      </c>
      <c r="F165" s="133" t="s">
        <v>24</v>
      </c>
      <c r="G165" s="40" t="s">
        <v>71</v>
      </c>
      <c r="H165" s="141" t="s">
        <v>2916</v>
      </c>
    </row>
    <row r="166" ht="22.5" customHeight="1" spans="1:8">
      <c r="A166" s="50"/>
      <c r="B166" s="139" t="s">
        <v>2917</v>
      </c>
      <c r="C166" s="49" t="s">
        <v>2918</v>
      </c>
      <c r="D166" s="140" t="s">
        <v>2919</v>
      </c>
      <c r="E166" s="132" t="s">
        <v>475</v>
      </c>
      <c r="F166" s="133" t="s">
        <v>24</v>
      </c>
      <c r="G166" s="40" t="s">
        <v>2920</v>
      </c>
      <c r="H166" s="134" t="s">
        <v>2921</v>
      </c>
    </row>
    <row r="167" ht="25.9" customHeight="1" spans="1:8">
      <c r="A167" s="40"/>
      <c r="B167" s="139" t="s">
        <v>2922</v>
      </c>
      <c r="C167" s="49" t="s">
        <v>2923</v>
      </c>
      <c r="D167" s="140" t="s">
        <v>2924</v>
      </c>
      <c r="E167" s="132" t="s">
        <v>344</v>
      </c>
      <c r="F167" s="133" t="s">
        <v>24</v>
      </c>
      <c r="G167" s="40" t="s">
        <v>354</v>
      </c>
      <c r="H167" s="141" t="s">
        <v>2925</v>
      </c>
    </row>
    <row r="168" ht="21.6" customHeight="1" spans="1:8">
      <c r="A168" s="40" t="s">
        <v>2926</v>
      </c>
      <c r="B168" s="40" t="s">
        <v>2927</v>
      </c>
      <c r="C168" s="49" t="s">
        <v>2928</v>
      </c>
      <c r="D168" s="40" t="s">
        <v>2929</v>
      </c>
      <c r="E168" s="132" t="s">
        <v>608</v>
      </c>
      <c r="F168" s="133" t="s">
        <v>24</v>
      </c>
      <c r="G168" s="40" t="s">
        <v>2930</v>
      </c>
      <c r="H168" s="134" t="s">
        <v>2931</v>
      </c>
    </row>
    <row r="169" customHeight="1" spans="1:8">
      <c r="A169" s="40"/>
      <c r="B169" s="40" t="s">
        <v>2932</v>
      </c>
      <c r="C169" s="49" t="s">
        <v>2933</v>
      </c>
      <c r="D169" s="40" t="s">
        <v>2934</v>
      </c>
      <c r="E169" s="132" t="s">
        <v>344</v>
      </c>
      <c r="F169" s="133" t="s">
        <v>24</v>
      </c>
      <c r="G169" s="40" t="s">
        <v>71</v>
      </c>
      <c r="H169" s="134" t="s">
        <v>2935</v>
      </c>
    </row>
    <row r="170" ht="24" customHeight="1" spans="1:8">
      <c r="A170" s="40"/>
      <c r="B170" s="40" t="s">
        <v>2936</v>
      </c>
      <c r="C170" s="49" t="s">
        <v>2937</v>
      </c>
      <c r="D170" s="40" t="s">
        <v>2938</v>
      </c>
      <c r="E170" s="132" t="s">
        <v>475</v>
      </c>
      <c r="F170" s="133" t="s">
        <v>24</v>
      </c>
      <c r="G170" s="40" t="s">
        <v>2939</v>
      </c>
      <c r="H170" s="134" t="s">
        <v>2940</v>
      </c>
    </row>
    <row r="171" ht="22.5" customHeight="1" spans="1:8">
      <c r="A171" s="40"/>
      <c r="B171" s="40" t="s">
        <v>2941</v>
      </c>
      <c r="C171" s="49" t="s">
        <v>2942</v>
      </c>
      <c r="D171" s="40" t="s">
        <v>2943</v>
      </c>
      <c r="E171" s="132" t="s">
        <v>475</v>
      </c>
      <c r="F171" s="133" t="s">
        <v>24</v>
      </c>
      <c r="G171" s="40" t="s">
        <v>2939</v>
      </c>
      <c r="H171" s="134" t="s">
        <v>2940</v>
      </c>
    </row>
    <row r="172" ht="23.65" customHeight="1" spans="1:8">
      <c r="A172" s="40"/>
      <c r="B172" s="40" t="s">
        <v>2944</v>
      </c>
      <c r="C172" s="49" t="s">
        <v>2945</v>
      </c>
      <c r="D172" s="40" t="s">
        <v>2946</v>
      </c>
      <c r="E172" s="132" t="s">
        <v>475</v>
      </c>
      <c r="F172" s="133" t="s">
        <v>24</v>
      </c>
      <c r="G172" s="40" t="s">
        <v>2939</v>
      </c>
      <c r="H172" s="134" t="s">
        <v>2940</v>
      </c>
    </row>
    <row r="173" ht="28.5" customHeight="1" spans="1:8">
      <c r="A173" s="40"/>
      <c r="B173" s="40" t="s">
        <v>2947</v>
      </c>
      <c r="C173" s="49" t="s">
        <v>2948</v>
      </c>
      <c r="D173" s="40" t="s">
        <v>2949</v>
      </c>
      <c r="E173" s="132" t="s">
        <v>344</v>
      </c>
      <c r="F173" s="133" t="s">
        <v>24</v>
      </c>
      <c r="G173" s="40" t="s">
        <v>1422</v>
      </c>
      <c r="H173" s="134" t="s">
        <v>2950</v>
      </c>
    </row>
    <row r="174" customHeight="1" spans="1:8">
      <c r="A174" s="40"/>
      <c r="B174" s="40" t="s">
        <v>2951</v>
      </c>
      <c r="C174" s="49" t="s">
        <v>2952</v>
      </c>
      <c r="D174" s="40" t="s">
        <v>2953</v>
      </c>
      <c r="E174" s="132" t="s">
        <v>344</v>
      </c>
      <c r="F174" s="133" t="s">
        <v>24</v>
      </c>
      <c r="G174" s="40" t="s">
        <v>2954</v>
      </c>
      <c r="H174" s="134" t="s">
        <v>2955</v>
      </c>
    </row>
    <row r="175" customHeight="1" spans="1:8">
      <c r="A175" s="40"/>
      <c r="B175" s="142" t="s">
        <v>2956</v>
      </c>
      <c r="C175" s="143" t="s">
        <v>2957</v>
      </c>
      <c r="D175" s="142" t="s">
        <v>2958</v>
      </c>
      <c r="E175" s="132" t="s">
        <v>344</v>
      </c>
      <c r="F175" s="144" t="s">
        <v>24</v>
      </c>
      <c r="G175" s="142" t="s">
        <v>1391</v>
      </c>
      <c r="H175" s="145" t="s">
        <v>2959</v>
      </c>
    </row>
    <row r="176" customHeight="1" spans="1:8">
      <c r="A176" s="40"/>
      <c r="B176" s="142" t="s">
        <v>2960</v>
      </c>
      <c r="C176" s="143" t="s">
        <v>2961</v>
      </c>
      <c r="D176" s="142" t="s">
        <v>2962</v>
      </c>
      <c r="E176" s="132" t="s">
        <v>344</v>
      </c>
      <c r="F176" s="144" t="s">
        <v>24</v>
      </c>
      <c r="G176" s="142" t="s">
        <v>1391</v>
      </c>
      <c r="H176" s="145" t="s">
        <v>2963</v>
      </c>
    </row>
    <row r="177" customHeight="1" spans="1:8">
      <c r="A177" s="50" t="s">
        <v>2964</v>
      </c>
      <c r="B177" s="142" t="s">
        <v>2965</v>
      </c>
      <c r="C177" s="143" t="s">
        <v>2966</v>
      </c>
      <c r="D177" s="40" t="s">
        <v>2967</v>
      </c>
      <c r="E177" s="132" t="s">
        <v>344</v>
      </c>
      <c r="F177" s="146" t="s">
        <v>24</v>
      </c>
      <c r="G177" s="40" t="s">
        <v>2968</v>
      </c>
      <c r="H177" s="145" t="s">
        <v>2969</v>
      </c>
    </row>
    <row r="178" customHeight="1" spans="1:8">
      <c r="A178" s="50"/>
      <c r="B178" s="40" t="s">
        <v>2970</v>
      </c>
      <c r="C178" s="49" t="s">
        <v>2971</v>
      </c>
      <c r="D178" s="40" t="s">
        <v>2972</v>
      </c>
      <c r="E178" s="132" t="s">
        <v>344</v>
      </c>
      <c r="F178" s="133" t="s">
        <v>24</v>
      </c>
      <c r="G178" s="40" t="s">
        <v>2968</v>
      </c>
      <c r="H178" s="134" t="s">
        <v>2973</v>
      </c>
    </row>
    <row r="179" customHeight="1" spans="1:8">
      <c r="A179" s="50"/>
      <c r="B179" s="40" t="s">
        <v>2974</v>
      </c>
      <c r="C179" s="49" t="s">
        <v>2975</v>
      </c>
      <c r="D179" s="142" t="s">
        <v>2976</v>
      </c>
      <c r="E179" s="132" t="s">
        <v>344</v>
      </c>
      <c r="F179" s="133" t="s">
        <v>24</v>
      </c>
      <c r="G179" s="142" t="s">
        <v>2144</v>
      </c>
      <c r="H179" s="145" t="s">
        <v>2977</v>
      </c>
    </row>
    <row r="180" customHeight="1" spans="1:8">
      <c r="A180" s="50"/>
      <c r="B180" s="40" t="s">
        <v>2978</v>
      </c>
      <c r="C180" s="49" t="s">
        <v>2979</v>
      </c>
      <c r="D180" s="40" t="s">
        <v>2980</v>
      </c>
      <c r="E180" s="132" t="s">
        <v>344</v>
      </c>
      <c r="F180" s="133" t="s">
        <v>24</v>
      </c>
      <c r="G180" s="40" t="s">
        <v>2981</v>
      </c>
      <c r="H180" s="134" t="s">
        <v>2980</v>
      </c>
    </row>
    <row r="181" customHeight="1" spans="1:8">
      <c r="A181" s="50"/>
      <c r="B181" s="40" t="s">
        <v>2982</v>
      </c>
      <c r="C181" s="49" t="s">
        <v>2983</v>
      </c>
      <c r="D181" s="40" t="s">
        <v>2984</v>
      </c>
      <c r="E181" s="132" t="s">
        <v>344</v>
      </c>
      <c r="F181" s="133" t="s">
        <v>24</v>
      </c>
      <c r="G181" s="40" t="s">
        <v>2985</v>
      </c>
      <c r="H181" s="134" t="s">
        <v>2986</v>
      </c>
    </row>
    <row r="182" ht="22.5" customHeight="1" spans="1:8">
      <c r="A182" s="50"/>
      <c r="B182" s="40" t="s">
        <v>2987</v>
      </c>
      <c r="C182" s="49" t="s">
        <v>2988</v>
      </c>
      <c r="D182" s="40" t="s">
        <v>2989</v>
      </c>
      <c r="E182" s="132" t="s">
        <v>475</v>
      </c>
      <c r="F182" s="133" t="s">
        <v>24</v>
      </c>
      <c r="G182" s="40" t="s">
        <v>2990</v>
      </c>
      <c r="H182" s="134" t="s">
        <v>2991</v>
      </c>
    </row>
    <row r="183" customHeight="1" spans="1:8">
      <c r="A183" s="50"/>
      <c r="B183" s="40" t="s">
        <v>2992</v>
      </c>
      <c r="C183" s="49" t="s">
        <v>2993</v>
      </c>
      <c r="D183" s="40" t="s">
        <v>2994</v>
      </c>
      <c r="E183" s="132" t="s">
        <v>344</v>
      </c>
      <c r="F183" s="133" t="s">
        <v>24</v>
      </c>
      <c r="G183" s="40" t="s">
        <v>1341</v>
      </c>
      <c r="H183" s="134" t="s">
        <v>2995</v>
      </c>
    </row>
    <row r="184" customHeight="1" spans="1:8">
      <c r="A184" s="50"/>
      <c r="B184" s="40" t="s">
        <v>2996</v>
      </c>
      <c r="C184" s="49" t="s">
        <v>2997</v>
      </c>
      <c r="D184" s="40" t="s">
        <v>2998</v>
      </c>
      <c r="E184" s="132" t="s">
        <v>344</v>
      </c>
      <c r="F184" s="133" t="s">
        <v>24</v>
      </c>
      <c r="G184" s="40" t="s">
        <v>1341</v>
      </c>
      <c r="H184" s="134" t="s">
        <v>2999</v>
      </c>
    </row>
    <row r="185" customHeight="1" spans="1:8">
      <c r="A185" s="50"/>
      <c r="B185" s="40" t="s">
        <v>3000</v>
      </c>
      <c r="C185" s="49" t="s">
        <v>3001</v>
      </c>
      <c r="D185" s="40" t="s">
        <v>3002</v>
      </c>
      <c r="E185" s="132" t="s">
        <v>344</v>
      </c>
      <c r="F185" s="133" t="s">
        <v>24</v>
      </c>
      <c r="G185" s="40" t="s">
        <v>1210</v>
      </c>
      <c r="H185" s="134" t="s">
        <v>3003</v>
      </c>
    </row>
    <row r="186" customHeight="1" spans="1:8">
      <c r="A186" s="50"/>
      <c r="B186" s="40" t="s">
        <v>3004</v>
      </c>
      <c r="C186" s="49" t="s">
        <v>3005</v>
      </c>
      <c r="D186" s="40" t="s">
        <v>3006</v>
      </c>
      <c r="E186" s="132" t="s">
        <v>344</v>
      </c>
      <c r="F186" s="133" t="s">
        <v>24</v>
      </c>
      <c r="G186" s="40" t="s">
        <v>3007</v>
      </c>
      <c r="H186" s="134" t="s">
        <v>3008</v>
      </c>
    </row>
    <row r="187" customHeight="1" spans="1:8">
      <c r="A187" s="50"/>
      <c r="B187" s="40" t="s">
        <v>3009</v>
      </c>
      <c r="C187" s="49" t="s">
        <v>3010</v>
      </c>
      <c r="D187" s="40" t="s">
        <v>3011</v>
      </c>
      <c r="E187" s="132" t="s">
        <v>344</v>
      </c>
      <c r="F187" s="133" t="s">
        <v>24</v>
      </c>
      <c r="G187" s="40" t="s">
        <v>2985</v>
      </c>
      <c r="H187" s="134" t="s">
        <v>3012</v>
      </c>
    </row>
    <row r="188" ht="21" customHeight="1" spans="1:8">
      <c r="A188" s="50"/>
      <c r="B188" s="40" t="s">
        <v>3013</v>
      </c>
      <c r="C188" s="49" t="s">
        <v>3014</v>
      </c>
      <c r="D188" s="140" t="s">
        <v>3015</v>
      </c>
      <c r="E188" s="132" t="s">
        <v>475</v>
      </c>
      <c r="F188" s="133" t="s">
        <v>24</v>
      </c>
      <c r="G188" s="40" t="s">
        <v>2990</v>
      </c>
      <c r="H188" s="134" t="s">
        <v>3016</v>
      </c>
    </row>
    <row r="189" customHeight="1" spans="1:8">
      <c r="A189" s="50"/>
      <c r="B189" s="142" t="s">
        <v>3017</v>
      </c>
      <c r="C189" s="143" t="s">
        <v>3018</v>
      </c>
      <c r="D189" s="142" t="s">
        <v>3019</v>
      </c>
      <c r="E189" s="132" t="s">
        <v>344</v>
      </c>
      <c r="F189" s="133" t="s">
        <v>24</v>
      </c>
      <c r="G189" s="142" t="s">
        <v>3020</v>
      </c>
      <c r="H189" s="145" t="s">
        <v>3021</v>
      </c>
    </row>
    <row r="190" customHeight="1" spans="1:8">
      <c r="A190" s="50"/>
      <c r="B190" s="40" t="s">
        <v>3022</v>
      </c>
      <c r="C190" s="49" t="s">
        <v>3023</v>
      </c>
      <c r="D190" s="40" t="s">
        <v>3024</v>
      </c>
      <c r="E190" s="132" t="s">
        <v>344</v>
      </c>
      <c r="F190" s="133" t="s">
        <v>24</v>
      </c>
      <c r="G190" s="40" t="s">
        <v>3020</v>
      </c>
      <c r="H190" s="134" t="s">
        <v>3025</v>
      </c>
    </row>
    <row r="191" ht="20.1" customHeight="1" spans="1:8">
      <c r="A191" s="50"/>
      <c r="B191" s="40" t="s">
        <v>3026</v>
      </c>
      <c r="C191" s="143" t="s">
        <v>3027</v>
      </c>
      <c r="D191" s="142" t="s">
        <v>3028</v>
      </c>
      <c r="E191" s="132" t="s">
        <v>344</v>
      </c>
      <c r="F191" s="133" t="s">
        <v>24</v>
      </c>
      <c r="G191" s="142" t="s">
        <v>2144</v>
      </c>
      <c r="H191" s="145" t="s">
        <v>3029</v>
      </c>
    </row>
    <row r="192" customHeight="1" spans="1:8">
      <c r="A192" s="50"/>
      <c r="B192" s="40" t="s">
        <v>3030</v>
      </c>
      <c r="C192" s="49" t="s">
        <v>3031</v>
      </c>
      <c r="D192" s="40" t="s">
        <v>3032</v>
      </c>
      <c r="E192" s="132" t="s">
        <v>344</v>
      </c>
      <c r="F192" s="133" t="s">
        <v>24</v>
      </c>
      <c r="G192" s="40" t="s">
        <v>71</v>
      </c>
      <c r="H192" s="134" t="s">
        <v>3033</v>
      </c>
    </row>
    <row r="193" customHeight="1" spans="1:8">
      <c r="A193" s="50"/>
      <c r="B193" s="40" t="s">
        <v>3034</v>
      </c>
      <c r="C193" s="49" t="s">
        <v>3035</v>
      </c>
      <c r="D193" s="40" t="s">
        <v>3036</v>
      </c>
      <c r="E193" s="132" t="s">
        <v>608</v>
      </c>
      <c r="F193" s="133" t="s">
        <v>24</v>
      </c>
      <c r="G193" s="40" t="s">
        <v>1150</v>
      </c>
      <c r="H193" s="134" t="s">
        <v>3037</v>
      </c>
    </row>
    <row r="194" customHeight="1" spans="1:8">
      <c r="A194" s="50"/>
      <c r="B194" s="40" t="s">
        <v>3038</v>
      </c>
      <c r="C194" s="49" t="s">
        <v>3039</v>
      </c>
      <c r="D194" s="40" t="s">
        <v>3040</v>
      </c>
      <c r="E194" s="132" t="s">
        <v>608</v>
      </c>
      <c r="F194" s="133" t="s">
        <v>24</v>
      </c>
      <c r="G194" s="40" t="s">
        <v>3041</v>
      </c>
      <c r="H194" s="134" t="s">
        <v>3042</v>
      </c>
    </row>
    <row r="195" customHeight="1" spans="1:8">
      <c r="A195" s="50"/>
      <c r="B195" s="40" t="s">
        <v>3043</v>
      </c>
      <c r="C195" s="49" t="s">
        <v>3044</v>
      </c>
      <c r="D195" s="40" t="s">
        <v>3045</v>
      </c>
      <c r="E195" s="132" t="s">
        <v>344</v>
      </c>
      <c r="F195" s="133" t="s">
        <v>24</v>
      </c>
      <c r="G195" s="40" t="s">
        <v>3046</v>
      </c>
      <c r="H195" s="134" t="s">
        <v>3047</v>
      </c>
    </row>
    <row r="196" customHeight="1" spans="1:8">
      <c r="A196" s="50"/>
      <c r="B196" s="40" t="s">
        <v>3048</v>
      </c>
      <c r="C196" s="49" t="s">
        <v>3049</v>
      </c>
      <c r="D196" s="40" t="s">
        <v>3050</v>
      </c>
      <c r="E196" s="132" t="s">
        <v>344</v>
      </c>
      <c r="F196" s="133" t="s">
        <v>24</v>
      </c>
      <c r="G196" s="40" t="s">
        <v>3051</v>
      </c>
      <c r="H196" s="134" t="s">
        <v>3052</v>
      </c>
    </row>
    <row r="197" customHeight="1" spans="1:8">
      <c r="A197" s="50"/>
      <c r="B197" s="40" t="s">
        <v>3053</v>
      </c>
      <c r="C197" s="147" t="s">
        <v>1381</v>
      </c>
      <c r="D197" s="148" t="s">
        <v>3054</v>
      </c>
      <c r="E197" s="132" t="s">
        <v>608</v>
      </c>
      <c r="F197" s="144" t="s">
        <v>24</v>
      </c>
      <c r="G197" s="140" t="s">
        <v>1166</v>
      </c>
      <c r="H197" s="149" t="s">
        <v>3055</v>
      </c>
    </row>
    <row r="198" customHeight="1" spans="1:8">
      <c r="A198" s="50"/>
      <c r="B198" s="40" t="s">
        <v>3056</v>
      </c>
      <c r="C198" s="147" t="s">
        <v>3057</v>
      </c>
      <c r="D198" s="148" t="s">
        <v>3058</v>
      </c>
      <c r="E198" s="132" t="s">
        <v>608</v>
      </c>
      <c r="F198" s="144" t="s">
        <v>24</v>
      </c>
      <c r="G198" s="140" t="s">
        <v>3059</v>
      </c>
      <c r="H198" s="149" t="s">
        <v>3060</v>
      </c>
    </row>
    <row r="199" customHeight="1" spans="1:8">
      <c r="A199" s="50"/>
      <c r="B199" s="40" t="s">
        <v>3061</v>
      </c>
      <c r="C199" s="147" t="s">
        <v>3062</v>
      </c>
      <c r="D199" s="148" t="s">
        <v>3063</v>
      </c>
      <c r="E199" s="132" t="s">
        <v>608</v>
      </c>
      <c r="F199" s="144" t="s">
        <v>24</v>
      </c>
      <c r="G199" s="140" t="s">
        <v>1341</v>
      </c>
      <c r="H199" s="149" t="s">
        <v>3064</v>
      </c>
    </row>
    <row r="200" ht="23.1" customHeight="1" spans="1:8">
      <c r="A200" s="50"/>
      <c r="B200" s="40" t="s">
        <v>3065</v>
      </c>
      <c r="C200" s="49" t="s">
        <v>3066</v>
      </c>
      <c r="D200" s="40" t="s">
        <v>3067</v>
      </c>
      <c r="E200" s="132" t="s">
        <v>344</v>
      </c>
      <c r="F200" s="133" t="s">
        <v>24</v>
      </c>
      <c r="G200" s="40" t="s">
        <v>2990</v>
      </c>
      <c r="H200" s="134" t="s">
        <v>3068</v>
      </c>
    </row>
    <row r="201" ht="22.5" customHeight="1" spans="1:8">
      <c r="A201" s="50"/>
      <c r="B201" s="40" t="s">
        <v>3069</v>
      </c>
      <c r="C201" s="49" t="s">
        <v>3070</v>
      </c>
      <c r="D201" s="40" t="s">
        <v>3071</v>
      </c>
      <c r="E201" s="132" t="s">
        <v>475</v>
      </c>
      <c r="F201" s="133" t="s">
        <v>24</v>
      </c>
      <c r="G201" s="40" t="s">
        <v>2990</v>
      </c>
      <c r="H201" s="134" t="s">
        <v>3068</v>
      </c>
    </row>
    <row r="202" ht="21.6" customHeight="1" spans="1:8">
      <c r="A202" s="50"/>
      <c r="B202" s="40" t="s">
        <v>3072</v>
      </c>
      <c r="C202" s="49" t="s">
        <v>2997</v>
      </c>
      <c r="D202" s="140" t="s">
        <v>3073</v>
      </c>
      <c r="E202" s="132" t="s">
        <v>344</v>
      </c>
      <c r="F202" s="133" t="s">
        <v>24</v>
      </c>
      <c r="G202" s="40" t="s">
        <v>1341</v>
      </c>
      <c r="H202" s="134" t="s">
        <v>3074</v>
      </c>
    </row>
    <row r="203" ht="26.65" customHeight="1" spans="1:8">
      <c r="A203" s="50"/>
      <c r="B203" s="40" t="s">
        <v>3075</v>
      </c>
      <c r="C203" s="49" t="s">
        <v>3001</v>
      </c>
      <c r="D203" s="40" t="s">
        <v>3076</v>
      </c>
      <c r="E203" s="132" t="s">
        <v>475</v>
      </c>
      <c r="F203" s="133" t="s">
        <v>24</v>
      </c>
      <c r="G203" s="40" t="s">
        <v>354</v>
      </c>
      <c r="H203" s="134" t="s">
        <v>3077</v>
      </c>
    </row>
    <row r="204" customHeight="1" spans="1:8">
      <c r="A204" s="50" t="s">
        <v>3078</v>
      </c>
      <c r="B204" s="40" t="s">
        <v>3079</v>
      </c>
      <c r="C204" s="49" t="s">
        <v>3080</v>
      </c>
      <c r="D204" s="40" t="s">
        <v>3081</v>
      </c>
      <c r="E204" s="132" t="s">
        <v>344</v>
      </c>
      <c r="F204" s="133" t="s">
        <v>24</v>
      </c>
      <c r="G204" s="40" t="s">
        <v>1145</v>
      </c>
      <c r="H204" s="150" t="s">
        <v>2425</v>
      </c>
    </row>
    <row r="205" ht="20.65" customHeight="1" spans="1:8">
      <c r="A205" s="50"/>
      <c r="B205" s="40" t="s">
        <v>3082</v>
      </c>
      <c r="C205" s="49" t="s">
        <v>2928</v>
      </c>
      <c r="D205" s="40" t="s">
        <v>2929</v>
      </c>
      <c r="E205" s="132" t="s">
        <v>344</v>
      </c>
      <c r="F205" s="133" t="s">
        <v>24</v>
      </c>
      <c r="G205" s="40" t="s">
        <v>2930</v>
      </c>
      <c r="H205" s="134" t="s">
        <v>2931</v>
      </c>
    </row>
    <row r="206" ht="21" customHeight="1" spans="1:8">
      <c r="A206" s="50"/>
      <c r="B206" s="40" t="s">
        <v>3083</v>
      </c>
      <c r="C206" s="49" t="s">
        <v>2937</v>
      </c>
      <c r="D206" s="40" t="s">
        <v>2938</v>
      </c>
      <c r="E206" s="132" t="s">
        <v>344</v>
      </c>
      <c r="F206" s="133" t="s">
        <v>24</v>
      </c>
      <c r="G206" s="40" t="s">
        <v>2939</v>
      </c>
      <c r="H206" s="134" t="s">
        <v>2940</v>
      </c>
    </row>
    <row r="207" ht="25.5" customHeight="1" spans="1:8">
      <c r="A207" s="50"/>
      <c r="B207" s="40" t="s">
        <v>3084</v>
      </c>
      <c r="C207" s="49" t="s">
        <v>2942</v>
      </c>
      <c r="D207" s="40" t="s">
        <v>2943</v>
      </c>
      <c r="E207" s="132" t="s">
        <v>475</v>
      </c>
      <c r="F207" s="133" t="s">
        <v>24</v>
      </c>
      <c r="G207" s="40" t="s">
        <v>2939</v>
      </c>
      <c r="H207" s="134" t="s">
        <v>2940</v>
      </c>
    </row>
    <row r="208" ht="24" customHeight="1" spans="1:8">
      <c r="A208" s="50"/>
      <c r="B208" s="40" t="s">
        <v>3085</v>
      </c>
      <c r="C208" s="49" t="s">
        <v>2945</v>
      </c>
      <c r="D208" s="40" t="s">
        <v>2946</v>
      </c>
      <c r="E208" s="132" t="s">
        <v>475</v>
      </c>
      <c r="F208" s="133" t="s">
        <v>24</v>
      </c>
      <c r="G208" s="40" t="s">
        <v>2939</v>
      </c>
      <c r="H208" s="134" t="s">
        <v>2940</v>
      </c>
    </row>
    <row r="209" customHeight="1" spans="1:8">
      <c r="A209" s="50"/>
      <c r="B209" s="40" t="s">
        <v>3086</v>
      </c>
      <c r="C209" s="49" t="s">
        <v>3087</v>
      </c>
      <c r="D209" s="40" t="s">
        <v>2430</v>
      </c>
      <c r="E209" s="132" t="s">
        <v>344</v>
      </c>
      <c r="F209" s="133" t="s">
        <v>24</v>
      </c>
      <c r="G209" s="40" t="s">
        <v>1391</v>
      </c>
      <c r="H209" s="134" t="s">
        <v>3088</v>
      </c>
    </row>
    <row r="210" customHeight="1" spans="1:8">
      <c r="A210" s="50"/>
      <c r="B210" s="40" t="s">
        <v>3089</v>
      </c>
      <c r="C210" s="49" t="s">
        <v>3031</v>
      </c>
      <c r="D210" s="40" t="s">
        <v>3090</v>
      </c>
      <c r="E210" s="132" t="s">
        <v>344</v>
      </c>
      <c r="F210" s="133" t="s">
        <v>24</v>
      </c>
      <c r="G210" s="40" t="s">
        <v>71</v>
      </c>
      <c r="H210" s="134" t="s">
        <v>3091</v>
      </c>
    </row>
    <row r="211" customHeight="1" spans="1:8">
      <c r="A211" s="50"/>
      <c r="B211" s="40" t="s">
        <v>3092</v>
      </c>
      <c r="C211" s="49" t="s">
        <v>3093</v>
      </c>
      <c r="D211" s="40" t="s">
        <v>3094</v>
      </c>
      <c r="E211" s="132" t="s">
        <v>344</v>
      </c>
      <c r="F211" s="133" t="s">
        <v>24</v>
      </c>
      <c r="G211" s="40" t="s">
        <v>2968</v>
      </c>
      <c r="H211" s="134" t="s">
        <v>3095</v>
      </c>
    </row>
    <row r="212" ht="21.6" customHeight="1" spans="1:8">
      <c r="A212" s="50"/>
      <c r="B212" s="40" t="s">
        <v>3096</v>
      </c>
      <c r="C212" s="49" t="s">
        <v>3097</v>
      </c>
      <c r="D212" s="40" t="s">
        <v>3098</v>
      </c>
      <c r="E212" s="132" t="s">
        <v>475</v>
      </c>
      <c r="F212" s="133" t="s">
        <v>24</v>
      </c>
      <c r="G212" s="40" t="s">
        <v>3020</v>
      </c>
      <c r="H212" s="145" t="s">
        <v>3099</v>
      </c>
    </row>
    <row r="213" ht="22.5" customHeight="1" spans="1:8">
      <c r="A213" s="50"/>
      <c r="B213" s="40" t="s">
        <v>3100</v>
      </c>
      <c r="C213" s="49" t="s">
        <v>3101</v>
      </c>
      <c r="D213" s="40" t="s">
        <v>3006</v>
      </c>
      <c r="E213" s="132" t="s">
        <v>344</v>
      </c>
      <c r="F213" s="133" t="s">
        <v>24</v>
      </c>
      <c r="G213" s="40" t="s">
        <v>3007</v>
      </c>
      <c r="H213" s="134" t="s">
        <v>3102</v>
      </c>
    </row>
    <row r="214" customHeight="1" spans="1:8">
      <c r="A214" s="50"/>
      <c r="B214" s="40" t="s">
        <v>3103</v>
      </c>
      <c r="C214" s="49" t="s">
        <v>2993</v>
      </c>
      <c r="D214" s="40" t="s">
        <v>3104</v>
      </c>
      <c r="E214" s="132" t="s">
        <v>344</v>
      </c>
      <c r="F214" s="133" t="s">
        <v>24</v>
      </c>
      <c r="G214" s="40" t="s">
        <v>1341</v>
      </c>
      <c r="H214" s="134" t="s">
        <v>3105</v>
      </c>
    </row>
    <row r="215" customHeight="1" spans="1:8">
      <c r="A215" s="50"/>
      <c r="B215" s="40" t="s">
        <v>3106</v>
      </c>
      <c r="C215" s="49" t="s">
        <v>3107</v>
      </c>
      <c r="D215" s="140" t="s">
        <v>3108</v>
      </c>
      <c r="E215" s="132" t="s">
        <v>344</v>
      </c>
      <c r="F215" s="133" t="s">
        <v>24</v>
      </c>
      <c r="G215" s="40" t="s">
        <v>2985</v>
      </c>
      <c r="H215" s="141" t="s">
        <v>3108</v>
      </c>
    </row>
    <row r="216" customHeight="1" spans="1:8">
      <c r="A216" s="50"/>
      <c r="B216" s="40" t="s">
        <v>3109</v>
      </c>
      <c r="C216" s="49" t="s">
        <v>3110</v>
      </c>
      <c r="D216" s="140" t="s">
        <v>3111</v>
      </c>
      <c r="E216" s="132" t="s">
        <v>344</v>
      </c>
      <c r="F216" s="133" t="s">
        <v>24</v>
      </c>
      <c r="G216" s="40" t="s">
        <v>2985</v>
      </c>
      <c r="H216" s="141" t="s">
        <v>3111</v>
      </c>
    </row>
    <row r="217" customHeight="1" spans="1:8">
      <c r="A217" s="50"/>
      <c r="B217" s="40" t="s">
        <v>3112</v>
      </c>
      <c r="C217" s="49" t="s">
        <v>3113</v>
      </c>
      <c r="D217" s="140" t="s">
        <v>3114</v>
      </c>
      <c r="E217" s="132" t="s">
        <v>475</v>
      </c>
      <c r="F217" s="133" t="s">
        <v>24</v>
      </c>
      <c r="G217" s="40" t="s">
        <v>2985</v>
      </c>
      <c r="H217" s="141" t="s">
        <v>3114</v>
      </c>
    </row>
    <row r="218" customHeight="1" spans="1:8">
      <c r="A218" s="50"/>
      <c r="B218" s="40" t="s">
        <v>3115</v>
      </c>
      <c r="C218" s="49" t="s">
        <v>3116</v>
      </c>
      <c r="D218" s="140" t="s">
        <v>3117</v>
      </c>
      <c r="E218" s="132" t="s">
        <v>475</v>
      </c>
      <c r="F218" s="133" t="s">
        <v>24</v>
      </c>
      <c r="G218" s="40" t="s">
        <v>2985</v>
      </c>
      <c r="H218" s="141" t="s">
        <v>3117</v>
      </c>
    </row>
    <row r="219" customHeight="1" spans="1:8">
      <c r="A219" s="50"/>
      <c r="B219" s="40" t="s">
        <v>3118</v>
      </c>
      <c r="C219" s="49" t="s">
        <v>2997</v>
      </c>
      <c r="D219" s="140" t="s">
        <v>3119</v>
      </c>
      <c r="E219" s="132" t="s">
        <v>344</v>
      </c>
      <c r="F219" s="133" t="s">
        <v>24</v>
      </c>
      <c r="G219" s="40" t="s">
        <v>1341</v>
      </c>
      <c r="H219" s="134" t="s">
        <v>3074</v>
      </c>
    </row>
    <row r="220" customHeight="1" spans="1:8">
      <c r="A220" s="50"/>
      <c r="B220" s="40" t="s">
        <v>3120</v>
      </c>
      <c r="C220" s="49" t="s">
        <v>3001</v>
      </c>
      <c r="D220" s="40" t="s">
        <v>3121</v>
      </c>
      <c r="E220" s="132" t="s">
        <v>475</v>
      </c>
      <c r="F220" s="133" t="s">
        <v>24</v>
      </c>
      <c r="G220" s="40" t="s">
        <v>1210</v>
      </c>
      <c r="H220" s="134" t="s">
        <v>3077</v>
      </c>
    </row>
    <row r="221" customHeight="1" spans="1:8">
      <c r="A221" s="50"/>
      <c r="B221" s="40" t="s">
        <v>3122</v>
      </c>
      <c r="C221" s="49" t="s">
        <v>2918</v>
      </c>
      <c r="D221" s="140" t="s">
        <v>3123</v>
      </c>
      <c r="E221" s="132" t="s">
        <v>475</v>
      </c>
      <c r="F221" s="133" t="s">
        <v>24</v>
      </c>
      <c r="G221" s="40" t="s">
        <v>345</v>
      </c>
      <c r="H221" s="134" t="s">
        <v>3124</v>
      </c>
    </row>
    <row r="222" customHeight="1" spans="1:8">
      <c r="A222" s="50"/>
      <c r="B222" s="40" t="s">
        <v>3125</v>
      </c>
      <c r="C222" s="49" t="s">
        <v>3044</v>
      </c>
      <c r="D222" s="40" t="s">
        <v>3045</v>
      </c>
      <c r="E222" s="132" t="s">
        <v>344</v>
      </c>
      <c r="F222" s="133" t="s">
        <v>24</v>
      </c>
      <c r="G222" s="40" t="s">
        <v>3046</v>
      </c>
      <c r="H222" s="134" t="s">
        <v>3047</v>
      </c>
    </row>
    <row r="223" customHeight="1" spans="1:8">
      <c r="A223" s="50"/>
      <c r="B223" s="40" t="s">
        <v>3126</v>
      </c>
      <c r="C223" s="49" t="s">
        <v>3049</v>
      </c>
      <c r="D223" s="40" t="s">
        <v>3050</v>
      </c>
      <c r="E223" s="132" t="s">
        <v>344</v>
      </c>
      <c r="F223" s="133" t="s">
        <v>24</v>
      </c>
      <c r="G223" s="40" t="s">
        <v>3051</v>
      </c>
      <c r="H223" s="134" t="s">
        <v>3052</v>
      </c>
    </row>
    <row r="224" customHeight="1" spans="1:8">
      <c r="A224" s="50"/>
      <c r="B224" s="40" t="s">
        <v>3127</v>
      </c>
      <c r="C224" s="49" t="s">
        <v>3035</v>
      </c>
      <c r="D224" s="40" t="s">
        <v>3036</v>
      </c>
      <c r="E224" s="132" t="s">
        <v>608</v>
      </c>
      <c r="F224" s="133" t="s">
        <v>24</v>
      </c>
      <c r="G224" s="40" t="s">
        <v>1150</v>
      </c>
      <c r="H224" s="134" t="s">
        <v>3128</v>
      </c>
    </row>
    <row r="225" ht="20.1" customHeight="1" spans="1:8">
      <c r="A225" s="50"/>
      <c r="B225" s="40" t="s">
        <v>3129</v>
      </c>
      <c r="C225" s="49" t="s">
        <v>3039</v>
      </c>
      <c r="D225" s="40" t="s">
        <v>3040</v>
      </c>
      <c r="E225" s="132" t="s">
        <v>608</v>
      </c>
      <c r="F225" s="133" t="s">
        <v>24</v>
      </c>
      <c r="G225" s="40" t="s">
        <v>3041</v>
      </c>
      <c r="H225" s="134" t="s">
        <v>3130</v>
      </c>
    </row>
    <row r="226" customHeight="1" spans="1:8">
      <c r="A226" s="50"/>
      <c r="B226" s="148" t="s">
        <v>3131</v>
      </c>
      <c r="C226" s="49" t="s">
        <v>1381</v>
      </c>
      <c r="D226" s="148" t="s">
        <v>3054</v>
      </c>
      <c r="E226" s="132" t="s">
        <v>608</v>
      </c>
      <c r="F226" s="144" t="s">
        <v>24</v>
      </c>
      <c r="G226" s="140" t="s">
        <v>1166</v>
      </c>
      <c r="H226" s="149" t="s">
        <v>3055</v>
      </c>
    </row>
    <row r="227" ht="20.1" customHeight="1" spans="1:8">
      <c r="A227" s="50"/>
      <c r="B227" s="148" t="s">
        <v>3132</v>
      </c>
      <c r="C227" s="151" t="s">
        <v>3057</v>
      </c>
      <c r="D227" s="148" t="s">
        <v>3058</v>
      </c>
      <c r="E227" s="132" t="s">
        <v>608</v>
      </c>
      <c r="F227" s="144" t="s">
        <v>24</v>
      </c>
      <c r="G227" s="140" t="s">
        <v>3133</v>
      </c>
      <c r="H227" s="149" t="s">
        <v>3134</v>
      </c>
    </row>
    <row r="228" customHeight="1" spans="1:8">
      <c r="A228" s="50"/>
      <c r="B228" s="148" t="s">
        <v>3135</v>
      </c>
      <c r="C228" s="151" t="s">
        <v>3062</v>
      </c>
      <c r="D228" s="148" t="s">
        <v>3063</v>
      </c>
      <c r="E228" s="132" t="s">
        <v>608</v>
      </c>
      <c r="F228" s="144" t="s">
        <v>24</v>
      </c>
      <c r="G228" s="140" t="s">
        <v>1341</v>
      </c>
      <c r="H228" s="149" t="s">
        <v>3064</v>
      </c>
    </row>
    <row r="229" customHeight="1" spans="1:8">
      <c r="A229" s="50"/>
      <c r="B229" s="40" t="s">
        <v>3136</v>
      </c>
      <c r="C229" s="49" t="s">
        <v>2997</v>
      </c>
      <c r="D229" s="140" t="s">
        <v>3073</v>
      </c>
      <c r="E229" s="132" t="s">
        <v>344</v>
      </c>
      <c r="F229" s="133" t="s">
        <v>24</v>
      </c>
      <c r="G229" s="40" t="s">
        <v>1341</v>
      </c>
      <c r="H229" s="134" t="s">
        <v>3074</v>
      </c>
    </row>
    <row r="230" customHeight="1" spans="1:8">
      <c r="A230" s="50"/>
      <c r="B230" s="40" t="s">
        <v>3137</v>
      </c>
      <c r="C230" s="49" t="s">
        <v>3001</v>
      </c>
      <c r="D230" s="40" t="s">
        <v>3076</v>
      </c>
      <c r="E230" s="132" t="s">
        <v>475</v>
      </c>
      <c r="F230" s="133" t="s">
        <v>24</v>
      </c>
      <c r="G230" s="40" t="s">
        <v>354</v>
      </c>
      <c r="H230" s="134" t="s">
        <v>3077</v>
      </c>
    </row>
    <row r="231" customHeight="1" spans="1:8">
      <c r="A231" s="40" t="s">
        <v>3138</v>
      </c>
      <c r="B231" s="40" t="s">
        <v>3139</v>
      </c>
      <c r="C231" s="152" t="s">
        <v>3140</v>
      </c>
      <c r="D231" s="40" t="s">
        <v>3141</v>
      </c>
      <c r="E231" s="132" t="s">
        <v>344</v>
      </c>
      <c r="F231" s="133" t="s">
        <v>24</v>
      </c>
      <c r="G231" s="40" t="s">
        <v>1341</v>
      </c>
      <c r="H231" s="134" t="s">
        <v>3142</v>
      </c>
    </row>
    <row r="232" customHeight="1" spans="1:8">
      <c r="A232" s="40"/>
      <c r="B232" s="40" t="s">
        <v>3143</v>
      </c>
      <c r="C232" s="152" t="s">
        <v>2997</v>
      </c>
      <c r="D232" s="40" t="s">
        <v>3144</v>
      </c>
      <c r="E232" s="132" t="s">
        <v>344</v>
      </c>
      <c r="F232" s="133" t="s">
        <v>24</v>
      </c>
      <c r="G232" s="40" t="s">
        <v>1341</v>
      </c>
      <c r="H232" s="134" t="s">
        <v>3074</v>
      </c>
    </row>
    <row r="233" customHeight="1" spans="1:8">
      <c r="A233" s="50"/>
      <c r="B233" s="40" t="s">
        <v>3145</v>
      </c>
      <c r="C233" s="49" t="s">
        <v>3001</v>
      </c>
      <c r="D233" s="40" t="s">
        <v>3146</v>
      </c>
      <c r="E233" s="132" t="s">
        <v>475</v>
      </c>
      <c r="F233" s="133" t="s">
        <v>24</v>
      </c>
      <c r="G233" s="40" t="s">
        <v>354</v>
      </c>
      <c r="H233" s="134" t="s">
        <v>3077</v>
      </c>
    </row>
    <row r="234" customHeight="1" spans="1:8">
      <c r="A234" s="40"/>
      <c r="B234" s="40" t="s">
        <v>3147</v>
      </c>
      <c r="C234" s="152" t="s">
        <v>3148</v>
      </c>
      <c r="D234" s="140" t="s">
        <v>3149</v>
      </c>
      <c r="E234" s="132" t="s">
        <v>344</v>
      </c>
      <c r="F234" s="133" t="s">
        <v>24</v>
      </c>
      <c r="G234" s="40" t="s">
        <v>2985</v>
      </c>
      <c r="H234" s="141" t="s">
        <v>3149</v>
      </c>
    </row>
    <row r="235" customHeight="1" spans="1:8">
      <c r="A235" s="40"/>
      <c r="B235" s="40" t="s">
        <v>3150</v>
      </c>
      <c r="C235" s="152" t="s">
        <v>3151</v>
      </c>
      <c r="D235" s="140" t="s">
        <v>3152</v>
      </c>
      <c r="E235" s="132" t="s">
        <v>344</v>
      </c>
      <c r="F235" s="133" t="s">
        <v>24</v>
      </c>
      <c r="G235" s="40" t="s">
        <v>2985</v>
      </c>
      <c r="H235" s="141" t="s">
        <v>3152</v>
      </c>
    </row>
    <row r="236" customHeight="1" spans="1:8">
      <c r="A236" s="40"/>
      <c r="B236" s="40" t="s">
        <v>3153</v>
      </c>
      <c r="C236" s="152" t="s">
        <v>3093</v>
      </c>
      <c r="D236" s="140" t="s">
        <v>3154</v>
      </c>
      <c r="E236" s="132" t="s">
        <v>344</v>
      </c>
      <c r="F236" s="133" t="s">
        <v>24</v>
      </c>
      <c r="G236" s="40" t="s">
        <v>2968</v>
      </c>
      <c r="H236" s="134" t="s">
        <v>3155</v>
      </c>
    </row>
    <row r="237" customHeight="1" spans="1:8">
      <c r="A237" s="40"/>
      <c r="B237" s="40" t="s">
        <v>3156</v>
      </c>
      <c r="C237" s="49" t="s">
        <v>3097</v>
      </c>
      <c r="D237" s="40" t="s">
        <v>3157</v>
      </c>
      <c r="E237" s="132" t="s">
        <v>475</v>
      </c>
      <c r="F237" s="133" t="s">
        <v>24</v>
      </c>
      <c r="G237" s="40" t="s">
        <v>3158</v>
      </c>
      <c r="H237" s="134" t="s">
        <v>3159</v>
      </c>
    </row>
    <row r="238" customHeight="1" spans="1:8">
      <c r="A238" s="40"/>
      <c r="B238" s="40" t="s">
        <v>3160</v>
      </c>
      <c r="C238" s="152" t="s">
        <v>3161</v>
      </c>
      <c r="D238" s="140" t="s">
        <v>3162</v>
      </c>
      <c r="E238" s="132" t="s">
        <v>344</v>
      </c>
      <c r="F238" s="133" t="s">
        <v>24</v>
      </c>
      <c r="G238" s="40" t="s">
        <v>3163</v>
      </c>
      <c r="H238" s="141" t="s">
        <v>3162</v>
      </c>
    </row>
    <row r="239" customHeight="1" spans="1:8">
      <c r="A239" s="40"/>
      <c r="B239" s="40" t="s">
        <v>3164</v>
      </c>
      <c r="C239" s="152" t="s">
        <v>3165</v>
      </c>
      <c r="D239" s="140" t="s">
        <v>3149</v>
      </c>
      <c r="E239" s="132" t="s">
        <v>475</v>
      </c>
      <c r="F239" s="133" t="s">
        <v>24</v>
      </c>
      <c r="G239" s="40" t="s">
        <v>2985</v>
      </c>
      <c r="H239" s="141" t="s">
        <v>3149</v>
      </c>
    </row>
    <row r="240" customHeight="1" spans="1:8">
      <c r="A240" s="40"/>
      <c r="B240" s="40" t="s">
        <v>3166</v>
      </c>
      <c r="C240" s="152" t="s">
        <v>3116</v>
      </c>
      <c r="D240" s="140" t="s">
        <v>3152</v>
      </c>
      <c r="E240" s="132" t="s">
        <v>475</v>
      </c>
      <c r="F240" s="133" t="s">
        <v>24</v>
      </c>
      <c r="G240" s="40" t="s">
        <v>2985</v>
      </c>
      <c r="H240" s="141" t="s">
        <v>3152</v>
      </c>
    </row>
    <row r="241" customHeight="1" spans="1:8">
      <c r="A241" s="40"/>
      <c r="B241" s="40" t="s">
        <v>3167</v>
      </c>
      <c r="C241" s="49" t="s">
        <v>2923</v>
      </c>
      <c r="D241" s="140" t="s">
        <v>2924</v>
      </c>
      <c r="E241" s="132" t="s">
        <v>344</v>
      </c>
      <c r="F241" s="133" t="s">
        <v>24</v>
      </c>
      <c r="G241" s="40" t="s">
        <v>354</v>
      </c>
      <c r="H241" s="141" t="s">
        <v>2925</v>
      </c>
    </row>
    <row r="242" customHeight="1" spans="1:8">
      <c r="A242" s="40"/>
      <c r="B242" s="40" t="s">
        <v>3168</v>
      </c>
      <c r="C242" s="49" t="s">
        <v>2915</v>
      </c>
      <c r="D242" s="140" t="s">
        <v>2916</v>
      </c>
      <c r="E242" s="132" t="s">
        <v>344</v>
      </c>
      <c r="F242" s="133" t="s">
        <v>24</v>
      </c>
      <c r="G242" s="40" t="s">
        <v>71</v>
      </c>
      <c r="H242" s="141" t="s">
        <v>2916</v>
      </c>
    </row>
    <row r="243" customHeight="1" spans="1:8">
      <c r="A243" s="40"/>
      <c r="B243" s="40" t="s">
        <v>3169</v>
      </c>
      <c r="C243" s="49" t="s">
        <v>3035</v>
      </c>
      <c r="D243" s="40" t="s">
        <v>3036</v>
      </c>
      <c r="E243" s="132" t="s">
        <v>608</v>
      </c>
      <c r="F243" s="133" t="s">
        <v>24</v>
      </c>
      <c r="G243" s="40" t="s">
        <v>2487</v>
      </c>
      <c r="H243" s="134" t="s">
        <v>3170</v>
      </c>
    </row>
    <row r="244" ht="21" customHeight="1" spans="1:8">
      <c r="A244" s="40"/>
      <c r="B244" s="40" t="s">
        <v>3171</v>
      </c>
      <c r="C244" s="49" t="s">
        <v>3039</v>
      </c>
      <c r="D244" s="40" t="s">
        <v>3040</v>
      </c>
      <c r="E244" s="132" t="s">
        <v>608</v>
      </c>
      <c r="F244" s="133" t="s">
        <v>24</v>
      </c>
      <c r="G244" s="40" t="s">
        <v>3172</v>
      </c>
      <c r="H244" s="134" t="s">
        <v>3173</v>
      </c>
    </row>
    <row r="245" customHeight="1" spans="1:8">
      <c r="A245" s="40"/>
      <c r="B245" s="40" t="s">
        <v>3174</v>
      </c>
      <c r="C245" s="49" t="s">
        <v>2482</v>
      </c>
      <c r="D245" s="40" t="s">
        <v>2484</v>
      </c>
      <c r="E245" s="132" t="s">
        <v>344</v>
      </c>
      <c r="F245" s="133" t="s">
        <v>24</v>
      </c>
      <c r="G245" s="40" t="s">
        <v>689</v>
      </c>
      <c r="H245" s="134" t="s">
        <v>2484</v>
      </c>
    </row>
    <row r="246" customHeight="1" spans="1:8">
      <c r="A246" s="153"/>
      <c r="B246" s="142" t="s">
        <v>3175</v>
      </c>
      <c r="C246" s="154" t="s">
        <v>3140</v>
      </c>
      <c r="D246" s="142" t="s">
        <v>3141</v>
      </c>
      <c r="E246" s="132" t="s">
        <v>344</v>
      </c>
      <c r="F246" s="144" t="s">
        <v>24</v>
      </c>
      <c r="G246" s="142" t="s">
        <v>1341</v>
      </c>
      <c r="H246" s="145" t="s">
        <v>3142</v>
      </c>
    </row>
    <row r="247" customHeight="1" spans="1:8">
      <c r="A247" s="136"/>
      <c r="B247" s="40" t="s">
        <v>3176</v>
      </c>
      <c r="C247" s="49" t="s">
        <v>903</v>
      </c>
      <c r="D247" s="40" t="s">
        <v>3177</v>
      </c>
      <c r="E247" s="132" t="s">
        <v>608</v>
      </c>
      <c r="F247" s="133" t="s">
        <v>24</v>
      </c>
      <c r="G247" s="40" t="s">
        <v>345</v>
      </c>
      <c r="H247" s="134" t="s">
        <v>3178</v>
      </c>
    </row>
    <row r="248" customHeight="1" spans="1:8">
      <c r="A248" s="50"/>
      <c r="B248" s="40" t="s">
        <v>3179</v>
      </c>
      <c r="C248" s="49" t="s">
        <v>2997</v>
      </c>
      <c r="D248" s="140" t="s">
        <v>3073</v>
      </c>
      <c r="E248" s="132" t="s">
        <v>475</v>
      </c>
      <c r="F248" s="133" t="s">
        <v>24</v>
      </c>
      <c r="G248" s="40" t="s">
        <v>1341</v>
      </c>
      <c r="H248" s="134" t="s">
        <v>3074</v>
      </c>
    </row>
    <row r="249" customHeight="1" spans="1:8">
      <c r="A249" s="50"/>
      <c r="B249" s="40" t="s">
        <v>3180</v>
      </c>
      <c r="C249" s="49" t="s">
        <v>3001</v>
      </c>
      <c r="D249" s="40" t="s">
        <v>3076</v>
      </c>
      <c r="E249" s="132" t="s">
        <v>475</v>
      </c>
      <c r="F249" s="133" t="s">
        <v>24</v>
      </c>
      <c r="G249" s="40" t="s">
        <v>354</v>
      </c>
      <c r="H249" s="134" t="s">
        <v>3077</v>
      </c>
    </row>
    <row r="250" ht="22.5" customHeight="1" spans="1:8">
      <c r="A250" s="155" t="s">
        <v>3181</v>
      </c>
      <c r="B250" s="40" t="s">
        <v>3182</v>
      </c>
      <c r="C250" s="49" t="s">
        <v>3183</v>
      </c>
      <c r="D250" s="40" t="s">
        <v>3184</v>
      </c>
      <c r="E250" s="132" t="s">
        <v>344</v>
      </c>
      <c r="F250" s="133" t="s">
        <v>24</v>
      </c>
      <c r="G250" s="40" t="s">
        <v>3185</v>
      </c>
      <c r="H250" s="134" t="s">
        <v>3186</v>
      </c>
    </row>
    <row r="251" ht="21" customHeight="1" spans="1:8">
      <c r="A251" s="155" t="s">
        <v>3187</v>
      </c>
      <c r="B251" s="40" t="s">
        <v>3188</v>
      </c>
      <c r="C251" s="49" t="s">
        <v>3189</v>
      </c>
      <c r="D251" s="40" t="s">
        <v>3190</v>
      </c>
      <c r="E251" s="132" t="s">
        <v>475</v>
      </c>
      <c r="F251" s="133" t="s">
        <v>24</v>
      </c>
      <c r="G251" s="40" t="s">
        <v>1150</v>
      </c>
      <c r="H251" s="134" t="s">
        <v>3191</v>
      </c>
    </row>
  </sheetData>
  <autoFilter ref="A1:I251">
    <extLst/>
  </autoFilter>
  <mergeCells count="14">
    <mergeCell ref="A2:A18"/>
    <mergeCell ref="A19:A30"/>
    <mergeCell ref="A31:A49"/>
    <mergeCell ref="A50:A68"/>
    <mergeCell ref="A69:A88"/>
    <mergeCell ref="A89:A108"/>
    <mergeCell ref="A109:A131"/>
    <mergeCell ref="A132:A145"/>
    <mergeCell ref="A146:A162"/>
    <mergeCell ref="A163:A167"/>
    <mergeCell ref="A168:A176"/>
    <mergeCell ref="A177:A203"/>
    <mergeCell ref="A204:A230"/>
    <mergeCell ref="A231:A249"/>
  </mergeCells>
  <dataValidations count="2">
    <dataValidation type="list" allowBlank="1" showInputMessage="1" showErrorMessage="1" sqref="G29 G49 G68 G88 G131 G46:G47 G64:G65 G85:G86 G106:G108 G128:G129 G144:G145 G161:G167">
      <formula1>"unsignedChar,unsignedShort,unsignedInt,unsignedLong,Char,Short,Int,Long,Double,boolean,string,date,dataTime,ENUMERATED"</formula1>
    </dataValidation>
    <dataValidation type="list" allowBlank="1" showInputMessage="1" showErrorMessage="1" sqref="F246 F4:F30 F46:F49 F64:F65 F67:F68 F85:F88 F105:F108 F128:F131 F144:F145 F161:F167 F175:F176 F250:F251">
      <formula1>"R,W,RW"</formula1>
    </dataValidation>
  </dataValidations>
  <pageMargins left="0.699305555555556" right="0.699305555555556"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J10"/>
  <sheetViews>
    <sheetView workbookViewId="0">
      <pane xSplit="1" ySplit="1" topLeftCell="B2" activePane="bottomRight" state="frozen"/>
      <selection/>
      <selection pane="topRight"/>
      <selection pane="bottomLeft"/>
      <selection pane="bottomRight" activeCell="C22" sqref="C22"/>
    </sheetView>
  </sheetViews>
  <sheetFormatPr defaultColWidth="57.375" defaultRowHeight="11.25"/>
  <cols>
    <col min="1" max="1" width="11.625" style="119" customWidth="1"/>
    <col min="2" max="2" width="63" style="119" customWidth="1"/>
    <col min="3" max="3" width="21.375" style="119" customWidth="1"/>
    <col min="4" max="4" width="18.875" style="119" customWidth="1"/>
    <col min="5" max="5" width="6.375" style="119" customWidth="1"/>
    <col min="6" max="6" width="11.375" style="120" customWidth="1"/>
    <col min="7" max="7" width="17.375" style="120" customWidth="1"/>
    <col min="8" max="8" width="11.75" style="120" customWidth="1"/>
    <col min="9" max="9" width="43.625" style="119" customWidth="1"/>
    <col min="10" max="16384" width="57.375" style="119"/>
  </cols>
  <sheetData>
    <row r="1" s="117" customFormat="1" ht="24.75" customHeight="1" spans="1:10">
      <c r="A1" s="11" t="s">
        <v>335</v>
      </c>
      <c r="B1" s="11" t="s">
        <v>336</v>
      </c>
      <c r="C1" s="33" t="s">
        <v>2</v>
      </c>
      <c r="D1" s="11" t="s">
        <v>3</v>
      </c>
      <c r="E1" s="11" t="s">
        <v>337</v>
      </c>
      <c r="F1" s="11" t="s">
        <v>8</v>
      </c>
      <c r="G1" s="11" t="s">
        <v>6</v>
      </c>
      <c r="H1" s="11" t="s">
        <v>338</v>
      </c>
      <c r="I1" s="11" t="s">
        <v>339</v>
      </c>
      <c r="J1" s="127"/>
    </row>
    <row r="2" s="118" customFormat="1" spans="1:9">
      <c r="A2" s="121" t="s">
        <v>315</v>
      </c>
      <c r="B2" s="35" t="s">
        <v>3192</v>
      </c>
      <c r="C2" s="122" t="s">
        <v>969</v>
      </c>
      <c r="D2" s="122" t="s">
        <v>2569</v>
      </c>
      <c r="E2" s="123" t="s">
        <v>344</v>
      </c>
      <c r="F2" s="124" t="s">
        <v>24</v>
      </c>
      <c r="G2" s="125" t="s">
        <v>3193</v>
      </c>
      <c r="H2" s="122" t="s">
        <v>346</v>
      </c>
      <c r="I2" s="127"/>
    </row>
    <row r="3" s="118" customFormat="1" spans="1:9">
      <c r="A3" s="126"/>
      <c r="B3" s="35" t="s">
        <v>3194</v>
      </c>
      <c r="C3" s="122" t="s">
        <v>3195</v>
      </c>
      <c r="D3" s="122" t="s">
        <v>3196</v>
      </c>
      <c r="E3" s="123" t="s">
        <v>344</v>
      </c>
      <c r="F3" s="124" t="s">
        <v>24</v>
      </c>
      <c r="G3" s="125" t="s">
        <v>28</v>
      </c>
      <c r="H3" s="122" t="s">
        <v>346</v>
      </c>
      <c r="I3" s="127"/>
    </row>
    <row r="4" s="118" customFormat="1" spans="1:9">
      <c r="A4" s="126"/>
      <c r="B4" s="35" t="s">
        <v>3197</v>
      </c>
      <c r="C4" s="122" t="s">
        <v>3198</v>
      </c>
      <c r="D4" s="122" t="s">
        <v>3199</v>
      </c>
      <c r="E4" s="123" t="s">
        <v>344</v>
      </c>
      <c r="F4" s="124" t="s">
        <v>24</v>
      </c>
      <c r="G4" s="125" t="s">
        <v>28</v>
      </c>
      <c r="H4" s="122" t="s">
        <v>346</v>
      </c>
      <c r="I4" s="127"/>
    </row>
    <row r="5" s="118" customFormat="1" spans="1:9">
      <c r="A5" s="126"/>
      <c r="B5" s="35" t="s">
        <v>3200</v>
      </c>
      <c r="C5" s="122" t="s">
        <v>3201</v>
      </c>
      <c r="D5" s="122" t="s">
        <v>3202</v>
      </c>
      <c r="E5" s="123" t="s">
        <v>344</v>
      </c>
      <c r="F5" s="124" t="s">
        <v>24</v>
      </c>
      <c r="G5" s="125" t="s">
        <v>28</v>
      </c>
      <c r="H5" s="122" t="s">
        <v>346</v>
      </c>
      <c r="I5" s="127"/>
    </row>
    <row r="6" s="118" customFormat="1" spans="1:9">
      <c r="A6" s="126"/>
      <c r="B6" s="35" t="s">
        <v>3203</v>
      </c>
      <c r="C6" s="122" t="s">
        <v>3204</v>
      </c>
      <c r="D6" s="122" t="s">
        <v>3205</v>
      </c>
      <c r="E6" s="123" t="s">
        <v>344</v>
      </c>
      <c r="F6" s="124" t="s">
        <v>24</v>
      </c>
      <c r="G6" s="125" t="s">
        <v>28</v>
      </c>
      <c r="H6" s="122" t="s">
        <v>346</v>
      </c>
      <c r="I6" s="127"/>
    </row>
    <row r="7" s="118" customFormat="1" spans="1:9">
      <c r="A7" s="126"/>
      <c r="B7" s="35" t="s">
        <v>3206</v>
      </c>
      <c r="C7" s="122" t="s">
        <v>3207</v>
      </c>
      <c r="D7" s="122" t="s">
        <v>3208</v>
      </c>
      <c r="E7" s="123" t="s">
        <v>344</v>
      </c>
      <c r="F7" s="124" t="s">
        <v>24</v>
      </c>
      <c r="G7" s="125" t="s">
        <v>643</v>
      </c>
      <c r="H7" s="122" t="s">
        <v>346</v>
      </c>
      <c r="I7" s="127"/>
    </row>
    <row r="8" s="118" customFormat="1" spans="1:9">
      <c r="A8" s="126"/>
      <c r="B8" s="35" t="s">
        <v>3209</v>
      </c>
      <c r="C8" s="122" t="s">
        <v>3210</v>
      </c>
      <c r="D8" s="122" t="s">
        <v>3211</v>
      </c>
      <c r="E8" s="123" t="s">
        <v>344</v>
      </c>
      <c r="F8" s="124" t="s">
        <v>24</v>
      </c>
      <c r="G8" s="125" t="s">
        <v>28</v>
      </c>
      <c r="H8" s="122" t="s">
        <v>346</v>
      </c>
      <c r="I8" s="127"/>
    </row>
    <row r="9" s="118" customFormat="1" spans="1:9">
      <c r="A9" s="126"/>
      <c r="B9" s="35" t="s">
        <v>3212</v>
      </c>
      <c r="C9" s="122" t="s">
        <v>3213</v>
      </c>
      <c r="D9" s="122" t="s">
        <v>3214</v>
      </c>
      <c r="E9" s="123" t="s">
        <v>344</v>
      </c>
      <c r="F9" s="124" t="s">
        <v>24</v>
      </c>
      <c r="G9" s="125" t="s">
        <v>28</v>
      </c>
      <c r="H9" s="122" t="s">
        <v>346</v>
      </c>
      <c r="I9" s="127"/>
    </row>
    <row r="10" s="118" customFormat="1" spans="1:9">
      <c r="A10" s="126"/>
      <c r="B10" s="35" t="s">
        <v>3215</v>
      </c>
      <c r="C10" s="122" t="s">
        <v>3216</v>
      </c>
      <c r="D10" s="122" t="s">
        <v>3217</v>
      </c>
      <c r="E10" s="123" t="s">
        <v>344</v>
      </c>
      <c r="F10" s="124" t="s">
        <v>24</v>
      </c>
      <c r="G10" s="125" t="s">
        <v>28</v>
      </c>
      <c r="H10" s="125" t="s">
        <v>346</v>
      </c>
      <c r="I10" s="127"/>
    </row>
  </sheetData>
  <mergeCells count="1">
    <mergeCell ref="A2:A10"/>
  </mergeCells>
  <pageMargins left="0.699305555555556" right="0.699305555555556" top="0.75" bottom="0.75" header="0.3" footer="0.3"/>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I37"/>
  <sheetViews>
    <sheetView workbookViewId="0">
      <pane xSplit="1" ySplit="1" topLeftCell="B8" activePane="bottomRight" state="frozen"/>
      <selection/>
      <selection pane="topRight"/>
      <selection pane="bottomLeft"/>
      <selection pane="bottomRight" activeCell="A33" sqref="A33:A37"/>
    </sheetView>
  </sheetViews>
  <sheetFormatPr defaultColWidth="9" defaultRowHeight="13.5"/>
  <cols>
    <col min="1" max="1" width="9.125" customWidth="1"/>
    <col min="2" max="2" width="56.125" style="99" customWidth="1"/>
    <col min="3" max="3" width="13" style="32" customWidth="1"/>
    <col min="4" max="4" width="20.5" style="32" customWidth="1"/>
    <col min="5" max="5" width="6.375" style="32" customWidth="1"/>
    <col min="6" max="6" width="11.375" style="32" customWidth="1"/>
    <col min="7" max="7" width="11.625" style="99" customWidth="1"/>
    <col min="8" max="8" width="27.25" style="32" customWidth="1"/>
    <col min="9" max="9" width="28" customWidth="1"/>
  </cols>
  <sheetData>
    <row r="1" s="96" customFormat="1" ht="26.25" customHeight="1" spans="1:9">
      <c r="A1" s="11" t="s">
        <v>335</v>
      </c>
      <c r="B1" s="11" t="s">
        <v>336</v>
      </c>
      <c r="C1" s="33" t="s">
        <v>2</v>
      </c>
      <c r="D1" s="11" t="s">
        <v>3</v>
      </c>
      <c r="E1" s="11" t="s">
        <v>337</v>
      </c>
      <c r="F1" s="11" t="s">
        <v>8</v>
      </c>
      <c r="G1" s="11" t="s">
        <v>6</v>
      </c>
      <c r="H1" s="11" t="s">
        <v>338</v>
      </c>
      <c r="I1" s="11" t="s">
        <v>339</v>
      </c>
    </row>
    <row r="2" s="97" customFormat="1" customHeight="1" spans="1:9">
      <c r="A2" s="100" t="s">
        <v>318</v>
      </c>
      <c r="B2" s="101" t="s">
        <v>3218</v>
      </c>
      <c r="C2" s="101" t="s">
        <v>969</v>
      </c>
      <c r="D2" s="101" t="s">
        <v>3219</v>
      </c>
      <c r="E2" s="102" t="s">
        <v>344</v>
      </c>
      <c r="F2" s="102" t="s">
        <v>24</v>
      </c>
      <c r="G2" s="101" t="s">
        <v>71</v>
      </c>
      <c r="H2" s="101" t="s">
        <v>3220</v>
      </c>
      <c r="I2" s="113"/>
    </row>
    <row r="3" s="97" customFormat="1" spans="1:9">
      <c r="A3" s="103"/>
      <c r="B3" s="101" t="s">
        <v>3221</v>
      </c>
      <c r="C3" s="101" t="s">
        <v>3222</v>
      </c>
      <c r="D3" s="101" t="s">
        <v>3223</v>
      </c>
      <c r="E3" s="102" t="s">
        <v>344</v>
      </c>
      <c r="F3" s="102" t="s">
        <v>57</v>
      </c>
      <c r="G3" s="101" t="s">
        <v>419</v>
      </c>
      <c r="H3" s="101" t="s">
        <v>3223</v>
      </c>
      <c r="I3" s="113"/>
    </row>
    <row r="4" s="97" customFormat="1" spans="1:9">
      <c r="A4" s="103"/>
      <c r="B4" s="101" t="s">
        <v>3224</v>
      </c>
      <c r="C4" s="101" t="s">
        <v>380</v>
      </c>
      <c r="D4" s="101" t="s">
        <v>3225</v>
      </c>
      <c r="E4" s="102" t="s">
        <v>344</v>
      </c>
      <c r="F4" s="102" t="s">
        <v>57</v>
      </c>
      <c r="G4" s="101" t="s">
        <v>419</v>
      </c>
      <c r="H4" s="101" t="s">
        <v>3226</v>
      </c>
      <c r="I4" s="113"/>
    </row>
    <row r="5" s="97" customFormat="1" customHeight="1" spans="1:9">
      <c r="A5" s="103"/>
      <c r="B5" s="101" t="s">
        <v>3227</v>
      </c>
      <c r="C5" s="101" t="s">
        <v>3228</v>
      </c>
      <c r="D5" s="101" t="s">
        <v>3229</v>
      </c>
      <c r="E5" s="102" t="s">
        <v>344</v>
      </c>
      <c r="F5" s="102" t="s">
        <v>57</v>
      </c>
      <c r="G5" s="101" t="s">
        <v>3230</v>
      </c>
      <c r="H5" s="101" t="s">
        <v>346</v>
      </c>
      <c r="I5" s="113"/>
    </row>
    <row r="6" s="97" customFormat="1" spans="1:9">
      <c r="A6" s="103"/>
      <c r="B6" s="101" t="s">
        <v>3231</v>
      </c>
      <c r="C6" s="101" t="s">
        <v>3232</v>
      </c>
      <c r="D6" s="101" t="s">
        <v>3233</v>
      </c>
      <c r="E6" s="102" t="s">
        <v>344</v>
      </c>
      <c r="F6" s="102" t="s">
        <v>24</v>
      </c>
      <c r="G6" s="101" t="s">
        <v>419</v>
      </c>
      <c r="H6" s="101" t="s">
        <v>3234</v>
      </c>
      <c r="I6" s="114" t="s">
        <v>3235</v>
      </c>
    </row>
    <row r="7" s="97" customFormat="1" ht="22.5" spans="1:9">
      <c r="A7" s="103"/>
      <c r="B7" s="101" t="s">
        <v>3236</v>
      </c>
      <c r="C7" s="101" t="s">
        <v>3237</v>
      </c>
      <c r="D7" s="101" t="s">
        <v>3238</v>
      </c>
      <c r="E7" s="102" t="s">
        <v>344</v>
      </c>
      <c r="F7" s="102" t="s">
        <v>57</v>
      </c>
      <c r="G7" s="101" t="s">
        <v>419</v>
      </c>
      <c r="H7" s="101" t="s">
        <v>3239</v>
      </c>
      <c r="I7" s="113"/>
    </row>
    <row r="8" s="97" customFormat="1" spans="1:9">
      <c r="A8" s="103"/>
      <c r="B8" s="101" t="s">
        <v>3240</v>
      </c>
      <c r="C8" s="101" t="s">
        <v>3241</v>
      </c>
      <c r="D8" s="101" t="s">
        <v>3242</v>
      </c>
      <c r="E8" s="102" t="s">
        <v>344</v>
      </c>
      <c r="F8" s="102" t="s">
        <v>24</v>
      </c>
      <c r="G8" s="101" t="s">
        <v>419</v>
      </c>
      <c r="H8" s="101" t="s">
        <v>3243</v>
      </c>
      <c r="I8" s="114" t="s">
        <v>3235</v>
      </c>
    </row>
    <row r="9" s="97" customFormat="1" ht="45" spans="1:9">
      <c r="A9" s="103"/>
      <c r="B9" s="101" t="s">
        <v>3244</v>
      </c>
      <c r="C9" s="101" t="s">
        <v>3245</v>
      </c>
      <c r="D9" s="101" t="s">
        <v>3246</v>
      </c>
      <c r="E9" s="102" t="s">
        <v>475</v>
      </c>
      <c r="F9" s="104" t="s">
        <v>57</v>
      </c>
      <c r="G9" s="105" t="s">
        <v>419</v>
      </c>
      <c r="H9" s="105" t="s">
        <v>3247</v>
      </c>
      <c r="I9" s="113"/>
    </row>
    <row r="10" s="97" customFormat="1" spans="1:9">
      <c r="A10" s="103"/>
      <c r="B10" s="101" t="s">
        <v>3248</v>
      </c>
      <c r="C10" s="101" t="s">
        <v>3249</v>
      </c>
      <c r="D10" s="101" t="s">
        <v>3250</v>
      </c>
      <c r="E10" s="102" t="s">
        <v>344</v>
      </c>
      <c r="F10" s="104" t="s">
        <v>24</v>
      </c>
      <c r="G10" s="101" t="s">
        <v>3251</v>
      </c>
      <c r="H10" s="101" t="s">
        <v>346</v>
      </c>
      <c r="I10" s="113"/>
    </row>
    <row r="11" s="97" customFormat="1" spans="1:9">
      <c r="A11" s="103"/>
      <c r="B11" s="101" t="s">
        <v>3252</v>
      </c>
      <c r="C11" s="101" t="s">
        <v>3253</v>
      </c>
      <c r="D11" s="101" t="s">
        <v>3254</v>
      </c>
      <c r="E11" s="102" t="s">
        <v>344</v>
      </c>
      <c r="F11" s="104" t="s">
        <v>24</v>
      </c>
      <c r="G11" s="101" t="s">
        <v>3251</v>
      </c>
      <c r="H11" s="101" t="s">
        <v>346</v>
      </c>
      <c r="I11" s="113"/>
    </row>
    <row r="12" s="97" customFormat="1" spans="1:9">
      <c r="A12" s="103"/>
      <c r="B12" s="101" t="s">
        <v>3255</v>
      </c>
      <c r="C12" s="101" t="s">
        <v>912</v>
      </c>
      <c r="D12" s="101" t="s">
        <v>3256</v>
      </c>
      <c r="E12" s="102" t="s">
        <v>344</v>
      </c>
      <c r="F12" s="104" t="s">
        <v>24</v>
      </c>
      <c r="G12" s="101" t="s">
        <v>419</v>
      </c>
      <c r="H12" s="101" t="s">
        <v>346</v>
      </c>
      <c r="I12" s="113"/>
    </row>
    <row r="13" s="97" customFormat="1" spans="1:9">
      <c r="A13" s="103"/>
      <c r="B13" s="101" t="s">
        <v>3257</v>
      </c>
      <c r="C13" s="101" t="s">
        <v>3258</v>
      </c>
      <c r="D13" s="101" t="s">
        <v>3259</v>
      </c>
      <c r="E13" s="102" t="s">
        <v>344</v>
      </c>
      <c r="F13" s="104" t="s">
        <v>24</v>
      </c>
      <c r="G13" s="101" t="s">
        <v>419</v>
      </c>
      <c r="H13" s="101" t="s">
        <v>3260</v>
      </c>
      <c r="I13" s="113"/>
    </row>
    <row r="14" s="98" customFormat="1" ht="22.5" spans="1:9">
      <c r="A14" s="103"/>
      <c r="B14" s="101" t="s">
        <v>3261</v>
      </c>
      <c r="C14" s="101" t="s">
        <v>3262</v>
      </c>
      <c r="D14" s="101" t="s">
        <v>3263</v>
      </c>
      <c r="E14" s="102" t="s">
        <v>344</v>
      </c>
      <c r="F14" s="102" t="s">
        <v>24</v>
      </c>
      <c r="G14" s="101" t="s">
        <v>419</v>
      </c>
      <c r="H14" s="101" t="s">
        <v>3264</v>
      </c>
      <c r="I14" s="115" t="s">
        <v>3265</v>
      </c>
    </row>
    <row r="15" spans="1:9">
      <c r="A15" s="103"/>
      <c r="B15" s="105" t="s">
        <v>3266</v>
      </c>
      <c r="C15" s="105" t="s">
        <v>3249</v>
      </c>
      <c r="D15" s="105" t="s">
        <v>3267</v>
      </c>
      <c r="E15" s="106" t="s">
        <v>475</v>
      </c>
      <c r="F15" s="104" t="s">
        <v>24</v>
      </c>
      <c r="G15" s="105" t="s">
        <v>354</v>
      </c>
      <c r="H15" s="105" t="s">
        <v>346</v>
      </c>
      <c r="I15" s="53"/>
    </row>
    <row r="16" ht="22.5" spans="1:9">
      <c r="A16" s="103"/>
      <c r="B16" s="105" t="s">
        <v>3268</v>
      </c>
      <c r="C16" s="105" t="s">
        <v>3269</v>
      </c>
      <c r="D16" s="105" t="s">
        <v>3270</v>
      </c>
      <c r="E16" s="106" t="s">
        <v>475</v>
      </c>
      <c r="F16" s="104" t="s">
        <v>24</v>
      </c>
      <c r="G16" s="105" t="s">
        <v>3271</v>
      </c>
      <c r="H16" s="105" t="s">
        <v>346</v>
      </c>
      <c r="I16" s="53"/>
    </row>
    <row r="17" spans="1:9">
      <c r="A17" s="103"/>
      <c r="B17" s="105" t="s">
        <v>3272</v>
      </c>
      <c r="C17" s="105" t="s">
        <v>3273</v>
      </c>
      <c r="D17" s="105" t="s">
        <v>3274</v>
      </c>
      <c r="E17" s="106" t="s">
        <v>475</v>
      </c>
      <c r="F17" s="104" t="s">
        <v>24</v>
      </c>
      <c r="G17" s="105" t="s">
        <v>419</v>
      </c>
      <c r="H17" s="105" t="s">
        <v>3275</v>
      </c>
      <c r="I17" s="53"/>
    </row>
    <row r="18" ht="22.5" spans="1:9">
      <c r="A18" s="103"/>
      <c r="B18" s="105" t="s">
        <v>3276</v>
      </c>
      <c r="C18" s="105" t="s">
        <v>3262</v>
      </c>
      <c r="D18" s="105" t="s">
        <v>3263</v>
      </c>
      <c r="E18" s="106" t="s">
        <v>475</v>
      </c>
      <c r="F18" s="102" t="s">
        <v>24</v>
      </c>
      <c r="G18" s="105" t="s">
        <v>419</v>
      </c>
      <c r="H18" s="105" t="s">
        <v>3277</v>
      </c>
      <c r="I18" s="116" t="s">
        <v>3278</v>
      </c>
    </row>
    <row r="19" spans="1:9">
      <c r="A19" s="103"/>
      <c r="B19" s="105" t="s">
        <v>3279</v>
      </c>
      <c r="C19" s="105" t="s">
        <v>3253</v>
      </c>
      <c r="D19" s="105" t="s">
        <v>3254</v>
      </c>
      <c r="E19" s="106" t="s">
        <v>475</v>
      </c>
      <c r="F19" s="102" t="s">
        <v>24</v>
      </c>
      <c r="G19" s="105" t="s">
        <v>354</v>
      </c>
      <c r="H19" s="105" t="s">
        <v>346</v>
      </c>
      <c r="I19" s="53"/>
    </row>
    <row r="20" spans="1:9">
      <c r="A20" s="107" t="s">
        <v>3280</v>
      </c>
      <c r="B20" s="105" t="s">
        <v>3281</v>
      </c>
      <c r="C20" s="105" t="s">
        <v>3222</v>
      </c>
      <c r="D20" s="105" t="s">
        <v>3282</v>
      </c>
      <c r="E20" s="102" t="s">
        <v>344</v>
      </c>
      <c r="F20" s="108" t="s">
        <v>24</v>
      </c>
      <c r="G20" s="105" t="s">
        <v>419</v>
      </c>
      <c r="H20" s="109" t="s">
        <v>3282</v>
      </c>
      <c r="I20" s="53"/>
    </row>
    <row r="21" spans="1:9">
      <c r="A21" s="107"/>
      <c r="B21" s="105" t="s">
        <v>3283</v>
      </c>
      <c r="C21" s="105" t="s">
        <v>3284</v>
      </c>
      <c r="D21" s="105" t="s">
        <v>3285</v>
      </c>
      <c r="E21" s="102" t="s">
        <v>344</v>
      </c>
      <c r="F21" s="108" t="s">
        <v>24</v>
      </c>
      <c r="G21" s="105" t="s">
        <v>3286</v>
      </c>
      <c r="H21" s="109" t="s">
        <v>3287</v>
      </c>
      <c r="I21" s="53"/>
    </row>
    <row r="22" spans="1:9">
      <c r="A22" s="107"/>
      <c r="B22" s="105" t="s">
        <v>3288</v>
      </c>
      <c r="C22" s="105" t="s">
        <v>969</v>
      </c>
      <c r="D22" s="105" t="s">
        <v>3219</v>
      </c>
      <c r="E22" s="102" t="s">
        <v>344</v>
      </c>
      <c r="F22" s="108" t="s">
        <v>24</v>
      </c>
      <c r="G22" s="105" t="s">
        <v>71</v>
      </c>
      <c r="H22" s="109" t="s">
        <v>3289</v>
      </c>
      <c r="I22" s="53"/>
    </row>
    <row r="23" spans="1:9">
      <c r="A23" s="107"/>
      <c r="B23" s="105" t="s">
        <v>3290</v>
      </c>
      <c r="C23" s="105" t="s">
        <v>3249</v>
      </c>
      <c r="D23" s="105" t="s">
        <v>3250</v>
      </c>
      <c r="E23" s="102" t="s">
        <v>344</v>
      </c>
      <c r="F23" s="108" t="s">
        <v>24</v>
      </c>
      <c r="G23" s="105" t="s">
        <v>3251</v>
      </c>
      <c r="H23" s="109" t="s">
        <v>346</v>
      </c>
      <c r="I23" s="53"/>
    </row>
    <row r="24" spans="1:9">
      <c r="A24" s="107"/>
      <c r="B24" s="105" t="s">
        <v>3291</v>
      </c>
      <c r="C24" s="105" t="s">
        <v>912</v>
      </c>
      <c r="D24" s="105" t="s">
        <v>3292</v>
      </c>
      <c r="E24" s="102" t="s">
        <v>344</v>
      </c>
      <c r="F24" s="108" t="s">
        <v>24</v>
      </c>
      <c r="G24" s="105" t="s">
        <v>419</v>
      </c>
      <c r="H24" s="109" t="s">
        <v>346</v>
      </c>
      <c r="I24" s="53"/>
    </row>
    <row r="25" ht="22.5" spans="1:9">
      <c r="A25" s="107"/>
      <c r="B25" s="105" t="s">
        <v>3293</v>
      </c>
      <c r="C25" s="105" t="s">
        <v>3258</v>
      </c>
      <c r="D25" s="105" t="s">
        <v>3259</v>
      </c>
      <c r="E25" s="102" t="s">
        <v>344</v>
      </c>
      <c r="F25" s="108" t="s">
        <v>24</v>
      </c>
      <c r="G25" s="105" t="s">
        <v>419</v>
      </c>
      <c r="H25" s="109" t="s">
        <v>3260</v>
      </c>
      <c r="I25" s="53"/>
    </row>
    <row r="26" ht="22.5" spans="1:9">
      <c r="A26" s="107"/>
      <c r="B26" s="105" t="s">
        <v>3294</v>
      </c>
      <c r="C26" s="105" t="s">
        <v>3253</v>
      </c>
      <c r="D26" s="105" t="s">
        <v>3295</v>
      </c>
      <c r="E26" s="102" t="s">
        <v>344</v>
      </c>
      <c r="F26" s="108" t="s">
        <v>24</v>
      </c>
      <c r="G26" s="105" t="s">
        <v>3251</v>
      </c>
      <c r="H26" s="109" t="s">
        <v>346</v>
      </c>
      <c r="I26" s="53"/>
    </row>
    <row r="27" ht="22.5" spans="1:9">
      <c r="A27" s="107"/>
      <c r="B27" s="105" t="s">
        <v>3296</v>
      </c>
      <c r="C27" s="105" t="s">
        <v>3262</v>
      </c>
      <c r="D27" s="105" t="s">
        <v>3263</v>
      </c>
      <c r="E27" s="102" t="s">
        <v>344</v>
      </c>
      <c r="F27" s="108" t="s">
        <v>24</v>
      </c>
      <c r="G27" s="105" t="s">
        <v>419</v>
      </c>
      <c r="H27" s="105" t="s">
        <v>3264</v>
      </c>
      <c r="I27" s="53"/>
    </row>
    <row r="28" spans="1:9">
      <c r="A28" s="107"/>
      <c r="B28" s="105" t="s">
        <v>3297</v>
      </c>
      <c r="C28" s="105" t="s">
        <v>3249</v>
      </c>
      <c r="D28" s="105" t="s">
        <v>3267</v>
      </c>
      <c r="E28" s="102" t="s">
        <v>475</v>
      </c>
      <c r="F28" s="110" t="s">
        <v>24</v>
      </c>
      <c r="G28" s="105" t="s">
        <v>354</v>
      </c>
      <c r="H28" s="105" t="s">
        <v>346</v>
      </c>
      <c r="I28" s="53"/>
    </row>
    <row r="29" ht="22.5" spans="1:9">
      <c r="A29" s="107"/>
      <c r="B29" s="105" t="s">
        <v>3298</v>
      </c>
      <c r="C29" s="105" t="s">
        <v>3269</v>
      </c>
      <c r="D29" s="105" t="s">
        <v>3270</v>
      </c>
      <c r="E29" s="102" t="s">
        <v>475</v>
      </c>
      <c r="F29" s="110" t="s">
        <v>24</v>
      </c>
      <c r="G29" s="105" t="s">
        <v>3271</v>
      </c>
      <c r="H29" s="105" t="s">
        <v>346</v>
      </c>
      <c r="I29" s="53"/>
    </row>
    <row r="30" spans="1:9">
      <c r="A30" s="107"/>
      <c r="B30" s="105" t="s">
        <v>3299</v>
      </c>
      <c r="C30" s="105" t="s">
        <v>3273</v>
      </c>
      <c r="D30" s="105" t="s">
        <v>3274</v>
      </c>
      <c r="E30" s="102" t="s">
        <v>475</v>
      </c>
      <c r="F30" s="110" t="s">
        <v>24</v>
      </c>
      <c r="G30" s="105" t="s">
        <v>419</v>
      </c>
      <c r="H30" s="105" t="s">
        <v>3275</v>
      </c>
      <c r="I30" s="53"/>
    </row>
    <row r="31" ht="22.5" spans="1:9">
      <c r="A31" s="107"/>
      <c r="B31" s="105" t="s">
        <v>3300</v>
      </c>
      <c r="C31" s="105" t="s">
        <v>3253</v>
      </c>
      <c r="D31" s="105" t="s">
        <v>3295</v>
      </c>
      <c r="E31" s="102" t="s">
        <v>475</v>
      </c>
      <c r="F31" s="108" t="s">
        <v>24</v>
      </c>
      <c r="G31" s="105" t="s">
        <v>354</v>
      </c>
      <c r="H31" s="109" t="s">
        <v>346</v>
      </c>
      <c r="I31" s="53"/>
    </row>
    <row r="32" ht="22.5" spans="1:9">
      <c r="A32" s="107"/>
      <c r="B32" s="105" t="s">
        <v>3301</v>
      </c>
      <c r="C32" s="105" t="s">
        <v>3262</v>
      </c>
      <c r="D32" s="105" t="s">
        <v>3263</v>
      </c>
      <c r="E32" s="102" t="s">
        <v>475</v>
      </c>
      <c r="F32" s="108" t="s">
        <v>24</v>
      </c>
      <c r="G32" s="105" t="s">
        <v>419</v>
      </c>
      <c r="H32" s="105" t="s">
        <v>3302</v>
      </c>
      <c r="I32" s="53"/>
    </row>
    <row r="33" ht="22.5" spans="1:9">
      <c r="A33" s="107" t="s">
        <v>3303</v>
      </c>
      <c r="B33" s="111" t="s">
        <v>3304</v>
      </c>
      <c r="C33" s="105" t="s">
        <v>3305</v>
      </c>
      <c r="D33" s="105" t="s">
        <v>3306</v>
      </c>
      <c r="E33" s="112" t="s">
        <v>608</v>
      </c>
      <c r="F33" s="108" t="s">
        <v>24</v>
      </c>
      <c r="G33" s="105" t="s">
        <v>1098</v>
      </c>
      <c r="H33" s="108" t="s">
        <v>3307</v>
      </c>
      <c r="I33" s="53"/>
    </row>
    <row r="34" spans="1:9">
      <c r="A34" s="107"/>
      <c r="B34" s="111" t="s">
        <v>3308</v>
      </c>
      <c r="C34" s="105" t="s">
        <v>3309</v>
      </c>
      <c r="D34" s="105" t="s">
        <v>3310</v>
      </c>
      <c r="E34" s="112" t="s">
        <v>608</v>
      </c>
      <c r="F34" s="108" t="s">
        <v>24</v>
      </c>
      <c r="G34" s="105" t="s">
        <v>354</v>
      </c>
      <c r="H34" s="108" t="s">
        <v>346</v>
      </c>
      <c r="I34" s="53"/>
    </row>
    <row r="35" ht="22.5" spans="1:9">
      <c r="A35" s="107"/>
      <c r="B35" s="111" t="s">
        <v>3311</v>
      </c>
      <c r="C35" s="105" t="s">
        <v>3269</v>
      </c>
      <c r="D35" s="105" t="s">
        <v>3270</v>
      </c>
      <c r="E35" s="112" t="s">
        <v>608</v>
      </c>
      <c r="F35" s="108" t="s">
        <v>24</v>
      </c>
      <c r="G35" s="105" t="s">
        <v>3312</v>
      </c>
      <c r="H35" s="108" t="s">
        <v>346</v>
      </c>
      <c r="I35" s="53"/>
    </row>
    <row r="36" spans="1:9">
      <c r="A36" s="107"/>
      <c r="B36" s="111" t="s">
        <v>3313</v>
      </c>
      <c r="C36" s="105" t="s">
        <v>3314</v>
      </c>
      <c r="D36" s="105" t="s">
        <v>3315</v>
      </c>
      <c r="E36" s="112" t="s">
        <v>608</v>
      </c>
      <c r="F36" s="108" t="s">
        <v>24</v>
      </c>
      <c r="G36" s="105" t="s">
        <v>354</v>
      </c>
      <c r="H36" s="108" t="s">
        <v>346</v>
      </c>
      <c r="I36" s="53"/>
    </row>
    <row r="37" spans="1:9">
      <c r="A37" s="107"/>
      <c r="B37" s="111" t="s">
        <v>3316</v>
      </c>
      <c r="C37" s="111" t="s">
        <v>3317</v>
      </c>
      <c r="D37" s="105" t="s">
        <v>3223</v>
      </c>
      <c r="E37" s="112" t="s">
        <v>608</v>
      </c>
      <c r="F37" s="108" t="s">
        <v>24</v>
      </c>
      <c r="G37" s="109" t="s">
        <v>419</v>
      </c>
      <c r="H37" s="108" t="s">
        <v>3223</v>
      </c>
      <c r="I37" s="53"/>
    </row>
  </sheetData>
  <mergeCells count="3">
    <mergeCell ref="A2:A19"/>
    <mergeCell ref="A20:A32"/>
    <mergeCell ref="A33:A37"/>
  </mergeCells>
  <pageMargins left="0.699305555555556" right="0.699305555555556" top="0.75" bottom="0.75" header="0.3" footer="0.3"/>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AE11"/>
  <sheetViews>
    <sheetView workbookViewId="0">
      <pane xSplit="1" ySplit="1" topLeftCell="B2" activePane="bottomRight" state="frozen"/>
      <selection/>
      <selection pane="topRight"/>
      <selection pane="bottomLeft"/>
      <selection pane="bottomRight" activeCell="H9" sqref="H9"/>
    </sheetView>
  </sheetViews>
  <sheetFormatPr defaultColWidth="9" defaultRowHeight="13.5"/>
  <cols>
    <col min="1" max="1" width="16.75" customWidth="1"/>
    <col min="2" max="2" width="25.125" customWidth="1"/>
    <col min="3" max="3" width="13.875" customWidth="1"/>
    <col min="4" max="4" width="9.75" customWidth="1"/>
    <col min="5" max="5" width="6.375" customWidth="1"/>
    <col min="6" max="6" width="11.375" customWidth="1"/>
    <col min="7" max="7" width="9" customWidth="1"/>
    <col min="8" max="8" width="23.625" customWidth="1"/>
    <col min="9" max="9" width="37.625" customWidth="1"/>
  </cols>
  <sheetData>
    <row r="1" s="29" customFormat="1" ht="24" customHeight="1" spans="1:31">
      <c r="A1" s="11" t="s">
        <v>335</v>
      </c>
      <c r="B1" s="11" t="s">
        <v>336</v>
      </c>
      <c r="C1" s="33" t="s">
        <v>2</v>
      </c>
      <c r="D1" s="11" t="s">
        <v>3</v>
      </c>
      <c r="E1" s="11" t="s">
        <v>337</v>
      </c>
      <c r="F1" s="11" t="s">
        <v>8</v>
      </c>
      <c r="G1" s="11" t="s">
        <v>6</v>
      </c>
      <c r="H1" s="11" t="s">
        <v>338</v>
      </c>
      <c r="I1" s="11" t="s">
        <v>339</v>
      </c>
      <c r="J1" s="30"/>
      <c r="K1" s="30"/>
      <c r="L1" s="30"/>
      <c r="M1" s="30"/>
      <c r="N1" s="30"/>
      <c r="O1" s="30"/>
      <c r="P1" s="30"/>
      <c r="Q1" s="30"/>
      <c r="R1" s="30"/>
      <c r="S1" s="30"/>
      <c r="T1" s="30"/>
      <c r="U1" s="30"/>
      <c r="V1" s="30"/>
      <c r="W1" s="30"/>
      <c r="X1" s="30"/>
      <c r="Y1" s="30"/>
      <c r="Z1" s="30"/>
      <c r="AA1" s="30"/>
      <c r="AB1" s="30"/>
      <c r="AC1" s="30"/>
      <c r="AD1" s="30"/>
      <c r="AE1" s="30"/>
    </row>
    <row r="2" s="87" customFormat="1" ht="12" spans="1:9">
      <c r="A2" s="89" t="s">
        <v>321</v>
      </c>
      <c r="B2" s="90" t="s">
        <v>3318</v>
      </c>
      <c r="C2" s="90" t="s">
        <v>969</v>
      </c>
      <c r="D2" s="91" t="s">
        <v>3319</v>
      </c>
      <c r="E2" s="91" t="s">
        <v>344</v>
      </c>
      <c r="F2" s="91" t="s">
        <v>24</v>
      </c>
      <c r="G2" s="92" t="s">
        <v>71</v>
      </c>
      <c r="H2" s="93" t="s">
        <v>3320</v>
      </c>
      <c r="I2" s="94"/>
    </row>
    <row r="3" s="87" customFormat="1" ht="12" spans="1:9">
      <c r="A3" s="89"/>
      <c r="B3" s="90" t="s">
        <v>3321</v>
      </c>
      <c r="C3" s="90" t="s">
        <v>3322</v>
      </c>
      <c r="D3" s="91" t="s">
        <v>3323</v>
      </c>
      <c r="E3" s="91" t="s">
        <v>344</v>
      </c>
      <c r="F3" s="91" t="s">
        <v>24</v>
      </c>
      <c r="G3" s="92" t="s">
        <v>354</v>
      </c>
      <c r="H3" s="93" t="s">
        <v>346</v>
      </c>
      <c r="I3" s="94"/>
    </row>
    <row r="4" s="87" customFormat="1" ht="12" spans="1:9">
      <c r="A4" s="89"/>
      <c r="B4" s="90" t="s">
        <v>3324</v>
      </c>
      <c r="C4" s="90" t="s">
        <v>3325</v>
      </c>
      <c r="D4" s="91" t="s">
        <v>3326</v>
      </c>
      <c r="E4" s="91" t="s">
        <v>344</v>
      </c>
      <c r="F4" s="91" t="s">
        <v>24</v>
      </c>
      <c r="G4" s="92" t="s">
        <v>354</v>
      </c>
      <c r="H4" s="93" t="s">
        <v>346</v>
      </c>
      <c r="I4" s="94"/>
    </row>
    <row r="5" s="87" customFormat="1" ht="12" spans="1:9">
      <c r="A5" s="89"/>
      <c r="B5" s="90" t="s">
        <v>3327</v>
      </c>
      <c r="C5" s="90" t="s">
        <v>3328</v>
      </c>
      <c r="D5" s="91" t="s">
        <v>3329</v>
      </c>
      <c r="E5" s="91" t="s">
        <v>608</v>
      </c>
      <c r="F5" s="91" t="s">
        <v>24</v>
      </c>
      <c r="G5" s="92" t="s">
        <v>354</v>
      </c>
      <c r="H5" s="93" t="s">
        <v>346</v>
      </c>
      <c r="I5" s="94"/>
    </row>
    <row r="6" s="87" customFormat="1" ht="12" spans="1:9">
      <c r="A6" s="89"/>
      <c r="B6" s="90" t="s">
        <v>3330</v>
      </c>
      <c r="C6" s="90" t="s">
        <v>3331</v>
      </c>
      <c r="D6" s="91" t="s">
        <v>3332</v>
      </c>
      <c r="E6" s="91" t="s">
        <v>608</v>
      </c>
      <c r="F6" s="91" t="s">
        <v>24</v>
      </c>
      <c r="G6" s="92" t="s">
        <v>354</v>
      </c>
      <c r="H6" s="93" t="s">
        <v>346</v>
      </c>
      <c r="I6" s="94"/>
    </row>
    <row r="7" s="87" customFormat="1" ht="12" spans="1:9">
      <c r="A7" s="89"/>
      <c r="B7" s="90" t="s">
        <v>3333</v>
      </c>
      <c r="C7" s="90" t="s">
        <v>3334</v>
      </c>
      <c r="D7" s="91" t="s">
        <v>3335</v>
      </c>
      <c r="E7" s="91" t="s">
        <v>608</v>
      </c>
      <c r="F7" s="91" t="s">
        <v>24</v>
      </c>
      <c r="G7" s="92" t="s">
        <v>354</v>
      </c>
      <c r="H7" s="93" t="s">
        <v>346</v>
      </c>
      <c r="I7" s="94"/>
    </row>
    <row r="8" s="87" customFormat="1" ht="49.15" customHeight="1" spans="1:10">
      <c r="A8" s="89"/>
      <c r="B8" s="90" t="s">
        <v>3336</v>
      </c>
      <c r="C8" s="90" t="s">
        <v>3337</v>
      </c>
      <c r="D8" s="91" t="s">
        <v>3338</v>
      </c>
      <c r="E8" s="91" t="s">
        <v>344</v>
      </c>
      <c r="F8" s="91" t="s">
        <v>57</v>
      </c>
      <c r="G8" s="92" t="s">
        <v>397</v>
      </c>
      <c r="H8" s="90" t="s">
        <v>398</v>
      </c>
      <c r="I8" s="94"/>
      <c r="J8" s="95"/>
    </row>
    <row r="9" s="87" customFormat="1" ht="12" spans="1:9">
      <c r="A9" s="89"/>
      <c r="B9" s="90" t="s">
        <v>3339</v>
      </c>
      <c r="C9" s="90" t="s">
        <v>3340</v>
      </c>
      <c r="D9" s="91" t="s">
        <v>3341</v>
      </c>
      <c r="E9" s="91" t="s">
        <v>344</v>
      </c>
      <c r="F9" s="91" t="s">
        <v>24</v>
      </c>
      <c r="G9" s="92" t="s">
        <v>345</v>
      </c>
      <c r="H9" s="93" t="s">
        <v>346</v>
      </c>
      <c r="I9" s="94" t="s">
        <v>3342</v>
      </c>
    </row>
    <row r="10" s="88" customFormat="1"/>
    <row r="11" s="85" customFormat="1"/>
  </sheetData>
  <mergeCells count="1">
    <mergeCell ref="A2:A9"/>
  </mergeCells>
  <pageMargins left="0.699305555555556" right="0.699305555555556" top="0.75" bottom="0.75" header="0.3" footer="0.3"/>
  <pageSetup paperSize="9" orientation="portrait" horizontalDpi="1200" verticalDpi="1200"/>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AI7"/>
  <sheetViews>
    <sheetView workbookViewId="0">
      <pane xSplit="1" ySplit="1" topLeftCell="B2" activePane="bottomRight" state="frozen"/>
      <selection/>
      <selection pane="topRight"/>
      <selection pane="bottomLeft"/>
      <selection pane="bottomRight" activeCell="H28" sqref="H28"/>
    </sheetView>
  </sheetViews>
  <sheetFormatPr defaultColWidth="13.625" defaultRowHeight="13.5" outlineLevelRow="6"/>
  <cols>
    <col min="1" max="1" width="13.5" customWidth="1"/>
    <col min="2" max="2" width="28" customWidth="1"/>
    <col min="3" max="3" width="15.5" style="32" customWidth="1"/>
    <col min="4" max="5" width="6.375" customWidth="1"/>
    <col min="6" max="6" width="11.375" customWidth="1"/>
    <col min="7" max="7" width="21.375" customWidth="1"/>
    <col min="8" max="8" width="20.875" style="32" customWidth="1"/>
    <col min="9" max="9" width="34.125" customWidth="1"/>
  </cols>
  <sheetData>
    <row r="1" s="29" customFormat="1" ht="23.25" customHeight="1" spans="1:35">
      <c r="A1" s="11" t="s">
        <v>335</v>
      </c>
      <c r="B1" s="11" t="s">
        <v>336</v>
      </c>
      <c r="C1" s="33" t="s">
        <v>2</v>
      </c>
      <c r="D1" s="11" t="s">
        <v>3</v>
      </c>
      <c r="E1" s="11" t="s">
        <v>337</v>
      </c>
      <c r="F1" s="11" t="s">
        <v>8</v>
      </c>
      <c r="G1" s="11" t="s">
        <v>6</v>
      </c>
      <c r="H1" s="11" t="s">
        <v>338</v>
      </c>
      <c r="I1" s="11" t="s">
        <v>339</v>
      </c>
      <c r="J1" s="30"/>
      <c r="K1" s="30"/>
      <c r="L1" s="30"/>
      <c r="M1" s="30"/>
      <c r="N1" s="30"/>
      <c r="O1" s="30"/>
      <c r="P1" s="30"/>
      <c r="Q1" s="30"/>
      <c r="R1" s="30"/>
      <c r="S1" s="30"/>
      <c r="T1" s="30"/>
      <c r="U1" s="30"/>
      <c r="V1" s="30"/>
      <c r="W1" s="30"/>
      <c r="X1" s="30"/>
      <c r="Y1" s="30"/>
      <c r="Z1" s="30"/>
      <c r="AA1" s="30"/>
      <c r="AB1" s="30"/>
      <c r="AC1" s="30"/>
      <c r="AD1" s="30"/>
      <c r="AE1" s="30"/>
      <c r="AF1" s="30"/>
      <c r="AG1" s="30"/>
      <c r="AH1" s="30"/>
      <c r="AI1" s="30"/>
    </row>
    <row r="2" s="30" customFormat="1" ht="12" spans="1:9">
      <c r="A2" s="34" t="s">
        <v>3343</v>
      </c>
      <c r="B2" s="54" t="s">
        <v>3344</v>
      </c>
      <c r="C2" s="38" t="s">
        <v>3345</v>
      </c>
      <c r="D2" s="38" t="s">
        <v>3346</v>
      </c>
      <c r="E2" s="38" t="s">
        <v>608</v>
      </c>
      <c r="F2" s="38" t="s">
        <v>57</v>
      </c>
      <c r="G2" s="54" t="s">
        <v>3347</v>
      </c>
      <c r="H2" s="38"/>
      <c r="I2" s="52"/>
    </row>
    <row r="3" s="30" customFormat="1" ht="12" spans="1:9">
      <c r="A3" s="34"/>
      <c r="B3" s="54" t="s">
        <v>3348</v>
      </c>
      <c r="C3" s="38" t="s">
        <v>3349</v>
      </c>
      <c r="D3" s="38" t="s">
        <v>3350</v>
      </c>
      <c r="E3" s="38" t="s">
        <v>608</v>
      </c>
      <c r="F3" s="38" t="s">
        <v>57</v>
      </c>
      <c r="G3" s="54" t="s">
        <v>3351</v>
      </c>
      <c r="H3" s="38"/>
      <c r="I3" s="52"/>
    </row>
    <row r="4" s="30" customFormat="1" ht="12" spans="1:9">
      <c r="A4" s="34"/>
      <c r="B4" s="54" t="s">
        <v>3352</v>
      </c>
      <c r="C4" s="38" t="s">
        <v>3353</v>
      </c>
      <c r="D4" s="38" t="s">
        <v>3354</v>
      </c>
      <c r="E4" s="38" t="s">
        <v>608</v>
      </c>
      <c r="F4" s="38" t="s">
        <v>57</v>
      </c>
      <c r="G4" s="54" t="s">
        <v>28</v>
      </c>
      <c r="H4" s="38"/>
      <c r="I4" s="52"/>
    </row>
    <row r="5" s="85" customFormat="1" spans="3:8">
      <c r="C5" s="86"/>
      <c r="H5" s="86"/>
    </row>
    <row r="6" s="85" customFormat="1" spans="3:8">
      <c r="C6" s="86"/>
      <c r="H6" s="86"/>
    </row>
    <row r="7" s="85" customFormat="1" spans="3:8">
      <c r="C7" s="86"/>
      <c r="H7" s="86"/>
    </row>
  </sheetData>
  <mergeCells count="1">
    <mergeCell ref="A2:A4"/>
  </mergeCells>
  <pageMargins left="0.699305555555556" right="0.699305555555556" top="0.75" bottom="0.75" header="0.3" footer="0.3"/>
  <pageSetup paperSize="9" orientation="portrait" horizontalDpi="1200" verticalDpi="1200"/>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AH14"/>
  <sheetViews>
    <sheetView workbookViewId="0">
      <pane xSplit="1" ySplit="1" topLeftCell="B2" activePane="bottomRight" state="frozen"/>
      <selection/>
      <selection pane="topRight"/>
      <selection pane="bottomLeft"/>
      <selection pane="bottomRight" activeCell="C11" sqref="C11"/>
    </sheetView>
  </sheetViews>
  <sheetFormatPr defaultColWidth="9" defaultRowHeight="13.5"/>
  <cols>
    <col min="1" max="1" width="9.75" style="68" customWidth="1"/>
    <col min="2" max="2" width="33.75" style="69" customWidth="1"/>
    <col min="3" max="3" width="12.125" style="70" customWidth="1"/>
    <col min="4" max="4" width="10.5" style="70" customWidth="1"/>
    <col min="5" max="5" width="6.375" style="70" customWidth="1"/>
    <col min="6" max="6" width="11.375" style="68" customWidth="1"/>
    <col min="7" max="7" width="9.75" style="68" customWidth="1"/>
    <col min="8" max="8" width="47.875" style="69" customWidth="1"/>
    <col min="9" max="9" width="26.75" style="68" customWidth="1"/>
    <col min="10" max="16384" width="9" style="68"/>
  </cols>
  <sheetData>
    <row r="1" s="65" customFormat="1" ht="24.75" customHeight="1" spans="1:34">
      <c r="A1" s="11" t="s">
        <v>335</v>
      </c>
      <c r="B1" s="11" t="s">
        <v>336</v>
      </c>
      <c r="C1" s="33" t="s">
        <v>2</v>
      </c>
      <c r="D1" s="11" t="s">
        <v>3</v>
      </c>
      <c r="E1" s="11" t="s">
        <v>337</v>
      </c>
      <c r="F1" s="11" t="s">
        <v>8</v>
      </c>
      <c r="G1" s="11" t="s">
        <v>6</v>
      </c>
      <c r="H1" s="11" t="s">
        <v>338</v>
      </c>
      <c r="I1" s="11" t="s">
        <v>339</v>
      </c>
      <c r="J1" s="81"/>
      <c r="K1" s="81"/>
      <c r="L1" s="81"/>
      <c r="M1" s="81"/>
      <c r="N1" s="81"/>
      <c r="O1" s="81"/>
      <c r="P1" s="81"/>
      <c r="Q1" s="81"/>
      <c r="R1" s="81"/>
      <c r="S1" s="81"/>
      <c r="T1" s="81"/>
      <c r="U1" s="81"/>
      <c r="V1" s="81"/>
      <c r="W1" s="81"/>
      <c r="X1" s="81"/>
      <c r="Y1" s="81"/>
      <c r="Z1" s="81"/>
      <c r="AA1" s="81"/>
      <c r="AB1" s="81"/>
      <c r="AC1" s="81"/>
      <c r="AD1" s="81"/>
      <c r="AE1" s="81"/>
      <c r="AF1" s="81"/>
      <c r="AG1" s="81"/>
      <c r="AH1" s="81"/>
    </row>
    <row r="2" s="66" customFormat="1" ht="22.5" spans="1:9">
      <c r="A2" s="71" t="s">
        <v>327</v>
      </c>
      <c r="B2" s="72" t="s">
        <v>3355</v>
      </c>
      <c r="C2" s="73" t="s">
        <v>3356</v>
      </c>
      <c r="D2" s="73" t="s">
        <v>3357</v>
      </c>
      <c r="E2" s="73" t="s">
        <v>475</v>
      </c>
      <c r="F2" s="73" t="s">
        <v>24</v>
      </c>
      <c r="G2" s="72" t="s">
        <v>71</v>
      </c>
      <c r="H2" s="74" t="s">
        <v>3358</v>
      </c>
      <c r="I2" s="82"/>
    </row>
    <row r="3" s="66" customFormat="1" ht="22.5" spans="1:9">
      <c r="A3" s="71"/>
      <c r="B3" s="72" t="s">
        <v>3359</v>
      </c>
      <c r="C3" s="73" t="s">
        <v>3360</v>
      </c>
      <c r="D3" s="73" t="s">
        <v>3361</v>
      </c>
      <c r="E3" s="73" t="s">
        <v>475</v>
      </c>
      <c r="F3" s="73" t="s">
        <v>24</v>
      </c>
      <c r="G3" s="72" t="s">
        <v>567</v>
      </c>
      <c r="H3" s="72" t="s">
        <v>3362</v>
      </c>
      <c r="I3" s="82"/>
    </row>
    <row r="4" s="66" customFormat="1" spans="1:9">
      <c r="A4" s="71"/>
      <c r="B4" s="72" t="s">
        <v>3363</v>
      </c>
      <c r="C4" s="73" t="s">
        <v>3364</v>
      </c>
      <c r="D4" s="73" t="s">
        <v>3365</v>
      </c>
      <c r="E4" s="73" t="s">
        <v>475</v>
      </c>
      <c r="F4" s="73" t="s">
        <v>24</v>
      </c>
      <c r="G4" s="72" t="s">
        <v>567</v>
      </c>
      <c r="H4" s="72" t="s">
        <v>3366</v>
      </c>
      <c r="I4" s="82"/>
    </row>
    <row r="5" s="66" customFormat="1" ht="22.5" spans="1:9">
      <c r="A5" s="71"/>
      <c r="B5" s="72" t="s">
        <v>3367</v>
      </c>
      <c r="C5" s="73" t="s">
        <v>3368</v>
      </c>
      <c r="D5" s="73" t="s">
        <v>3369</v>
      </c>
      <c r="E5" s="73" t="s">
        <v>475</v>
      </c>
      <c r="F5" s="73" t="s">
        <v>24</v>
      </c>
      <c r="G5" s="72" t="s">
        <v>567</v>
      </c>
      <c r="H5" s="72" t="s">
        <v>3370</v>
      </c>
      <c r="I5" s="82"/>
    </row>
    <row r="6" s="66" customFormat="1" ht="24" spans="1:9">
      <c r="A6" s="71"/>
      <c r="B6" s="72" t="s">
        <v>3371</v>
      </c>
      <c r="C6" s="73" t="s">
        <v>3372</v>
      </c>
      <c r="D6" s="73" t="s">
        <v>3373</v>
      </c>
      <c r="E6" s="73" t="s">
        <v>475</v>
      </c>
      <c r="F6" s="73" t="s">
        <v>24</v>
      </c>
      <c r="G6" s="72" t="s">
        <v>419</v>
      </c>
      <c r="H6" s="74" t="s">
        <v>3374</v>
      </c>
      <c r="I6" s="82"/>
    </row>
    <row r="7" s="66" customFormat="1" spans="1:9">
      <c r="A7" s="71"/>
      <c r="B7" s="72" t="s">
        <v>3375</v>
      </c>
      <c r="C7" s="73" t="s">
        <v>3376</v>
      </c>
      <c r="D7" s="73" t="s">
        <v>3377</v>
      </c>
      <c r="E7" s="73" t="s">
        <v>475</v>
      </c>
      <c r="F7" s="73" t="s">
        <v>24</v>
      </c>
      <c r="G7" s="72" t="s">
        <v>419</v>
      </c>
      <c r="H7" s="74" t="s">
        <v>3378</v>
      </c>
      <c r="I7" s="82"/>
    </row>
    <row r="8" s="66" customFormat="1" ht="24" spans="1:9">
      <c r="A8" s="71"/>
      <c r="B8" s="72" t="s">
        <v>3379</v>
      </c>
      <c r="C8" s="73" t="s">
        <v>3380</v>
      </c>
      <c r="D8" s="73" t="s">
        <v>3381</v>
      </c>
      <c r="E8" s="73" t="s">
        <v>475</v>
      </c>
      <c r="F8" s="73" t="s">
        <v>24</v>
      </c>
      <c r="G8" s="72" t="s">
        <v>28</v>
      </c>
      <c r="H8" s="74" t="s">
        <v>3382</v>
      </c>
      <c r="I8" s="82"/>
    </row>
    <row r="9" s="66" customFormat="1" spans="1:9">
      <c r="A9" s="71"/>
      <c r="B9" s="72" t="s">
        <v>3383</v>
      </c>
      <c r="C9" s="73" t="s">
        <v>3384</v>
      </c>
      <c r="D9" s="73" t="s">
        <v>3385</v>
      </c>
      <c r="E9" s="73" t="s">
        <v>475</v>
      </c>
      <c r="F9" s="73" t="s">
        <v>24</v>
      </c>
      <c r="G9" s="72" t="s">
        <v>28</v>
      </c>
      <c r="H9" s="75" t="s">
        <v>3386</v>
      </c>
      <c r="I9" s="82"/>
    </row>
    <row r="10" s="66" customFormat="1" ht="49.15" customHeight="1" spans="1:9">
      <c r="A10" s="71"/>
      <c r="B10" s="72" t="s">
        <v>3387</v>
      </c>
      <c r="C10" s="73" t="s">
        <v>3388</v>
      </c>
      <c r="D10" s="73" t="s">
        <v>3389</v>
      </c>
      <c r="E10" s="73" t="s">
        <v>475</v>
      </c>
      <c r="F10" s="73" t="s">
        <v>24</v>
      </c>
      <c r="G10" s="72" t="s">
        <v>397</v>
      </c>
      <c r="H10" s="74" t="s">
        <v>3390</v>
      </c>
      <c r="I10" s="74" t="s">
        <v>398</v>
      </c>
    </row>
    <row r="11" s="66" customFormat="1" ht="33.75" spans="1:9">
      <c r="A11" s="71"/>
      <c r="B11" s="72" t="s">
        <v>3391</v>
      </c>
      <c r="C11" s="73" t="s">
        <v>3392</v>
      </c>
      <c r="D11" s="73" t="s">
        <v>3389</v>
      </c>
      <c r="E11" s="73" t="s">
        <v>475</v>
      </c>
      <c r="F11" s="73" t="s">
        <v>24</v>
      </c>
      <c r="G11" s="72" t="s">
        <v>397</v>
      </c>
      <c r="H11" s="74" t="s">
        <v>3393</v>
      </c>
      <c r="I11" s="74" t="s">
        <v>398</v>
      </c>
    </row>
    <row r="12" s="67" customFormat="1" ht="45" spans="1:9">
      <c r="A12" s="71"/>
      <c r="B12" s="76" t="s">
        <v>3394</v>
      </c>
      <c r="C12" s="77" t="s">
        <v>3395</v>
      </c>
      <c r="D12" s="77" t="s">
        <v>3396</v>
      </c>
      <c r="E12" s="73" t="s">
        <v>475</v>
      </c>
      <c r="F12" s="73" t="s">
        <v>24</v>
      </c>
      <c r="G12" s="78" t="s">
        <v>419</v>
      </c>
      <c r="H12" s="79" t="s">
        <v>3397</v>
      </c>
      <c r="I12" s="83"/>
    </row>
    <row r="13" s="67" customFormat="1" ht="45" spans="1:9">
      <c r="A13" s="71"/>
      <c r="B13" s="80" t="s">
        <v>3398</v>
      </c>
      <c r="C13" s="77" t="s">
        <v>1272</v>
      </c>
      <c r="D13" s="77" t="s">
        <v>3399</v>
      </c>
      <c r="E13" s="73" t="s">
        <v>475</v>
      </c>
      <c r="F13" s="73" t="s">
        <v>24</v>
      </c>
      <c r="G13" s="78" t="s">
        <v>419</v>
      </c>
      <c r="H13" s="76" t="s">
        <v>3400</v>
      </c>
      <c r="I13" s="83"/>
    </row>
    <row r="14" ht="22.5" spans="1:9">
      <c r="A14" s="71"/>
      <c r="B14" s="80" t="s">
        <v>3401</v>
      </c>
      <c r="C14" s="77" t="s">
        <v>3402</v>
      </c>
      <c r="D14" s="77" t="s">
        <v>3403</v>
      </c>
      <c r="E14" s="73" t="s">
        <v>475</v>
      </c>
      <c r="F14" s="73" t="s">
        <v>24</v>
      </c>
      <c r="G14" s="78" t="s">
        <v>419</v>
      </c>
      <c r="H14" s="76" t="s">
        <v>3404</v>
      </c>
      <c r="I14" s="84"/>
    </row>
  </sheetData>
  <mergeCells count="1">
    <mergeCell ref="A2:A14"/>
  </mergeCells>
  <pageMargins left="0.699305555555556" right="0.699305555555556" top="0.75" bottom="0.75" header="0.3" footer="0.3"/>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AF12"/>
  <sheetViews>
    <sheetView workbookViewId="0">
      <pane xSplit="1" ySplit="1" topLeftCell="B2" activePane="bottomRight" state="frozen"/>
      <selection/>
      <selection pane="topRight"/>
      <selection pane="bottomLeft"/>
      <selection pane="bottomRight" activeCell="H9" sqref="H9"/>
    </sheetView>
  </sheetViews>
  <sheetFormatPr defaultColWidth="9" defaultRowHeight="13.5"/>
  <cols>
    <col min="1" max="1" width="11.375" customWidth="1"/>
    <col min="2" max="2" width="44.625" customWidth="1"/>
    <col min="3" max="3" width="18.875" style="32" customWidth="1"/>
    <col min="4" max="4" width="17.25" customWidth="1"/>
    <col min="5" max="5" width="6.375" style="32" customWidth="1"/>
    <col min="6" max="6" width="11.375" customWidth="1"/>
    <col min="7" max="7" width="17.25" customWidth="1"/>
    <col min="8" max="8" width="25.25" style="32" customWidth="1"/>
    <col min="9" max="9" width="44.875" customWidth="1"/>
  </cols>
  <sheetData>
    <row r="1" s="29" customFormat="1" ht="24" customHeight="1" spans="1:32">
      <c r="A1" s="11" t="s">
        <v>335</v>
      </c>
      <c r="B1" s="11" t="s">
        <v>336</v>
      </c>
      <c r="C1" s="33" t="s">
        <v>2</v>
      </c>
      <c r="D1" s="11" t="s">
        <v>3</v>
      </c>
      <c r="E1" s="11" t="s">
        <v>337</v>
      </c>
      <c r="F1" s="11" t="s">
        <v>8</v>
      </c>
      <c r="G1" s="11" t="s">
        <v>6</v>
      </c>
      <c r="H1" s="11" t="s">
        <v>338</v>
      </c>
      <c r="I1" s="11" t="s">
        <v>339</v>
      </c>
      <c r="J1" s="30"/>
      <c r="K1" s="30"/>
      <c r="L1" s="30"/>
      <c r="M1" s="30"/>
      <c r="N1" s="30"/>
      <c r="O1" s="30"/>
      <c r="P1" s="30"/>
      <c r="Q1" s="30"/>
      <c r="R1" s="30"/>
      <c r="S1" s="30"/>
      <c r="T1" s="30"/>
      <c r="U1" s="30"/>
      <c r="V1" s="30"/>
      <c r="W1" s="30"/>
      <c r="X1" s="30"/>
      <c r="Y1" s="30"/>
      <c r="Z1" s="30"/>
      <c r="AA1" s="30"/>
      <c r="AB1" s="30"/>
      <c r="AC1" s="30"/>
      <c r="AD1" s="30"/>
      <c r="AE1" s="30"/>
      <c r="AF1" s="30"/>
    </row>
    <row r="2" s="30" customFormat="1" ht="12" spans="1:9">
      <c r="A2" s="34" t="s">
        <v>330</v>
      </c>
      <c r="B2" s="54" t="s">
        <v>3405</v>
      </c>
      <c r="C2" s="38" t="s">
        <v>3406</v>
      </c>
      <c r="D2" s="38" t="s">
        <v>3407</v>
      </c>
      <c r="E2" s="38" t="s">
        <v>344</v>
      </c>
      <c r="F2" s="38" t="s">
        <v>24</v>
      </c>
      <c r="G2" s="55" t="s">
        <v>71</v>
      </c>
      <c r="H2" s="54" t="s">
        <v>668</v>
      </c>
      <c r="I2" s="52"/>
    </row>
    <row r="3" s="30" customFormat="1" ht="12" spans="1:9">
      <c r="A3" s="34"/>
      <c r="B3" s="54" t="s">
        <v>3408</v>
      </c>
      <c r="C3" s="38" t="s">
        <v>3409</v>
      </c>
      <c r="D3" s="38" t="s">
        <v>3410</v>
      </c>
      <c r="E3" s="38" t="s">
        <v>344</v>
      </c>
      <c r="F3" s="38" t="s">
        <v>24</v>
      </c>
      <c r="G3" s="55" t="s">
        <v>354</v>
      </c>
      <c r="H3" s="54" t="s">
        <v>3411</v>
      </c>
      <c r="I3" s="52"/>
    </row>
    <row r="4" s="30" customFormat="1" ht="12" spans="1:9">
      <c r="A4" s="34"/>
      <c r="B4" s="54" t="s">
        <v>3412</v>
      </c>
      <c r="C4" s="38" t="s">
        <v>621</v>
      </c>
      <c r="D4" s="38" t="s">
        <v>3413</v>
      </c>
      <c r="E4" s="38" t="s">
        <v>344</v>
      </c>
      <c r="F4" s="38" t="s">
        <v>24</v>
      </c>
      <c r="G4" s="55" t="s">
        <v>567</v>
      </c>
      <c r="H4" s="54" t="s">
        <v>346</v>
      </c>
      <c r="I4" s="52"/>
    </row>
    <row r="5" s="30" customFormat="1" ht="12" spans="1:9">
      <c r="A5" s="34"/>
      <c r="B5" s="54" t="s">
        <v>3414</v>
      </c>
      <c r="C5" s="38" t="s">
        <v>3415</v>
      </c>
      <c r="D5" s="38" t="s">
        <v>3416</v>
      </c>
      <c r="E5" s="38" t="s">
        <v>344</v>
      </c>
      <c r="F5" s="38" t="s">
        <v>24</v>
      </c>
      <c r="G5" s="55" t="s">
        <v>567</v>
      </c>
      <c r="H5" s="54" t="s">
        <v>346</v>
      </c>
      <c r="I5" s="52"/>
    </row>
    <row r="6" s="30" customFormat="1" ht="12" spans="1:9">
      <c r="A6" s="34"/>
      <c r="B6" s="54" t="s">
        <v>3417</v>
      </c>
      <c r="C6" s="38" t="s">
        <v>3418</v>
      </c>
      <c r="D6" s="38" t="s">
        <v>3419</v>
      </c>
      <c r="E6" s="38" t="s">
        <v>344</v>
      </c>
      <c r="F6" s="38" t="s">
        <v>24</v>
      </c>
      <c r="G6" s="55" t="s">
        <v>567</v>
      </c>
      <c r="H6" s="54" t="s">
        <v>346</v>
      </c>
      <c r="I6" s="52"/>
    </row>
    <row r="7" s="30" customFormat="1" ht="12" spans="1:9">
      <c r="A7" s="34"/>
      <c r="B7" s="54" t="s">
        <v>3420</v>
      </c>
      <c r="C7" s="38" t="s">
        <v>3421</v>
      </c>
      <c r="D7" s="38" t="s">
        <v>3422</v>
      </c>
      <c r="E7" s="38" t="s">
        <v>344</v>
      </c>
      <c r="F7" s="38" t="s">
        <v>24</v>
      </c>
      <c r="G7" s="55" t="s">
        <v>819</v>
      </c>
      <c r="H7" s="56" t="s">
        <v>3423</v>
      </c>
      <c r="I7" s="52"/>
    </row>
    <row r="8" s="30" customFormat="1" ht="33.75" spans="1:9">
      <c r="A8" s="34"/>
      <c r="B8" s="54" t="s">
        <v>3424</v>
      </c>
      <c r="C8" s="38" t="s">
        <v>201</v>
      </c>
      <c r="D8" s="38" t="s">
        <v>3425</v>
      </c>
      <c r="E8" s="38" t="s">
        <v>344</v>
      </c>
      <c r="F8" s="38" t="s">
        <v>24</v>
      </c>
      <c r="G8" s="55" t="s">
        <v>397</v>
      </c>
      <c r="H8" s="54" t="s">
        <v>3426</v>
      </c>
      <c r="I8" s="52"/>
    </row>
    <row r="9" s="31" customFormat="1" ht="74.25" customHeight="1" spans="1:10">
      <c r="A9" s="57" t="s">
        <v>3427</v>
      </c>
      <c r="B9" s="54" t="s">
        <v>3428</v>
      </c>
      <c r="C9" s="38" t="s">
        <v>3429</v>
      </c>
      <c r="D9" s="38" t="s">
        <v>3430</v>
      </c>
      <c r="E9" s="38" t="s">
        <v>344</v>
      </c>
      <c r="F9" s="38" t="s">
        <v>24</v>
      </c>
      <c r="G9" s="55" t="s">
        <v>71</v>
      </c>
      <c r="H9" s="54" t="s">
        <v>3431</v>
      </c>
      <c r="I9" s="64"/>
      <c r="J9" s="32"/>
    </row>
    <row r="10" ht="67.5" spans="1:10">
      <c r="A10" s="58"/>
      <c r="B10" s="54" t="s">
        <v>3432</v>
      </c>
      <c r="C10" s="38" t="s">
        <v>3433</v>
      </c>
      <c r="D10" s="38" t="s">
        <v>3434</v>
      </c>
      <c r="E10" s="38" t="s">
        <v>344</v>
      </c>
      <c r="F10" s="38" t="s">
        <v>24</v>
      </c>
      <c r="G10" s="55" t="s">
        <v>397</v>
      </c>
      <c r="H10" s="54" t="s">
        <v>3435</v>
      </c>
      <c r="I10" s="64"/>
      <c r="J10" s="32"/>
    </row>
    <row r="11" ht="69" spans="1:10">
      <c r="A11" s="59"/>
      <c r="B11" s="54" t="s">
        <v>3436</v>
      </c>
      <c r="C11" s="38" t="s">
        <v>3437</v>
      </c>
      <c r="D11" s="38" t="s">
        <v>3438</v>
      </c>
      <c r="E11" s="38" t="s">
        <v>344</v>
      </c>
      <c r="F11" s="38" t="s">
        <v>24</v>
      </c>
      <c r="G11" s="55" t="s">
        <v>397</v>
      </c>
      <c r="H11" s="54" t="s">
        <v>3439</v>
      </c>
      <c r="I11" s="64"/>
      <c r="J11" s="32"/>
    </row>
    <row r="12" s="31" customFormat="1" ht="103.15" customHeight="1" spans="1:8">
      <c r="A12" s="60"/>
      <c r="B12" s="61"/>
      <c r="C12" s="62"/>
      <c r="D12" s="62"/>
      <c r="E12" s="62"/>
      <c r="H12" s="63"/>
    </row>
  </sheetData>
  <mergeCells count="2">
    <mergeCell ref="A2:A8"/>
    <mergeCell ref="A9:A11"/>
  </mergeCells>
  <pageMargins left="0.699305555555556" right="0.699305555555556" top="0.75" bottom="0.75" header="0.3" footer="0.3"/>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AF33"/>
  <sheetViews>
    <sheetView workbookViewId="0">
      <pane xSplit="1" ySplit="1" topLeftCell="B2" activePane="bottomRight" state="frozen"/>
      <selection/>
      <selection pane="topRight"/>
      <selection pane="bottomLeft"/>
      <selection pane="bottomRight" activeCell="B9" sqref="B9"/>
    </sheetView>
  </sheetViews>
  <sheetFormatPr defaultColWidth="9" defaultRowHeight="13.5"/>
  <cols>
    <col min="1" max="1" width="11.375" customWidth="1"/>
    <col min="2" max="2" width="57.75" customWidth="1"/>
    <col min="3" max="3" width="18.875" style="32" customWidth="1"/>
    <col min="4" max="4" width="17.25" customWidth="1"/>
    <col min="5" max="5" width="6.375" style="32" customWidth="1"/>
    <col min="6" max="6" width="11.375" customWidth="1"/>
    <col min="7" max="7" width="22.625" customWidth="1"/>
    <col min="8" max="8" width="47.375" style="32" customWidth="1"/>
    <col min="9" max="9" width="44.875" customWidth="1"/>
  </cols>
  <sheetData>
    <row r="1" s="29" customFormat="1" ht="24" customHeight="1" spans="1:32">
      <c r="A1" s="11" t="s">
        <v>335</v>
      </c>
      <c r="B1" s="11" t="s">
        <v>336</v>
      </c>
      <c r="C1" s="33" t="s">
        <v>2</v>
      </c>
      <c r="D1" s="11" t="s">
        <v>3</v>
      </c>
      <c r="E1" s="11" t="s">
        <v>337</v>
      </c>
      <c r="F1" s="11" t="s">
        <v>8</v>
      </c>
      <c r="G1" s="11" t="s">
        <v>6</v>
      </c>
      <c r="H1" s="11" t="s">
        <v>338</v>
      </c>
      <c r="I1" s="11" t="s">
        <v>339</v>
      </c>
      <c r="J1" s="30"/>
      <c r="K1" s="30"/>
      <c r="L1" s="30"/>
      <c r="M1" s="30"/>
      <c r="N1" s="30"/>
      <c r="O1" s="30"/>
      <c r="P1" s="30"/>
      <c r="Q1" s="30"/>
      <c r="R1" s="30"/>
      <c r="S1" s="30"/>
      <c r="T1" s="30"/>
      <c r="U1" s="30"/>
      <c r="V1" s="30"/>
      <c r="W1" s="30"/>
      <c r="X1" s="30"/>
      <c r="Y1" s="30"/>
      <c r="Z1" s="30"/>
      <c r="AA1" s="30"/>
      <c r="AB1" s="30"/>
      <c r="AC1" s="30"/>
      <c r="AD1" s="30"/>
      <c r="AE1" s="30"/>
      <c r="AF1" s="30"/>
    </row>
    <row r="2" s="30" customFormat="1" ht="12" spans="1:9">
      <c r="A2" s="34" t="s">
        <v>333</v>
      </c>
      <c r="B2" s="35" t="s">
        <v>3440</v>
      </c>
      <c r="C2" s="36" t="s">
        <v>3441</v>
      </c>
      <c r="D2" s="37" t="s">
        <v>3442</v>
      </c>
      <c r="E2" s="38" t="s">
        <v>608</v>
      </c>
      <c r="F2" s="39" t="s">
        <v>57</v>
      </c>
      <c r="G2" s="35" t="s">
        <v>28</v>
      </c>
      <c r="H2" s="36" t="s">
        <v>3443</v>
      </c>
      <c r="I2" s="52"/>
    </row>
    <row r="3" s="30" customFormat="1" ht="12" spans="1:9">
      <c r="A3" s="34"/>
      <c r="B3" s="40" t="s">
        <v>3444</v>
      </c>
      <c r="C3" s="36" t="s">
        <v>3445</v>
      </c>
      <c r="D3" s="37" t="s">
        <v>3446</v>
      </c>
      <c r="E3" s="38" t="s">
        <v>608</v>
      </c>
      <c r="F3" s="39" t="s">
        <v>57</v>
      </c>
      <c r="G3" s="35" t="s">
        <v>28</v>
      </c>
      <c r="H3" s="36" t="s">
        <v>3447</v>
      </c>
      <c r="I3" s="52"/>
    </row>
    <row r="4" s="30" customFormat="1" ht="22.5" spans="1:9">
      <c r="A4" s="34"/>
      <c r="B4" s="40" t="s">
        <v>3448</v>
      </c>
      <c r="C4" s="36" t="s">
        <v>862</v>
      </c>
      <c r="D4" s="37" t="s">
        <v>862</v>
      </c>
      <c r="E4" s="38" t="s">
        <v>608</v>
      </c>
      <c r="F4" s="39" t="s">
        <v>24</v>
      </c>
      <c r="G4" s="41" t="s">
        <v>345</v>
      </c>
      <c r="H4" s="36"/>
      <c r="I4" s="52"/>
    </row>
    <row r="5" s="30" customFormat="1" ht="22.5" spans="1:9">
      <c r="A5" s="34"/>
      <c r="B5" s="40" t="s">
        <v>3449</v>
      </c>
      <c r="C5" s="36" t="s">
        <v>3450</v>
      </c>
      <c r="D5" s="36" t="s">
        <v>3451</v>
      </c>
      <c r="E5" s="38" t="s">
        <v>608</v>
      </c>
      <c r="F5" s="39" t="s">
        <v>24</v>
      </c>
      <c r="G5" s="41" t="s">
        <v>28</v>
      </c>
      <c r="H5" s="36"/>
      <c r="I5" s="52"/>
    </row>
    <row r="6" s="30" customFormat="1" ht="12" spans="1:9">
      <c r="A6" s="34"/>
      <c r="B6" s="40" t="s">
        <v>3452</v>
      </c>
      <c r="C6" s="36" t="s">
        <v>3453</v>
      </c>
      <c r="D6" s="37" t="s">
        <v>2404</v>
      </c>
      <c r="E6" s="38" t="s">
        <v>344</v>
      </c>
      <c r="F6" s="39" t="s">
        <v>24</v>
      </c>
      <c r="G6" s="35" t="s">
        <v>3454</v>
      </c>
      <c r="H6" s="36"/>
      <c r="I6" s="52"/>
    </row>
    <row r="7" s="30" customFormat="1" ht="12" spans="1:9">
      <c r="A7" s="34"/>
      <c r="B7" s="40" t="s">
        <v>3455</v>
      </c>
      <c r="C7" s="42" t="s">
        <v>882</v>
      </c>
      <c r="D7" s="42" t="s">
        <v>882</v>
      </c>
      <c r="E7" s="38" t="s">
        <v>608</v>
      </c>
      <c r="F7" s="43" t="s">
        <v>24</v>
      </c>
      <c r="G7" s="44" t="s">
        <v>845</v>
      </c>
      <c r="H7" s="37" t="s">
        <v>884</v>
      </c>
      <c r="I7" s="52"/>
    </row>
    <row r="8" s="30" customFormat="1" ht="12" spans="1:9">
      <c r="A8" s="34"/>
      <c r="B8" s="40" t="s">
        <v>3456</v>
      </c>
      <c r="C8" s="36" t="s">
        <v>862</v>
      </c>
      <c r="D8" s="45" t="s">
        <v>903</v>
      </c>
      <c r="E8" s="38" t="s">
        <v>344</v>
      </c>
      <c r="F8" s="39" t="s">
        <v>57</v>
      </c>
      <c r="G8" s="41" t="s">
        <v>345</v>
      </c>
      <c r="H8" s="36"/>
      <c r="I8" s="52"/>
    </row>
    <row r="9" s="31" customFormat="1" ht="29.65" customHeight="1" spans="1:9">
      <c r="A9" s="34"/>
      <c r="B9" s="40" t="s">
        <v>3457</v>
      </c>
      <c r="C9" s="36" t="s">
        <v>98</v>
      </c>
      <c r="D9" s="37" t="s">
        <v>3458</v>
      </c>
      <c r="E9" s="38" t="s">
        <v>344</v>
      </c>
      <c r="F9" s="39" t="s">
        <v>24</v>
      </c>
      <c r="G9" s="46" t="s">
        <v>3459</v>
      </c>
      <c r="H9" s="35" t="s">
        <v>3460</v>
      </c>
      <c r="I9" s="53"/>
    </row>
    <row r="10" ht="78.75" spans="1:9">
      <c r="A10" s="34"/>
      <c r="B10" s="40" t="s">
        <v>3461</v>
      </c>
      <c r="C10" s="36" t="s">
        <v>3462</v>
      </c>
      <c r="D10" s="37" t="s">
        <v>3463</v>
      </c>
      <c r="E10" s="38" t="s">
        <v>608</v>
      </c>
      <c r="F10" s="39" t="s">
        <v>24</v>
      </c>
      <c r="G10" s="35" t="s">
        <v>3459</v>
      </c>
      <c r="H10" s="35" t="s">
        <v>3464</v>
      </c>
      <c r="I10" s="53"/>
    </row>
    <row r="11" ht="33.75" spans="1:9">
      <c r="A11" s="34"/>
      <c r="B11" s="40" t="s">
        <v>3465</v>
      </c>
      <c r="C11" s="36" t="s">
        <v>3466</v>
      </c>
      <c r="D11" s="37" t="s">
        <v>3467</v>
      </c>
      <c r="E11" s="38" t="s">
        <v>608</v>
      </c>
      <c r="F11" s="39" t="s">
        <v>24</v>
      </c>
      <c r="G11" s="35" t="s">
        <v>3459</v>
      </c>
      <c r="H11" s="35" t="s">
        <v>3468</v>
      </c>
      <c r="I11" s="53"/>
    </row>
    <row r="12" ht="56.25" spans="1:9">
      <c r="A12" s="34"/>
      <c r="B12" s="40" t="s">
        <v>3469</v>
      </c>
      <c r="C12" s="36" t="s">
        <v>3470</v>
      </c>
      <c r="D12" s="37" t="s">
        <v>3471</v>
      </c>
      <c r="E12" s="38" t="s">
        <v>608</v>
      </c>
      <c r="F12" s="39" t="s">
        <v>24</v>
      </c>
      <c r="G12" s="35" t="s">
        <v>3459</v>
      </c>
      <c r="H12" s="47" t="s">
        <v>3472</v>
      </c>
      <c r="I12" s="53"/>
    </row>
    <row r="13" ht="22.5" spans="1:9">
      <c r="A13" s="34"/>
      <c r="B13" s="40" t="s">
        <v>3473</v>
      </c>
      <c r="C13" s="36" t="s">
        <v>3474</v>
      </c>
      <c r="D13" s="37" t="s">
        <v>3211</v>
      </c>
      <c r="E13" s="38" t="s">
        <v>608</v>
      </c>
      <c r="F13" s="39" t="s">
        <v>24</v>
      </c>
      <c r="G13" s="35" t="s">
        <v>3459</v>
      </c>
      <c r="H13" s="47" t="s">
        <v>3475</v>
      </c>
      <c r="I13" s="53"/>
    </row>
    <row r="14" ht="78.75" spans="1:9">
      <c r="A14" s="34"/>
      <c r="B14" s="40" t="s">
        <v>3476</v>
      </c>
      <c r="C14" s="36" t="s">
        <v>3477</v>
      </c>
      <c r="D14" s="37" t="s">
        <v>3478</v>
      </c>
      <c r="E14" s="38" t="s">
        <v>608</v>
      </c>
      <c r="F14" s="39" t="s">
        <v>24</v>
      </c>
      <c r="G14" s="35" t="s">
        <v>3459</v>
      </c>
      <c r="H14" s="47" t="s">
        <v>3479</v>
      </c>
      <c r="I14" s="53"/>
    </row>
    <row r="15" spans="1:9">
      <c r="A15" s="34"/>
      <c r="B15" s="40" t="s">
        <v>3480</v>
      </c>
      <c r="C15" s="36" t="s">
        <v>3481</v>
      </c>
      <c r="D15" s="37" t="s">
        <v>3482</v>
      </c>
      <c r="E15" s="38" t="s">
        <v>344</v>
      </c>
      <c r="F15" s="39" t="s">
        <v>24</v>
      </c>
      <c r="G15" s="35" t="s">
        <v>3459</v>
      </c>
      <c r="H15" s="47" t="s">
        <v>3483</v>
      </c>
      <c r="I15" s="53"/>
    </row>
    <row r="16" ht="45" spans="1:9">
      <c r="A16" s="34"/>
      <c r="B16" s="40" t="s">
        <v>3484</v>
      </c>
      <c r="C16" s="36" t="s">
        <v>3485</v>
      </c>
      <c r="D16" s="37" t="s">
        <v>3486</v>
      </c>
      <c r="E16" s="38" t="s">
        <v>608</v>
      </c>
      <c r="F16" s="39" t="s">
        <v>24</v>
      </c>
      <c r="G16" s="35" t="s">
        <v>3459</v>
      </c>
      <c r="H16" s="47" t="s">
        <v>3487</v>
      </c>
      <c r="I16" s="53"/>
    </row>
    <row r="17" spans="1:9">
      <c r="A17" s="34"/>
      <c r="B17" s="40" t="s">
        <v>3488</v>
      </c>
      <c r="C17" s="36" t="s">
        <v>3481</v>
      </c>
      <c r="D17" s="37" t="s">
        <v>3489</v>
      </c>
      <c r="E17" s="38" t="s">
        <v>344</v>
      </c>
      <c r="F17" s="39" t="s">
        <v>24</v>
      </c>
      <c r="G17" s="35" t="s">
        <v>3459</v>
      </c>
      <c r="H17" s="47" t="s">
        <v>3490</v>
      </c>
      <c r="I17" s="53"/>
    </row>
    <row r="18" ht="45" spans="1:9">
      <c r="A18" s="34"/>
      <c r="B18" s="40" t="s">
        <v>3491</v>
      </c>
      <c r="C18" s="36" t="s">
        <v>3485</v>
      </c>
      <c r="D18" s="37" t="s">
        <v>3486</v>
      </c>
      <c r="E18" s="38" t="s">
        <v>608</v>
      </c>
      <c r="F18" s="39" t="s">
        <v>24</v>
      </c>
      <c r="G18" s="35" t="s">
        <v>3459</v>
      </c>
      <c r="H18" s="47" t="s">
        <v>3487</v>
      </c>
      <c r="I18" s="53"/>
    </row>
    <row r="19" ht="22.5" spans="1:9">
      <c r="A19" s="34"/>
      <c r="B19" s="40" t="s">
        <v>3492</v>
      </c>
      <c r="C19" s="36" t="s">
        <v>3493</v>
      </c>
      <c r="D19" s="37" t="s">
        <v>3494</v>
      </c>
      <c r="E19" s="38" t="s">
        <v>608</v>
      </c>
      <c r="F19" s="39" t="s">
        <v>24</v>
      </c>
      <c r="G19" s="35" t="s">
        <v>3459</v>
      </c>
      <c r="H19" s="47" t="s">
        <v>3495</v>
      </c>
      <c r="I19" s="53"/>
    </row>
    <row r="20" ht="22.5" spans="1:9">
      <c r="A20" s="34"/>
      <c r="B20" s="40" t="s">
        <v>3496</v>
      </c>
      <c r="C20" s="36" t="s">
        <v>3497</v>
      </c>
      <c r="D20" s="37" t="s">
        <v>3498</v>
      </c>
      <c r="E20" s="48" t="s">
        <v>608</v>
      </c>
      <c r="F20" s="39" t="s">
        <v>24</v>
      </c>
      <c r="G20" s="40" t="s">
        <v>3499</v>
      </c>
      <c r="H20" s="35"/>
      <c r="I20" s="53"/>
    </row>
    <row r="21" ht="67.5" spans="1:9">
      <c r="A21" s="34"/>
      <c r="B21" s="40" t="s">
        <v>3500</v>
      </c>
      <c r="C21" s="36" t="s">
        <v>3501</v>
      </c>
      <c r="D21" s="37" t="s">
        <v>3502</v>
      </c>
      <c r="E21" s="38" t="s">
        <v>608</v>
      </c>
      <c r="F21" s="39" t="s">
        <v>24</v>
      </c>
      <c r="G21" s="47" t="s">
        <v>3503</v>
      </c>
      <c r="H21" s="35" t="s">
        <v>3504</v>
      </c>
      <c r="I21" s="53"/>
    </row>
    <row r="22" ht="22.5" spans="1:9">
      <c r="A22" s="34"/>
      <c r="B22" s="40" t="s">
        <v>3505</v>
      </c>
      <c r="C22" s="36" t="s">
        <v>3506</v>
      </c>
      <c r="D22" s="37" t="s">
        <v>3507</v>
      </c>
      <c r="E22" s="38" t="s">
        <v>608</v>
      </c>
      <c r="F22" s="39" t="s">
        <v>24</v>
      </c>
      <c r="G22" s="47" t="s">
        <v>28</v>
      </c>
      <c r="H22" s="35" t="s">
        <v>3508</v>
      </c>
      <c r="I22" s="53"/>
    </row>
    <row r="23" ht="22.5" spans="1:9">
      <c r="A23" s="34"/>
      <c r="B23" s="40" t="s">
        <v>3509</v>
      </c>
      <c r="C23" s="49" t="s">
        <v>3510</v>
      </c>
      <c r="D23" s="49" t="s">
        <v>3511</v>
      </c>
      <c r="E23" s="38" t="s">
        <v>608</v>
      </c>
      <c r="F23" s="50" t="s">
        <v>24</v>
      </c>
      <c r="G23" s="40" t="s">
        <v>71</v>
      </c>
      <c r="H23" s="51"/>
      <c r="I23" s="53"/>
    </row>
    <row r="24" ht="22.5" spans="1:9">
      <c r="A24" s="34"/>
      <c r="B24" s="40" t="s">
        <v>3512</v>
      </c>
      <c r="C24" s="49" t="s">
        <v>3513</v>
      </c>
      <c r="D24" s="49" t="s">
        <v>3514</v>
      </c>
      <c r="E24" s="38" t="s">
        <v>608</v>
      </c>
      <c r="F24" s="50" t="s">
        <v>24</v>
      </c>
      <c r="G24" s="40" t="s">
        <v>28</v>
      </c>
      <c r="H24" s="51" t="s">
        <v>3515</v>
      </c>
      <c r="I24" s="53"/>
    </row>
    <row r="25" ht="22.5" spans="1:9">
      <c r="A25" s="34"/>
      <c r="B25" s="40" t="s">
        <v>3516</v>
      </c>
      <c r="C25" s="49" t="s">
        <v>3517</v>
      </c>
      <c r="D25" s="49" t="s">
        <v>3518</v>
      </c>
      <c r="E25" s="38" t="s">
        <v>608</v>
      </c>
      <c r="F25" s="50" t="s">
        <v>24</v>
      </c>
      <c r="G25" s="40" t="s">
        <v>28</v>
      </c>
      <c r="H25" s="51" t="s">
        <v>3515</v>
      </c>
      <c r="I25" s="53"/>
    </row>
    <row r="26" spans="1:9">
      <c r="A26" s="34"/>
      <c r="B26" s="40" t="s">
        <v>3519</v>
      </c>
      <c r="C26" s="49" t="s">
        <v>3520</v>
      </c>
      <c r="D26" s="49" t="s">
        <v>3521</v>
      </c>
      <c r="E26" s="38" t="s">
        <v>344</v>
      </c>
      <c r="F26" s="50" t="s">
        <v>24</v>
      </c>
      <c r="G26" s="40" t="s">
        <v>3522</v>
      </c>
      <c r="H26" s="51"/>
      <c r="I26" s="53"/>
    </row>
    <row r="27" spans="1:9">
      <c r="A27" s="34"/>
      <c r="B27" s="40" t="s">
        <v>3523</v>
      </c>
      <c r="C27" s="49" t="s">
        <v>3524</v>
      </c>
      <c r="D27" s="49" t="s">
        <v>3525</v>
      </c>
      <c r="E27" s="38" t="s">
        <v>344</v>
      </c>
      <c r="F27" s="50" t="s">
        <v>24</v>
      </c>
      <c r="G27" s="40" t="s">
        <v>3522</v>
      </c>
      <c r="H27" s="51"/>
      <c r="I27" s="53"/>
    </row>
    <row r="28" ht="135" spans="1:9">
      <c r="A28" s="34"/>
      <c r="B28" s="40" t="s">
        <v>3526</v>
      </c>
      <c r="C28" s="49" t="s">
        <v>3527</v>
      </c>
      <c r="D28" s="49" t="s">
        <v>3528</v>
      </c>
      <c r="E28" s="38" t="s">
        <v>344</v>
      </c>
      <c r="F28" s="50" t="s">
        <v>24</v>
      </c>
      <c r="G28" s="40" t="s">
        <v>3529</v>
      </c>
      <c r="H28" s="51" t="s">
        <v>3530</v>
      </c>
      <c r="I28" s="53"/>
    </row>
    <row r="29" ht="22.5" spans="1:9">
      <c r="A29" s="34"/>
      <c r="B29" s="40" t="s">
        <v>3531</v>
      </c>
      <c r="C29" s="49" t="s">
        <v>3532</v>
      </c>
      <c r="D29" s="49" t="s">
        <v>3533</v>
      </c>
      <c r="E29" s="38" t="s">
        <v>608</v>
      </c>
      <c r="F29" s="50" t="s">
        <v>24</v>
      </c>
      <c r="G29" s="35" t="s">
        <v>71</v>
      </c>
      <c r="H29" s="51" t="s">
        <v>3534</v>
      </c>
      <c r="I29" s="53"/>
    </row>
    <row r="30" ht="22.5" spans="1:9">
      <c r="A30" s="34"/>
      <c r="B30" s="40" t="s">
        <v>3535</v>
      </c>
      <c r="C30" s="49" t="s">
        <v>969</v>
      </c>
      <c r="D30" s="49" t="s">
        <v>3536</v>
      </c>
      <c r="E30" s="38" t="s">
        <v>608</v>
      </c>
      <c r="F30" s="50" t="s">
        <v>24</v>
      </c>
      <c r="G30" s="35" t="s">
        <v>71</v>
      </c>
      <c r="H30" s="51" t="s">
        <v>3537</v>
      </c>
      <c r="I30" s="53"/>
    </row>
    <row r="31" ht="22.5" spans="1:9">
      <c r="A31" s="34"/>
      <c r="B31" s="40" t="s">
        <v>3538</v>
      </c>
      <c r="C31" s="49" t="s">
        <v>3539</v>
      </c>
      <c r="D31" s="49" t="s">
        <v>3540</v>
      </c>
      <c r="E31" s="38" t="s">
        <v>608</v>
      </c>
      <c r="F31" s="50" t="s">
        <v>24</v>
      </c>
      <c r="G31" s="35" t="s">
        <v>71</v>
      </c>
      <c r="H31" s="51" t="s">
        <v>3541</v>
      </c>
      <c r="I31" s="53"/>
    </row>
    <row r="32" ht="22.5" spans="1:9">
      <c r="A32" s="34"/>
      <c r="B32" s="40" t="s">
        <v>3542</v>
      </c>
      <c r="C32" s="49" t="s">
        <v>3543</v>
      </c>
      <c r="D32" s="49" t="s">
        <v>3544</v>
      </c>
      <c r="E32" s="38" t="s">
        <v>608</v>
      </c>
      <c r="F32" s="50" t="s">
        <v>24</v>
      </c>
      <c r="G32" s="35" t="s">
        <v>71</v>
      </c>
      <c r="H32" s="51" t="s">
        <v>3545</v>
      </c>
      <c r="I32" s="53"/>
    </row>
    <row r="33" ht="22.5" spans="1:9">
      <c r="A33" s="34"/>
      <c r="B33" s="40" t="s">
        <v>3546</v>
      </c>
      <c r="C33" s="36" t="s">
        <v>3547</v>
      </c>
      <c r="D33" s="37" t="s">
        <v>3548</v>
      </c>
      <c r="E33" s="38" t="s">
        <v>608</v>
      </c>
      <c r="F33" s="39" t="s">
        <v>24</v>
      </c>
      <c r="G33" s="35" t="s">
        <v>3549</v>
      </c>
      <c r="H33" s="35"/>
      <c r="I33" s="53"/>
    </row>
  </sheetData>
  <mergeCells count="1">
    <mergeCell ref="A2:A33"/>
  </mergeCells>
  <pageMargins left="0.699305555555556" right="0.699305555555556" top="0.75" bottom="0.75" header="0.3" footer="0.3"/>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KC58"/>
  <sheetViews>
    <sheetView zoomScale="85" zoomScaleNormal="85" topLeftCell="A14" workbookViewId="0">
      <selection activeCell="E55" sqref="E55"/>
    </sheetView>
  </sheetViews>
  <sheetFormatPr defaultColWidth="9" defaultRowHeight="12"/>
  <cols>
    <col min="1" max="1" width="17.125" style="8" customWidth="1"/>
    <col min="2" max="2" width="94" style="8" customWidth="1"/>
    <col min="3" max="3" width="39.5" style="9" customWidth="1"/>
    <col min="4" max="4" width="13.25" style="10" customWidth="1"/>
    <col min="5" max="5" width="40" style="8" customWidth="1"/>
    <col min="6" max="6" width="17.625" style="8" customWidth="1"/>
    <col min="7" max="16384" width="9" style="8"/>
  </cols>
  <sheetData>
    <row r="1" s="1" customFormat="1" ht="24" customHeight="1" spans="1:21">
      <c r="A1" s="11" t="s">
        <v>335</v>
      </c>
      <c r="B1" s="11" t="s">
        <v>336</v>
      </c>
      <c r="C1" s="11" t="s">
        <v>3</v>
      </c>
      <c r="D1" s="11" t="s">
        <v>8</v>
      </c>
      <c r="E1" s="11" t="s">
        <v>338</v>
      </c>
      <c r="F1" s="11" t="s">
        <v>339</v>
      </c>
      <c r="G1" s="8"/>
      <c r="H1" s="8"/>
      <c r="I1" s="8"/>
      <c r="J1" s="8"/>
      <c r="K1" s="8"/>
      <c r="L1" s="8"/>
      <c r="M1" s="8"/>
      <c r="N1" s="8"/>
      <c r="O1" s="8"/>
      <c r="P1" s="27"/>
      <c r="Q1" s="27"/>
      <c r="R1" s="27"/>
      <c r="S1" s="27"/>
      <c r="T1" s="27"/>
      <c r="U1" s="27"/>
    </row>
    <row r="2" s="2" customFormat="1" ht="27.75" customHeight="1" spans="1:6">
      <c r="A2" s="12" t="s">
        <v>3550</v>
      </c>
      <c r="B2" s="13" t="s">
        <v>3551</v>
      </c>
      <c r="C2" s="13" t="s">
        <v>3552</v>
      </c>
      <c r="D2" s="14" t="s">
        <v>24</v>
      </c>
      <c r="E2" s="13" t="s">
        <v>3553</v>
      </c>
      <c r="F2" s="13"/>
    </row>
    <row r="3" s="2" customFormat="1" spans="1:6">
      <c r="A3" s="12"/>
      <c r="B3" s="13" t="s">
        <v>3554</v>
      </c>
      <c r="C3" s="13" t="s">
        <v>3555</v>
      </c>
      <c r="D3" s="14" t="s">
        <v>57</v>
      </c>
      <c r="E3" s="13"/>
      <c r="F3" s="13"/>
    </row>
    <row r="4" s="2" customFormat="1" ht="25.15" customHeight="1" spans="1:6">
      <c r="A4" s="12"/>
      <c r="B4" s="13" t="s">
        <v>3556</v>
      </c>
      <c r="C4" s="13" t="s">
        <v>3557</v>
      </c>
      <c r="D4" s="14" t="s">
        <v>24</v>
      </c>
      <c r="E4" s="13" t="s">
        <v>3553</v>
      </c>
      <c r="F4" s="13"/>
    </row>
    <row r="5" s="2" customFormat="1" ht="29.65" customHeight="1" spans="1:6">
      <c r="A5" s="12"/>
      <c r="B5" s="13" t="s">
        <v>3558</v>
      </c>
      <c r="C5" s="13" t="s">
        <v>3559</v>
      </c>
      <c r="D5" s="14" t="s">
        <v>24</v>
      </c>
      <c r="E5" s="13" t="s">
        <v>3553</v>
      </c>
      <c r="F5" s="13"/>
    </row>
    <row r="6" s="3" customFormat="1" spans="1:289">
      <c r="A6" s="12"/>
      <c r="B6" s="13" t="s">
        <v>3560</v>
      </c>
      <c r="C6" s="13" t="s">
        <v>3561</v>
      </c>
      <c r="D6" s="14" t="s">
        <v>57</v>
      </c>
      <c r="E6" s="14"/>
      <c r="F6" s="15"/>
      <c r="G6" s="2"/>
      <c r="H6" s="2"/>
      <c r="I6" s="2"/>
      <c r="J6" s="2"/>
      <c r="K6" s="2"/>
      <c r="L6" s="2"/>
      <c r="M6" s="2"/>
      <c r="N6" s="2"/>
      <c r="O6" s="2"/>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c r="DA6" s="28"/>
      <c r="DB6" s="28"/>
      <c r="DC6" s="28"/>
      <c r="DD6" s="28"/>
      <c r="DE6" s="28"/>
      <c r="DF6" s="28"/>
      <c r="DG6" s="28"/>
      <c r="DH6" s="28"/>
      <c r="DI6" s="28"/>
      <c r="DJ6" s="28"/>
      <c r="DK6" s="28"/>
      <c r="DL6" s="28"/>
      <c r="DM6" s="28"/>
      <c r="DN6" s="28"/>
      <c r="DO6" s="28"/>
      <c r="DP6" s="28"/>
      <c r="DQ6" s="28"/>
      <c r="DR6" s="28"/>
      <c r="DS6" s="28"/>
      <c r="DT6" s="28"/>
      <c r="DU6" s="28"/>
      <c r="DV6" s="28"/>
      <c r="DW6" s="28"/>
      <c r="DX6" s="28"/>
      <c r="DY6" s="28"/>
      <c r="DZ6" s="28"/>
      <c r="EA6" s="28"/>
      <c r="EB6" s="28"/>
      <c r="EC6" s="28"/>
      <c r="ED6" s="28"/>
      <c r="EE6" s="28"/>
      <c r="EF6" s="28"/>
      <c r="EG6" s="28"/>
      <c r="EH6" s="28"/>
      <c r="EI6" s="28"/>
      <c r="EJ6" s="28"/>
      <c r="EK6" s="28"/>
      <c r="EL6" s="28"/>
      <c r="EM6" s="28"/>
      <c r="EN6" s="28"/>
      <c r="EO6" s="28"/>
      <c r="EP6" s="28"/>
      <c r="EQ6" s="28"/>
      <c r="ER6" s="28"/>
      <c r="ES6" s="28"/>
      <c r="ET6" s="28"/>
      <c r="EU6" s="28"/>
      <c r="EV6" s="28"/>
      <c r="EW6" s="28"/>
      <c r="EX6" s="28"/>
      <c r="EY6" s="28"/>
      <c r="EZ6" s="28"/>
      <c r="FA6" s="28"/>
      <c r="FB6" s="28"/>
      <c r="FC6" s="28"/>
      <c r="FD6" s="28"/>
      <c r="FE6" s="28"/>
      <c r="FF6" s="28"/>
      <c r="FG6" s="28"/>
      <c r="FH6" s="28"/>
      <c r="FI6" s="28"/>
      <c r="FJ6" s="28"/>
      <c r="FK6" s="28"/>
      <c r="FL6" s="28"/>
      <c r="FM6" s="28"/>
      <c r="FN6" s="28"/>
      <c r="FO6" s="28"/>
      <c r="FP6" s="28"/>
      <c r="FQ6" s="28"/>
      <c r="FR6" s="28"/>
      <c r="FS6" s="28"/>
      <c r="FT6" s="28"/>
      <c r="FU6" s="28"/>
      <c r="FV6" s="28"/>
      <c r="FW6" s="28"/>
      <c r="FX6" s="28"/>
      <c r="FY6" s="28"/>
      <c r="FZ6" s="28"/>
      <c r="GA6" s="28"/>
      <c r="GB6" s="28"/>
      <c r="GC6" s="28"/>
      <c r="GD6" s="28"/>
      <c r="GE6" s="28"/>
      <c r="GF6" s="28"/>
      <c r="GG6" s="28"/>
      <c r="GH6" s="28"/>
      <c r="GI6" s="28"/>
      <c r="GJ6" s="28"/>
      <c r="GK6" s="28"/>
      <c r="GL6" s="28"/>
      <c r="GM6" s="28"/>
      <c r="GN6" s="28"/>
      <c r="GO6" s="28"/>
      <c r="GP6" s="28"/>
      <c r="GQ6" s="28"/>
      <c r="GR6" s="28"/>
      <c r="GS6" s="28"/>
      <c r="GT6" s="28"/>
      <c r="GU6" s="28"/>
      <c r="GV6" s="28"/>
      <c r="GW6" s="28"/>
      <c r="GX6" s="28"/>
      <c r="GY6" s="28"/>
      <c r="GZ6" s="28"/>
      <c r="HA6" s="28"/>
      <c r="HB6" s="28"/>
      <c r="HC6" s="28"/>
      <c r="HD6" s="28"/>
      <c r="HE6" s="28"/>
      <c r="HF6" s="28"/>
      <c r="HG6" s="28"/>
      <c r="HH6" s="28"/>
      <c r="HI6" s="28"/>
      <c r="HJ6" s="28"/>
      <c r="HK6" s="28"/>
      <c r="HL6" s="28"/>
      <c r="HM6" s="28"/>
      <c r="HN6" s="28"/>
      <c r="HO6" s="28"/>
      <c r="HP6" s="28"/>
      <c r="HQ6" s="28"/>
      <c r="HR6" s="28"/>
      <c r="HS6" s="28"/>
      <c r="HT6" s="28"/>
      <c r="HU6" s="28"/>
      <c r="HV6" s="28"/>
      <c r="HW6" s="28"/>
      <c r="HX6" s="28"/>
      <c r="HY6" s="28"/>
      <c r="HZ6" s="28"/>
      <c r="IA6" s="28"/>
      <c r="IB6" s="28"/>
      <c r="IC6" s="28"/>
      <c r="ID6" s="28"/>
      <c r="IE6" s="28"/>
      <c r="IF6" s="28"/>
      <c r="IG6" s="28"/>
      <c r="IH6" s="28"/>
      <c r="II6" s="28"/>
      <c r="IJ6" s="28"/>
      <c r="IK6" s="28"/>
      <c r="IL6" s="28"/>
      <c r="IM6" s="28"/>
      <c r="IN6" s="28"/>
      <c r="IO6" s="28"/>
      <c r="IP6" s="28"/>
      <c r="IQ6" s="28"/>
      <c r="IR6" s="28"/>
      <c r="IS6" s="28"/>
      <c r="IT6" s="28"/>
      <c r="IU6" s="28"/>
      <c r="IV6" s="28"/>
      <c r="IW6" s="28"/>
      <c r="IX6" s="28"/>
      <c r="IY6" s="28"/>
      <c r="IZ6" s="28"/>
      <c r="JA6" s="28"/>
      <c r="JB6" s="28"/>
      <c r="JC6" s="28"/>
      <c r="JD6" s="28"/>
      <c r="JE6" s="28"/>
      <c r="JF6" s="28"/>
      <c r="JG6" s="28"/>
      <c r="JH6" s="28"/>
      <c r="JI6" s="28"/>
      <c r="JJ6" s="28"/>
      <c r="JK6" s="28"/>
      <c r="JL6" s="28"/>
      <c r="JM6" s="28"/>
      <c r="JN6" s="28"/>
      <c r="JO6" s="28"/>
      <c r="JP6" s="28"/>
      <c r="JQ6" s="28"/>
      <c r="JR6" s="28"/>
      <c r="JS6" s="28"/>
      <c r="JT6" s="28"/>
      <c r="JU6" s="28"/>
      <c r="JV6" s="28"/>
      <c r="JW6" s="28"/>
      <c r="JX6" s="28"/>
      <c r="JY6" s="28"/>
      <c r="JZ6" s="28"/>
      <c r="KA6" s="28"/>
      <c r="KB6" s="28"/>
      <c r="KC6" s="28"/>
    </row>
    <row r="7" s="3" customFormat="1" spans="1:289">
      <c r="A7" s="12"/>
      <c r="B7" s="13" t="s">
        <v>3562</v>
      </c>
      <c r="C7" s="13" t="s">
        <v>3563</v>
      </c>
      <c r="D7" s="14" t="s">
        <v>57</v>
      </c>
      <c r="E7" s="13"/>
      <c r="F7" s="13"/>
      <c r="G7" s="2"/>
      <c r="H7" s="2"/>
      <c r="I7" s="2"/>
      <c r="J7" s="2"/>
      <c r="K7" s="2"/>
      <c r="L7" s="2"/>
      <c r="M7" s="2"/>
      <c r="N7" s="2"/>
      <c r="O7" s="2"/>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28"/>
      <c r="DZ7" s="28"/>
      <c r="EA7" s="28"/>
      <c r="EB7" s="28"/>
      <c r="EC7" s="28"/>
      <c r="ED7" s="28"/>
      <c r="EE7" s="28"/>
      <c r="EF7" s="28"/>
      <c r="EG7" s="28"/>
      <c r="EH7" s="28"/>
      <c r="EI7" s="28"/>
      <c r="EJ7" s="28"/>
      <c r="EK7" s="28"/>
      <c r="EL7" s="28"/>
      <c r="EM7" s="28"/>
      <c r="EN7" s="28"/>
      <c r="EO7" s="28"/>
      <c r="EP7" s="28"/>
      <c r="EQ7" s="28"/>
      <c r="ER7" s="28"/>
      <c r="ES7" s="28"/>
      <c r="ET7" s="28"/>
      <c r="EU7" s="28"/>
      <c r="EV7" s="28"/>
      <c r="EW7" s="28"/>
      <c r="EX7" s="28"/>
      <c r="EY7" s="28"/>
      <c r="EZ7" s="28"/>
      <c r="FA7" s="28"/>
      <c r="FB7" s="28"/>
      <c r="FC7" s="28"/>
      <c r="FD7" s="28"/>
      <c r="FE7" s="28"/>
      <c r="FF7" s="28"/>
      <c r="FG7" s="28"/>
      <c r="FH7" s="28"/>
      <c r="FI7" s="28"/>
      <c r="FJ7" s="28"/>
      <c r="FK7" s="28"/>
      <c r="FL7" s="28"/>
      <c r="FM7" s="28"/>
      <c r="FN7" s="28"/>
      <c r="FO7" s="28"/>
      <c r="FP7" s="28"/>
      <c r="FQ7" s="28"/>
      <c r="FR7" s="28"/>
      <c r="FS7" s="28"/>
      <c r="FT7" s="28"/>
      <c r="FU7" s="28"/>
      <c r="FV7" s="28"/>
      <c r="FW7" s="28"/>
      <c r="FX7" s="28"/>
      <c r="FY7" s="28"/>
      <c r="FZ7" s="28"/>
      <c r="GA7" s="28"/>
      <c r="GB7" s="28"/>
      <c r="GC7" s="28"/>
      <c r="GD7" s="28"/>
      <c r="GE7" s="28"/>
      <c r="GF7" s="28"/>
      <c r="GG7" s="28"/>
      <c r="GH7" s="28"/>
      <c r="GI7" s="28"/>
      <c r="GJ7" s="28"/>
      <c r="GK7" s="28"/>
      <c r="GL7" s="28"/>
      <c r="GM7" s="28"/>
      <c r="GN7" s="28"/>
      <c r="GO7" s="28"/>
      <c r="GP7" s="28"/>
      <c r="GQ7" s="28"/>
      <c r="GR7" s="28"/>
      <c r="GS7" s="28"/>
      <c r="GT7" s="28"/>
      <c r="GU7" s="28"/>
      <c r="GV7" s="28"/>
      <c r="GW7" s="28"/>
      <c r="GX7" s="28"/>
      <c r="GY7" s="28"/>
      <c r="GZ7" s="28"/>
      <c r="HA7" s="28"/>
      <c r="HB7" s="28"/>
      <c r="HC7" s="28"/>
      <c r="HD7" s="28"/>
      <c r="HE7" s="28"/>
      <c r="HF7" s="28"/>
      <c r="HG7" s="28"/>
      <c r="HH7" s="28"/>
      <c r="HI7" s="28"/>
      <c r="HJ7" s="28"/>
      <c r="HK7" s="28"/>
      <c r="HL7" s="28"/>
      <c r="HM7" s="28"/>
      <c r="HN7" s="28"/>
      <c r="HO7" s="28"/>
      <c r="HP7" s="28"/>
      <c r="HQ7" s="28"/>
      <c r="HR7" s="28"/>
      <c r="HS7" s="28"/>
      <c r="HT7" s="28"/>
      <c r="HU7" s="28"/>
      <c r="HV7" s="28"/>
      <c r="HW7" s="28"/>
      <c r="HX7" s="28"/>
      <c r="HY7" s="28"/>
      <c r="HZ7" s="28"/>
      <c r="IA7" s="28"/>
      <c r="IB7" s="28"/>
      <c r="IC7" s="28"/>
      <c r="ID7" s="28"/>
      <c r="IE7" s="28"/>
      <c r="IF7" s="28"/>
      <c r="IG7" s="28"/>
      <c r="IH7" s="28"/>
      <c r="II7" s="28"/>
      <c r="IJ7" s="28"/>
      <c r="IK7" s="28"/>
      <c r="IL7" s="28"/>
      <c r="IM7" s="28"/>
      <c r="IN7" s="28"/>
      <c r="IO7" s="28"/>
      <c r="IP7" s="28"/>
      <c r="IQ7" s="28"/>
      <c r="IR7" s="28"/>
      <c r="IS7" s="28"/>
      <c r="IT7" s="28"/>
      <c r="IU7" s="28"/>
      <c r="IV7" s="28"/>
      <c r="IW7" s="28"/>
      <c r="IX7" s="28"/>
      <c r="IY7" s="28"/>
      <c r="IZ7" s="28"/>
      <c r="JA7" s="28"/>
      <c r="JB7" s="28"/>
      <c r="JC7" s="28"/>
      <c r="JD7" s="28"/>
      <c r="JE7" s="28"/>
      <c r="JF7" s="28"/>
      <c r="JG7" s="28"/>
      <c r="JH7" s="28"/>
      <c r="JI7" s="28"/>
      <c r="JJ7" s="28"/>
      <c r="JK7" s="28"/>
      <c r="JL7" s="28"/>
      <c r="JM7" s="28"/>
      <c r="JN7" s="28"/>
      <c r="JO7" s="28"/>
      <c r="JP7" s="28"/>
      <c r="JQ7" s="28"/>
      <c r="JR7" s="28"/>
      <c r="JS7" s="28"/>
      <c r="JT7" s="28"/>
      <c r="JU7" s="28"/>
      <c r="JV7" s="28"/>
      <c r="JW7" s="28"/>
      <c r="JX7" s="28"/>
      <c r="JY7" s="28"/>
      <c r="JZ7" s="28"/>
      <c r="KA7" s="28"/>
      <c r="KB7" s="28"/>
      <c r="KC7" s="28"/>
    </row>
    <row r="8" s="3" customFormat="1" spans="1:289">
      <c r="A8" s="12"/>
      <c r="B8" s="13" t="s">
        <v>3564</v>
      </c>
      <c r="C8" s="13" t="s">
        <v>3565</v>
      </c>
      <c r="D8" s="14" t="s">
        <v>57</v>
      </c>
      <c r="E8" s="13"/>
      <c r="F8" s="13"/>
      <c r="G8" s="2"/>
      <c r="H8" s="2"/>
      <c r="I8" s="2"/>
      <c r="J8" s="2"/>
      <c r="K8" s="2"/>
      <c r="L8" s="2"/>
      <c r="M8" s="2"/>
      <c r="N8" s="2"/>
      <c r="O8" s="2"/>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c r="EK8" s="28"/>
      <c r="EL8" s="28"/>
      <c r="EM8" s="28"/>
      <c r="EN8" s="28"/>
      <c r="EO8" s="28"/>
      <c r="EP8" s="28"/>
      <c r="EQ8" s="28"/>
      <c r="ER8" s="28"/>
      <c r="ES8" s="28"/>
      <c r="ET8" s="28"/>
      <c r="EU8" s="28"/>
      <c r="EV8" s="28"/>
      <c r="EW8" s="28"/>
      <c r="EX8" s="28"/>
      <c r="EY8" s="28"/>
      <c r="EZ8" s="28"/>
      <c r="FA8" s="28"/>
      <c r="FB8" s="28"/>
      <c r="FC8" s="28"/>
      <c r="FD8" s="28"/>
      <c r="FE8" s="28"/>
      <c r="FF8" s="28"/>
      <c r="FG8" s="28"/>
      <c r="FH8" s="28"/>
      <c r="FI8" s="28"/>
      <c r="FJ8" s="28"/>
      <c r="FK8" s="28"/>
      <c r="FL8" s="28"/>
      <c r="FM8" s="28"/>
      <c r="FN8" s="28"/>
      <c r="FO8" s="28"/>
      <c r="FP8" s="28"/>
      <c r="FQ8" s="28"/>
      <c r="FR8" s="28"/>
      <c r="FS8" s="28"/>
      <c r="FT8" s="28"/>
      <c r="FU8" s="28"/>
      <c r="FV8" s="28"/>
      <c r="FW8" s="28"/>
      <c r="FX8" s="28"/>
      <c r="FY8" s="28"/>
      <c r="FZ8" s="28"/>
      <c r="GA8" s="28"/>
      <c r="GB8" s="28"/>
      <c r="GC8" s="28"/>
      <c r="GD8" s="28"/>
      <c r="GE8" s="28"/>
      <c r="GF8" s="28"/>
      <c r="GG8" s="28"/>
      <c r="GH8" s="28"/>
      <c r="GI8" s="28"/>
      <c r="GJ8" s="28"/>
      <c r="GK8" s="28"/>
      <c r="GL8" s="28"/>
      <c r="GM8" s="28"/>
      <c r="GN8" s="28"/>
      <c r="GO8" s="28"/>
      <c r="GP8" s="28"/>
      <c r="GQ8" s="28"/>
      <c r="GR8" s="28"/>
      <c r="GS8" s="28"/>
      <c r="GT8" s="28"/>
      <c r="GU8" s="28"/>
      <c r="GV8" s="28"/>
      <c r="GW8" s="28"/>
      <c r="GX8" s="28"/>
      <c r="GY8" s="28"/>
      <c r="GZ8" s="28"/>
      <c r="HA8" s="28"/>
      <c r="HB8" s="28"/>
      <c r="HC8" s="28"/>
      <c r="HD8" s="28"/>
      <c r="HE8" s="28"/>
      <c r="HF8" s="28"/>
      <c r="HG8" s="28"/>
      <c r="HH8" s="28"/>
      <c r="HI8" s="28"/>
      <c r="HJ8" s="28"/>
      <c r="HK8" s="28"/>
      <c r="HL8" s="28"/>
      <c r="HM8" s="28"/>
      <c r="HN8" s="28"/>
      <c r="HO8" s="28"/>
      <c r="HP8" s="28"/>
      <c r="HQ8" s="28"/>
      <c r="HR8" s="28"/>
      <c r="HS8" s="28"/>
      <c r="HT8" s="28"/>
      <c r="HU8" s="28"/>
      <c r="HV8" s="28"/>
      <c r="HW8" s="28"/>
      <c r="HX8" s="28"/>
      <c r="HY8" s="28"/>
      <c r="HZ8" s="28"/>
      <c r="IA8" s="28"/>
      <c r="IB8" s="28"/>
      <c r="IC8" s="28"/>
      <c r="ID8" s="28"/>
      <c r="IE8" s="28"/>
      <c r="IF8" s="28"/>
      <c r="IG8" s="28"/>
      <c r="IH8" s="28"/>
      <c r="II8" s="28"/>
      <c r="IJ8" s="28"/>
      <c r="IK8" s="28"/>
      <c r="IL8" s="28"/>
      <c r="IM8" s="28"/>
      <c r="IN8" s="28"/>
      <c r="IO8" s="28"/>
      <c r="IP8" s="28"/>
      <c r="IQ8" s="28"/>
      <c r="IR8" s="28"/>
      <c r="IS8" s="28"/>
      <c r="IT8" s="28"/>
      <c r="IU8" s="28"/>
      <c r="IV8" s="28"/>
      <c r="IW8" s="28"/>
      <c r="IX8" s="28"/>
      <c r="IY8" s="28"/>
      <c r="IZ8" s="28"/>
      <c r="JA8" s="28"/>
      <c r="JB8" s="28"/>
      <c r="JC8" s="28"/>
      <c r="JD8" s="28"/>
      <c r="JE8" s="28"/>
      <c r="JF8" s="28"/>
      <c r="JG8" s="28"/>
      <c r="JH8" s="28"/>
      <c r="JI8" s="28"/>
      <c r="JJ8" s="28"/>
      <c r="JK8" s="28"/>
      <c r="JL8" s="28"/>
      <c r="JM8" s="28"/>
      <c r="JN8" s="28"/>
      <c r="JO8" s="28"/>
      <c r="JP8" s="28"/>
      <c r="JQ8" s="28"/>
      <c r="JR8" s="28"/>
      <c r="JS8" s="28"/>
      <c r="JT8" s="28"/>
      <c r="JU8" s="28"/>
      <c r="JV8" s="28"/>
      <c r="JW8" s="28"/>
      <c r="JX8" s="28"/>
      <c r="JY8" s="28"/>
      <c r="JZ8" s="28"/>
      <c r="KA8" s="28"/>
      <c r="KB8" s="28"/>
      <c r="KC8" s="28"/>
    </row>
    <row r="9" s="3" customFormat="1" spans="1:289">
      <c r="A9" s="12"/>
      <c r="B9" s="13" t="s">
        <v>3566</v>
      </c>
      <c r="C9" s="13" t="s">
        <v>3567</v>
      </c>
      <c r="D9" s="14" t="s">
        <v>57</v>
      </c>
      <c r="E9" s="13"/>
      <c r="F9" s="13"/>
      <c r="G9" s="2"/>
      <c r="H9" s="2"/>
      <c r="I9" s="2"/>
      <c r="J9" s="2"/>
      <c r="K9" s="2"/>
      <c r="L9" s="2"/>
      <c r="M9" s="2"/>
      <c r="N9" s="2"/>
      <c r="O9" s="2"/>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c r="FR9" s="28"/>
      <c r="FS9" s="28"/>
      <c r="FT9" s="28"/>
      <c r="FU9" s="28"/>
      <c r="FV9" s="28"/>
      <c r="FW9" s="28"/>
      <c r="FX9" s="28"/>
      <c r="FY9" s="28"/>
      <c r="FZ9" s="28"/>
      <c r="GA9" s="28"/>
      <c r="GB9" s="28"/>
      <c r="GC9" s="28"/>
      <c r="GD9" s="28"/>
      <c r="GE9" s="28"/>
      <c r="GF9" s="28"/>
      <c r="GG9" s="28"/>
      <c r="GH9" s="28"/>
      <c r="GI9" s="28"/>
      <c r="GJ9" s="28"/>
      <c r="GK9" s="28"/>
      <c r="GL9" s="28"/>
      <c r="GM9" s="28"/>
      <c r="GN9" s="28"/>
      <c r="GO9" s="28"/>
      <c r="GP9" s="28"/>
      <c r="GQ9" s="28"/>
      <c r="GR9" s="28"/>
      <c r="GS9" s="28"/>
      <c r="GT9" s="28"/>
      <c r="GU9" s="28"/>
      <c r="GV9" s="28"/>
      <c r="GW9" s="28"/>
      <c r="GX9" s="28"/>
      <c r="GY9" s="28"/>
      <c r="GZ9" s="28"/>
      <c r="HA9" s="28"/>
      <c r="HB9" s="28"/>
      <c r="HC9" s="28"/>
      <c r="HD9" s="28"/>
      <c r="HE9" s="28"/>
      <c r="HF9" s="28"/>
      <c r="HG9" s="28"/>
      <c r="HH9" s="28"/>
      <c r="HI9" s="28"/>
      <c r="HJ9" s="28"/>
      <c r="HK9" s="28"/>
      <c r="HL9" s="28"/>
      <c r="HM9" s="28"/>
      <c r="HN9" s="28"/>
      <c r="HO9" s="28"/>
      <c r="HP9" s="28"/>
      <c r="HQ9" s="28"/>
      <c r="HR9" s="28"/>
      <c r="HS9" s="28"/>
      <c r="HT9" s="28"/>
      <c r="HU9" s="28"/>
      <c r="HV9" s="28"/>
      <c r="HW9" s="28"/>
      <c r="HX9" s="28"/>
      <c r="HY9" s="28"/>
      <c r="HZ9" s="28"/>
      <c r="IA9" s="28"/>
      <c r="IB9" s="28"/>
      <c r="IC9" s="28"/>
      <c r="ID9" s="28"/>
      <c r="IE9" s="28"/>
      <c r="IF9" s="28"/>
      <c r="IG9" s="28"/>
      <c r="IH9" s="28"/>
      <c r="II9" s="28"/>
      <c r="IJ9" s="28"/>
      <c r="IK9" s="28"/>
      <c r="IL9" s="28"/>
      <c r="IM9" s="28"/>
      <c r="IN9" s="28"/>
      <c r="IO9" s="28"/>
      <c r="IP9" s="28"/>
      <c r="IQ9" s="28"/>
      <c r="IR9" s="28"/>
      <c r="IS9" s="28"/>
      <c r="IT9" s="28"/>
      <c r="IU9" s="28"/>
      <c r="IV9" s="28"/>
      <c r="IW9" s="28"/>
      <c r="IX9" s="28"/>
      <c r="IY9" s="28"/>
      <c r="IZ9" s="28"/>
      <c r="JA9" s="28"/>
      <c r="JB9" s="28"/>
      <c r="JC9" s="28"/>
      <c r="JD9" s="28"/>
      <c r="JE9" s="28"/>
      <c r="JF9" s="28"/>
      <c r="JG9" s="28"/>
      <c r="JH9" s="28"/>
      <c r="JI9" s="28"/>
      <c r="JJ9" s="28"/>
      <c r="JK9" s="28"/>
      <c r="JL9" s="28"/>
      <c r="JM9" s="28"/>
      <c r="JN9" s="28"/>
      <c r="JO9" s="28"/>
      <c r="JP9" s="28"/>
      <c r="JQ9" s="28"/>
      <c r="JR9" s="28"/>
      <c r="JS9" s="28"/>
      <c r="JT9" s="28"/>
      <c r="JU9" s="28"/>
      <c r="JV9" s="28"/>
      <c r="JW9" s="28"/>
      <c r="JX9" s="28"/>
      <c r="JY9" s="28"/>
      <c r="JZ9" s="28"/>
      <c r="KA9" s="28"/>
      <c r="KB9" s="28"/>
      <c r="KC9" s="28"/>
    </row>
    <row r="10" s="3" customFormat="1" spans="1:289">
      <c r="A10" s="12"/>
      <c r="B10" s="13" t="s">
        <v>3568</v>
      </c>
      <c r="C10" s="13" t="s">
        <v>3569</v>
      </c>
      <c r="D10" s="14" t="s">
        <v>57</v>
      </c>
      <c r="E10" s="13"/>
      <c r="F10" s="13"/>
      <c r="G10" s="2"/>
      <c r="H10" s="2"/>
      <c r="I10" s="2"/>
      <c r="J10" s="2"/>
      <c r="K10" s="2"/>
      <c r="L10" s="2"/>
      <c r="M10" s="2"/>
      <c r="N10" s="2"/>
      <c r="O10" s="2"/>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c r="GB10" s="28"/>
      <c r="GC10" s="28"/>
      <c r="GD10" s="28"/>
      <c r="GE10" s="28"/>
      <c r="GF10" s="28"/>
      <c r="GG10" s="28"/>
      <c r="GH10" s="28"/>
      <c r="GI10" s="28"/>
      <c r="GJ10" s="28"/>
      <c r="GK10" s="28"/>
      <c r="GL10" s="28"/>
      <c r="GM10" s="28"/>
      <c r="GN10" s="28"/>
      <c r="GO10" s="28"/>
      <c r="GP10" s="28"/>
      <c r="GQ10" s="28"/>
      <c r="GR10" s="28"/>
      <c r="GS10" s="28"/>
      <c r="GT10" s="28"/>
      <c r="GU10" s="28"/>
      <c r="GV10" s="28"/>
      <c r="GW10" s="28"/>
      <c r="GX10" s="28"/>
      <c r="GY10" s="28"/>
      <c r="GZ10" s="28"/>
      <c r="HA10" s="28"/>
      <c r="HB10" s="28"/>
      <c r="HC10" s="28"/>
      <c r="HD10" s="28"/>
      <c r="HE10" s="28"/>
      <c r="HF10" s="28"/>
      <c r="HG10" s="28"/>
      <c r="HH10" s="28"/>
      <c r="HI10" s="28"/>
      <c r="HJ10" s="28"/>
      <c r="HK10" s="28"/>
      <c r="HL10" s="28"/>
      <c r="HM10" s="28"/>
      <c r="HN10" s="28"/>
      <c r="HO10" s="28"/>
      <c r="HP10" s="28"/>
      <c r="HQ10" s="28"/>
      <c r="HR10" s="28"/>
      <c r="HS10" s="28"/>
      <c r="HT10" s="28"/>
      <c r="HU10" s="28"/>
      <c r="HV10" s="28"/>
      <c r="HW10" s="28"/>
      <c r="HX10" s="28"/>
      <c r="HY10" s="28"/>
      <c r="HZ10" s="28"/>
      <c r="IA10" s="28"/>
      <c r="IB10" s="28"/>
      <c r="IC10" s="28"/>
      <c r="ID10" s="28"/>
      <c r="IE10" s="28"/>
      <c r="IF10" s="28"/>
      <c r="IG10" s="28"/>
      <c r="IH10" s="28"/>
      <c r="II10" s="28"/>
      <c r="IJ10" s="28"/>
      <c r="IK10" s="28"/>
      <c r="IL10" s="28"/>
      <c r="IM10" s="28"/>
      <c r="IN10" s="28"/>
      <c r="IO10" s="28"/>
      <c r="IP10" s="28"/>
      <c r="IQ10" s="28"/>
      <c r="IR10" s="28"/>
      <c r="IS10" s="28"/>
      <c r="IT10" s="28"/>
      <c r="IU10" s="28"/>
      <c r="IV10" s="28"/>
      <c r="IW10" s="28"/>
      <c r="IX10" s="28"/>
      <c r="IY10" s="28"/>
      <c r="IZ10" s="28"/>
      <c r="JA10" s="28"/>
      <c r="JB10" s="28"/>
      <c r="JC10" s="28"/>
      <c r="JD10" s="28"/>
      <c r="JE10" s="28"/>
      <c r="JF10" s="28"/>
      <c r="JG10" s="28"/>
      <c r="JH10" s="28"/>
      <c r="JI10" s="28"/>
      <c r="JJ10" s="28"/>
      <c r="JK10" s="28"/>
      <c r="JL10" s="28"/>
      <c r="JM10" s="28"/>
      <c r="JN10" s="28"/>
      <c r="JO10" s="28"/>
      <c r="JP10" s="28"/>
      <c r="JQ10" s="28"/>
      <c r="JR10" s="28"/>
      <c r="JS10" s="28"/>
      <c r="JT10" s="28"/>
      <c r="JU10" s="28"/>
      <c r="JV10" s="28"/>
      <c r="JW10" s="28"/>
      <c r="JX10" s="28"/>
      <c r="JY10" s="28"/>
      <c r="JZ10" s="28"/>
      <c r="KA10" s="28"/>
      <c r="KB10" s="28"/>
      <c r="KC10" s="28"/>
    </row>
    <row r="11" s="2" customFormat="1" spans="1:6">
      <c r="A11" s="12"/>
      <c r="B11" s="13" t="s">
        <v>3570</v>
      </c>
      <c r="C11" s="13" t="s">
        <v>3571</v>
      </c>
      <c r="D11" s="14" t="s">
        <v>57</v>
      </c>
      <c r="E11" s="13"/>
      <c r="F11" s="13"/>
    </row>
    <row r="12" s="2" customFormat="1" spans="1:6">
      <c r="A12" s="12"/>
      <c r="B12" s="13" t="s">
        <v>3572</v>
      </c>
      <c r="C12" s="13" t="s">
        <v>3573</v>
      </c>
      <c r="D12" s="14" t="s">
        <v>57</v>
      </c>
      <c r="E12" s="13"/>
      <c r="F12" s="13"/>
    </row>
    <row r="13" s="4" customFormat="1" ht="12.75" customHeight="1" spans="1:15">
      <c r="A13" s="12"/>
      <c r="B13" s="13" t="s">
        <v>3574</v>
      </c>
      <c r="C13" s="13" t="s">
        <v>3575</v>
      </c>
      <c r="D13" s="14" t="s">
        <v>57</v>
      </c>
      <c r="E13" s="14"/>
      <c r="F13" s="13"/>
      <c r="G13" s="7"/>
      <c r="H13" s="7"/>
      <c r="I13" s="7"/>
      <c r="J13" s="7"/>
      <c r="K13" s="7"/>
      <c r="L13" s="7"/>
      <c r="M13" s="7"/>
      <c r="N13" s="7"/>
      <c r="O13" s="7"/>
    </row>
    <row r="14" s="4" customFormat="1" ht="12.75" customHeight="1" spans="1:15">
      <c r="A14" s="12"/>
      <c r="B14" s="13" t="s">
        <v>3576</v>
      </c>
      <c r="C14" s="13" t="s">
        <v>3577</v>
      </c>
      <c r="D14" s="14" t="s">
        <v>24</v>
      </c>
      <c r="E14" s="14"/>
      <c r="F14" s="13"/>
      <c r="G14" s="7"/>
      <c r="H14" s="7"/>
      <c r="I14" s="7"/>
      <c r="J14" s="7"/>
      <c r="K14" s="7"/>
      <c r="L14" s="7"/>
      <c r="M14" s="7"/>
      <c r="N14" s="7"/>
      <c r="O14" s="7"/>
    </row>
    <row r="15" s="2" customFormat="1" spans="1:6">
      <c r="A15" s="12"/>
      <c r="B15" s="16" t="s">
        <v>3578</v>
      </c>
      <c r="C15" s="16" t="s">
        <v>3579</v>
      </c>
      <c r="D15" s="17" t="s">
        <v>24</v>
      </c>
      <c r="E15" s="16"/>
      <c r="F15" s="13"/>
    </row>
    <row r="16" s="2" customFormat="1" spans="1:6">
      <c r="A16" s="12"/>
      <c r="B16" s="16" t="s">
        <v>3580</v>
      </c>
      <c r="C16" s="16" t="s">
        <v>3581</v>
      </c>
      <c r="D16" s="17" t="s">
        <v>24</v>
      </c>
      <c r="E16" s="16"/>
      <c r="F16" s="13"/>
    </row>
    <row r="17" s="2" customFormat="1" spans="1:6">
      <c r="A17" s="12"/>
      <c r="B17" s="16" t="s">
        <v>3582</v>
      </c>
      <c r="C17" s="16" t="s">
        <v>3583</v>
      </c>
      <c r="D17" s="17" t="s">
        <v>24</v>
      </c>
      <c r="E17" s="16"/>
      <c r="F17" s="13"/>
    </row>
    <row r="18" s="2" customFormat="1" spans="1:6">
      <c r="A18" s="12"/>
      <c r="B18" s="16" t="s">
        <v>3584</v>
      </c>
      <c r="C18" s="16" t="s">
        <v>3585</v>
      </c>
      <c r="D18" s="17" t="s">
        <v>24</v>
      </c>
      <c r="E18" s="16"/>
      <c r="F18" s="13"/>
    </row>
    <row r="19" s="2" customFormat="1" spans="1:6">
      <c r="A19" s="12"/>
      <c r="B19" s="16" t="s">
        <v>3586</v>
      </c>
      <c r="C19" s="16" t="s">
        <v>3587</v>
      </c>
      <c r="D19" s="17" t="s">
        <v>24</v>
      </c>
      <c r="E19" s="16"/>
      <c r="F19" s="13"/>
    </row>
    <row r="20" s="2" customFormat="1" spans="1:6">
      <c r="A20" s="12"/>
      <c r="B20" s="16" t="s">
        <v>3588</v>
      </c>
      <c r="C20" s="16" t="s">
        <v>3589</v>
      </c>
      <c r="D20" s="17" t="s">
        <v>24</v>
      </c>
      <c r="E20" s="16"/>
      <c r="F20" s="13"/>
    </row>
    <row r="21" s="5" customFormat="1" ht="13.5" customHeight="1" spans="1:11">
      <c r="A21" s="12"/>
      <c r="B21" s="18" t="s">
        <v>3590</v>
      </c>
      <c r="C21" s="19" t="s">
        <v>3591</v>
      </c>
      <c r="D21" s="20" t="s">
        <v>24</v>
      </c>
      <c r="E21" s="20"/>
      <c r="F21" s="20"/>
      <c r="G21" s="21"/>
      <c r="H21" s="21"/>
      <c r="I21" s="21"/>
      <c r="J21" s="21"/>
      <c r="K21" s="21"/>
    </row>
    <row r="22" s="5" customFormat="1" ht="12.75" customHeight="1" spans="1:11">
      <c r="A22" s="12"/>
      <c r="B22" s="18" t="s">
        <v>3592</v>
      </c>
      <c r="C22" s="19" t="s">
        <v>3593</v>
      </c>
      <c r="D22" s="20" t="s">
        <v>24</v>
      </c>
      <c r="E22" s="20"/>
      <c r="F22" s="20"/>
      <c r="G22" s="21"/>
      <c r="H22" s="21"/>
      <c r="I22" s="21"/>
      <c r="J22" s="21"/>
      <c r="K22" s="21"/>
    </row>
    <row r="23" s="5" customFormat="1" ht="20.65" customHeight="1" spans="1:11">
      <c r="A23" s="12"/>
      <c r="B23" s="18" t="s">
        <v>3594</v>
      </c>
      <c r="C23" s="19" t="s">
        <v>3595</v>
      </c>
      <c r="D23" s="20" t="s">
        <v>24</v>
      </c>
      <c r="E23" s="20"/>
      <c r="F23" s="20"/>
      <c r="G23" s="21"/>
      <c r="H23" s="21"/>
      <c r="I23" s="21"/>
      <c r="J23" s="21"/>
      <c r="K23" s="21"/>
    </row>
    <row r="24" s="6" customFormat="1" ht="24" spans="1:6">
      <c r="A24" s="12"/>
      <c r="B24" s="22" t="s">
        <v>3596</v>
      </c>
      <c r="C24" s="23" t="s">
        <v>3597</v>
      </c>
      <c r="D24" s="20" t="s">
        <v>24</v>
      </c>
      <c r="E24" s="20"/>
      <c r="F24" s="22"/>
    </row>
    <row r="25" s="6" customFormat="1" spans="1:6">
      <c r="A25" s="12"/>
      <c r="B25" s="22" t="s">
        <v>3598</v>
      </c>
      <c r="C25" s="23" t="s">
        <v>3599</v>
      </c>
      <c r="D25" s="20" t="s">
        <v>24</v>
      </c>
      <c r="E25" s="20"/>
      <c r="F25" s="22"/>
    </row>
    <row r="26" s="6" customFormat="1" spans="1:6">
      <c r="A26" s="12"/>
      <c r="B26" s="22" t="s">
        <v>3600</v>
      </c>
      <c r="C26" s="23" t="s">
        <v>3601</v>
      </c>
      <c r="D26" s="20" t="s">
        <v>24</v>
      </c>
      <c r="E26" s="20"/>
      <c r="F26" s="22"/>
    </row>
    <row r="27" s="6" customFormat="1" spans="1:6">
      <c r="A27" s="12"/>
      <c r="B27" s="22" t="s">
        <v>3602</v>
      </c>
      <c r="C27" s="23" t="s">
        <v>3603</v>
      </c>
      <c r="D27" s="20" t="s">
        <v>24</v>
      </c>
      <c r="E27" s="20"/>
      <c r="F27" s="22"/>
    </row>
    <row r="28" s="6" customFormat="1" spans="1:6">
      <c r="A28" s="12"/>
      <c r="B28" s="22" t="s">
        <v>3604</v>
      </c>
      <c r="C28" s="23" t="s">
        <v>3605</v>
      </c>
      <c r="D28" s="20" t="s">
        <v>24</v>
      </c>
      <c r="E28" s="20"/>
      <c r="F28" s="22"/>
    </row>
    <row r="29" s="6" customFormat="1" spans="1:6">
      <c r="A29" s="12"/>
      <c r="B29" s="22" t="s">
        <v>3606</v>
      </c>
      <c r="C29" s="23" t="s">
        <v>3607</v>
      </c>
      <c r="D29" s="20" t="s">
        <v>24</v>
      </c>
      <c r="E29" s="20"/>
      <c r="F29" s="22"/>
    </row>
    <row r="30" s="6" customFormat="1" ht="24" spans="1:6">
      <c r="A30" s="12"/>
      <c r="B30" s="22" t="s">
        <v>3608</v>
      </c>
      <c r="C30" s="23" t="s">
        <v>3609</v>
      </c>
      <c r="D30" s="20" t="s">
        <v>24</v>
      </c>
      <c r="E30" s="20"/>
      <c r="F30" s="22"/>
    </row>
    <row r="31" s="6" customFormat="1" ht="24" spans="1:6">
      <c r="A31" s="12"/>
      <c r="B31" s="22" t="s">
        <v>3610</v>
      </c>
      <c r="C31" s="23" t="s">
        <v>3611</v>
      </c>
      <c r="D31" s="20" t="s">
        <v>24</v>
      </c>
      <c r="E31" s="20"/>
      <c r="F31" s="22"/>
    </row>
    <row r="32" s="6" customFormat="1" spans="1:6">
      <c r="A32" s="12"/>
      <c r="B32" s="22" t="s">
        <v>3612</v>
      </c>
      <c r="C32" s="23" t="s">
        <v>3613</v>
      </c>
      <c r="D32" s="20" t="s">
        <v>24</v>
      </c>
      <c r="E32" s="20"/>
      <c r="F32" s="22"/>
    </row>
    <row r="33" s="6" customFormat="1" spans="1:6">
      <c r="A33" s="12"/>
      <c r="B33" s="22" t="s">
        <v>3614</v>
      </c>
      <c r="C33" s="23" t="s">
        <v>3615</v>
      </c>
      <c r="D33" s="20" t="s">
        <v>24</v>
      </c>
      <c r="E33" s="20"/>
      <c r="F33" s="22"/>
    </row>
    <row r="34" s="6" customFormat="1" spans="1:6">
      <c r="A34" s="12"/>
      <c r="B34" s="22" t="s">
        <v>3616</v>
      </c>
      <c r="C34" s="23" t="s">
        <v>3617</v>
      </c>
      <c r="D34" s="20" t="s">
        <v>24</v>
      </c>
      <c r="E34" s="20"/>
      <c r="F34" s="22"/>
    </row>
    <row r="35" s="6" customFormat="1" ht="24" spans="1:6">
      <c r="A35" s="12"/>
      <c r="B35" s="22" t="s">
        <v>3618</v>
      </c>
      <c r="C35" s="23" t="s">
        <v>3619</v>
      </c>
      <c r="D35" s="20" t="s">
        <v>24</v>
      </c>
      <c r="E35" s="20"/>
      <c r="F35" s="22"/>
    </row>
    <row r="36" s="6" customFormat="1" spans="1:6">
      <c r="A36" s="12"/>
      <c r="B36" s="22" t="s">
        <v>3620</v>
      </c>
      <c r="C36" s="23" t="s">
        <v>3621</v>
      </c>
      <c r="D36" s="20" t="s">
        <v>24</v>
      </c>
      <c r="E36" s="20"/>
      <c r="F36" s="22"/>
    </row>
    <row r="37" s="6" customFormat="1" spans="1:6">
      <c r="A37" s="12"/>
      <c r="B37" s="22" t="s">
        <v>3622</v>
      </c>
      <c r="C37" s="23" t="s">
        <v>3623</v>
      </c>
      <c r="D37" s="20" t="s">
        <v>24</v>
      </c>
      <c r="E37" s="20"/>
      <c r="F37" s="22"/>
    </row>
    <row r="38" s="7" customFormat="1" spans="1:6">
      <c r="A38" s="12"/>
      <c r="B38" s="13" t="s">
        <v>3624</v>
      </c>
      <c r="C38" s="13" t="s">
        <v>3625</v>
      </c>
      <c r="D38" s="14" t="s">
        <v>24</v>
      </c>
      <c r="E38" s="13"/>
      <c r="F38" s="13"/>
    </row>
    <row r="39" s="7" customFormat="1" spans="1:6">
      <c r="A39" s="12"/>
      <c r="B39" s="13" t="s">
        <v>3626</v>
      </c>
      <c r="C39" s="13" t="s">
        <v>3627</v>
      </c>
      <c r="D39" s="14" t="s">
        <v>24</v>
      </c>
      <c r="E39" s="13"/>
      <c r="F39" s="13"/>
    </row>
    <row r="40" s="7" customFormat="1" spans="1:6">
      <c r="A40" s="12"/>
      <c r="B40" s="13" t="s">
        <v>3628</v>
      </c>
      <c r="C40" s="13" t="s">
        <v>3629</v>
      </c>
      <c r="D40" s="14" t="s">
        <v>24</v>
      </c>
      <c r="E40" s="13"/>
      <c r="F40" s="13"/>
    </row>
    <row r="41" s="7" customFormat="1" spans="1:6">
      <c r="A41" s="12"/>
      <c r="B41" s="13" t="s">
        <v>3630</v>
      </c>
      <c r="C41" s="13" t="s">
        <v>3631</v>
      </c>
      <c r="D41" s="14" t="s">
        <v>24</v>
      </c>
      <c r="E41" s="13"/>
      <c r="F41" s="13"/>
    </row>
    <row r="42" s="7" customFormat="1" spans="1:6">
      <c r="A42" s="12"/>
      <c r="B42" s="13" t="s">
        <v>3632</v>
      </c>
      <c r="C42" s="13" t="s">
        <v>3633</v>
      </c>
      <c r="D42" s="14" t="s">
        <v>24</v>
      </c>
      <c r="E42" s="13"/>
      <c r="F42" s="13"/>
    </row>
    <row r="43" s="7" customFormat="1" spans="1:6">
      <c r="A43" s="12"/>
      <c r="B43" s="13" t="s">
        <v>3634</v>
      </c>
      <c r="C43" s="13" t="s">
        <v>3635</v>
      </c>
      <c r="D43" s="14" t="s">
        <v>24</v>
      </c>
      <c r="E43" s="13"/>
      <c r="F43" s="13"/>
    </row>
    <row r="44" s="7" customFormat="1" spans="1:6">
      <c r="A44" s="12"/>
      <c r="B44" s="13" t="s">
        <v>3636</v>
      </c>
      <c r="C44" s="13" t="s">
        <v>3637</v>
      </c>
      <c r="D44" s="14" t="s">
        <v>24</v>
      </c>
      <c r="E44" s="13"/>
      <c r="F44" s="13"/>
    </row>
    <row r="45" s="7" customFormat="1" spans="1:6">
      <c r="A45" s="12"/>
      <c r="B45" s="13" t="s">
        <v>3638</v>
      </c>
      <c r="C45" s="13" t="s">
        <v>3639</v>
      </c>
      <c r="D45" s="14" t="s">
        <v>24</v>
      </c>
      <c r="E45" s="13"/>
      <c r="F45" s="13"/>
    </row>
    <row r="46" s="7" customFormat="1" spans="1:6">
      <c r="A46" s="12"/>
      <c r="B46" s="13" t="s">
        <v>3640</v>
      </c>
      <c r="C46" s="13" t="s">
        <v>3641</v>
      </c>
      <c r="D46" s="14" t="s">
        <v>24</v>
      </c>
      <c r="E46" s="13"/>
      <c r="F46" s="13"/>
    </row>
    <row r="47" s="7" customFormat="1" spans="1:6">
      <c r="A47" s="12"/>
      <c r="B47" s="13" t="s">
        <v>3642</v>
      </c>
      <c r="C47" s="13" t="s">
        <v>3643</v>
      </c>
      <c r="D47" s="14" t="s">
        <v>24</v>
      </c>
      <c r="E47" s="13"/>
      <c r="F47" s="13"/>
    </row>
    <row r="48" s="7" customFormat="1" ht="24" spans="1:6">
      <c r="A48" s="12"/>
      <c r="B48" s="13" t="s">
        <v>3644</v>
      </c>
      <c r="C48" s="13" t="s">
        <v>3645</v>
      </c>
      <c r="D48" s="14" t="s">
        <v>24</v>
      </c>
      <c r="E48" s="13"/>
      <c r="F48" s="13"/>
    </row>
    <row r="49" s="7" customFormat="1" spans="1:6">
      <c r="A49" s="12"/>
      <c r="B49" s="13" t="s">
        <v>3646</v>
      </c>
      <c r="C49" s="13" t="s">
        <v>3647</v>
      </c>
      <c r="D49" s="14" t="s">
        <v>24</v>
      </c>
      <c r="E49" s="13"/>
      <c r="F49" s="13"/>
    </row>
    <row r="50" s="4" customFormat="1" ht="14.65" customHeight="1" spans="1:15">
      <c r="A50" s="12"/>
      <c r="B50" s="13" t="s">
        <v>3648</v>
      </c>
      <c r="C50" s="13" t="s">
        <v>3649</v>
      </c>
      <c r="D50" s="14" t="s">
        <v>24</v>
      </c>
      <c r="E50" s="14"/>
      <c r="F50" s="13"/>
      <c r="G50" s="7"/>
      <c r="H50" s="7"/>
      <c r="I50" s="7"/>
      <c r="J50" s="7"/>
      <c r="K50" s="7"/>
      <c r="L50" s="7"/>
      <c r="M50" s="7"/>
      <c r="N50" s="7"/>
      <c r="O50" s="7"/>
    </row>
    <row r="51" s="4" customFormat="1" ht="14.65" customHeight="1" spans="1:15">
      <c r="A51" s="12"/>
      <c r="B51" s="13" t="s">
        <v>3650</v>
      </c>
      <c r="C51" s="13" t="s">
        <v>3651</v>
      </c>
      <c r="D51" s="14" t="s">
        <v>24</v>
      </c>
      <c r="E51" s="14"/>
      <c r="F51" s="13"/>
      <c r="G51" s="7"/>
      <c r="H51" s="7"/>
      <c r="I51" s="7"/>
      <c r="J51" s="7"/>
      <c r="K51" s="7"/>
      <c r="L51" s="7"/>
      <c r="M51" s="7"/>
      <c r="N51" s="7"/>
      <c r="O51" s="7"/>
    </row>
    <row r="52" s="4" customFormat="1" ht="14.65" customHeight="1" spans="1:15">
      <c r="A52" s="12"/>
      <c r="B52" s="13" t="s">
        <v>3652</v>
      </c>
      <c r="C52" s="13" t="s">
        <v>3653</v>
      </c>
      <c r="D52" s="14" t="s">
        <v>24</v>
      </c>
      <c r="E52" s="14"/>
      <c r="F52" s="13"/>
      <c r="G52" s="7"/>
      <c r="H52" s="7"/>
      <c r="I52" s="7"/>
      <c r="J52" s="7"/>
      <c r="K52" s="7"/>
      <c r="L52" s="7"/>
      <c r="M52" s="7"/>
      <c r="N52" s="7"/>
      <c r="O52" s="7"/>
    </row>
    <row r="53" s="4" customFormat="1" ht="14.65" customHeight="1" spans="1:15">
      <c r="A53" s="12"/>
      <c r="B53" s="13" t="s">
        <v>3654</v>
      </c>
      <c r="C53" s="13" t="s">
        <v>3655</v>
      </c>
      <c r="D53" s="14" t="s">
        <v>57</v>
      </c>
      <c r="E53" s="14"/>
      <c r="F53" s="13"/>
      <c r="G53" s="7"/>
      <c r="H53" s="7"/>
      <c r="I53" s="7"/>
      <c r="J53" s="7"/>
      <c r="K53" s="7"/>
      <c r="L53" s="7"/>
      <c r="M53" s="7"/>
      <c r="N53" s="7"/>
      <c r="O53" s="7"/>
    </row>
    <row r="54" spans="1:6">
      <c r="A54" s="12"/>
      <c r="B54" s="13" t="s">
        <v>3656</v>
      </c>
      <c r="C54" s="13" t="s">
        <v>3657</v>
      </c>
      <c r="D54" s="14" t="s">
        <v>24</v>
      </c>
      <c r="E54" s="24"/>
      <c r="F54" s="24"/>
    </row>
    <row r="55" spans="1:6">
      <c r="A55" s="12"/>
      <c r="B55" s="24" t="s">
        <v>3658</v>
      </c>
      <c r="C55" s="13" t="s">
        <v>3659</v>
      </c>
      <c r="D55" s="25" t="s">
        <v>24</v>
      </c>
      <c r="E55" s="24"/>
      <c r="F55" s="24"/>
    </row>
    <row r="56" spans="1:6">
      <c r="A56" s="12"/>
      <c r="B56" s="24" t="s">
        <v>3660</v>
      </c>
      <c r="C56" s="26" t="s">
        <v>3661</v>
      </c>
      <c r="D56" s="25" t="s">
        <v>24</v>
      </c>
      <c r="E56" s="24"/>
      <c r="F56" s="24"/>
    </row>
    <row r="57" spans="1:6">
      <c r="A57" s="12"/>
      <c r="B57" s="24" t="s">
        <v>3662</v>
      </c>
      <c r="C57" s="26" t="s">
        <v>3663</v>
      </c>
      <c r="D57" s="25" t="s">
        <v>24</v>
      </c>
      <c r="E57" s="24"/>
      <c r="F57" s="24"/>
    </row>
    <row r="58" spans="1:6">
      <c r="A58" s="12"/>
      <c r="B58" s="24" t="s">
        <v>3664</v>
      </c>
      <c r="C58" s="26" t="s">
        <v>3665</v>
      </c>
      <c r="D58" s="25" t="s">
        <v>24</v>
      </c>
      <c r="E58" s="24"/>
      <c r="F58" s="24"/>
    </row>
  </sheetData>
  <mergeCells count="1">
    <mergeCell ref="A2:A58"/>
  </mergeCell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25</vt:i4>
      </vt:variant>
    </vt:vector>
  </HeadingPairs>
  <TitlesOfParts>
    <vt:vector size="25" baseType="lpstr">
      <vt:lpstr>设备参数数据表</vt:lpstr>
      <vt:lpstr>修订历史</vt:lpstr>
      <vt:lpstr>封面</vt:lpstr>
      <vt:lpstr>目录</vt:lpstr>
      <vt:lpstr>SA</vt:lpstr>
      <vt:lpstr>SB</vt:lpstr>
      <vt:lpstr>SC</vt:lpstr>
      <vt:lpstr>SD</vt:lpstr>
      <vt:lpstr>SE</vt:lpstr>
      <vt:lpstr>SF</vt:lpstr>
      <vt:lpstr>SG</vt:lpstr>
      <vt:lpstr>SH</vt:lpstr>
      <vt:lpstr>SI</vt:lpstr>
      <vt:lpstr>SJ</vt:lpstr>
      <vt:lpstr>SK</vt:lpstr>
      <vt:lpstr>SL</vt:lpstr>
      <vt:lpstr>SM</vt:lpstr>
      <vt:lpstr>SN</vt:lpstr>
      <vt:lpstr>SO</vt:lpstr>
      <vt:lpstr>SP</vt:lpstr>
      <vt:lpstr>SQ</vt:lpstr>
      <vt:lpstr>SR</vt:lpstr>
      <vt:lpstr>SS</vt:lpstr>
      <vt:lpstr>ST</vt:lpstr>
      <vt:lpstr>多实例参数Object个数读写属性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qiuzhiming</dc:creator>
  <cp:lastModifiedBy>lujianfeng</cp:lastModifiedBy>
  <dcterms:created xsi:type="dcterms:W3CDTF">2006-09-13T11:21:00Z</dcterms:created>
  <cp:lastPrinted>2017-10-24T01:43:00Z</cp:lastPrinted>
  <dcterms:modified xsi:type="dcterms:W3CDTF">2022-07-11T03:26:00Z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2052-11.8.2.11019</vt:lpwstr>
  </property>
  <property fmtid="{D5CDD505-2E9C-101B-9397-08002B2CF9AE}" pid="3" name="WorkbookGuid">
    <vt:lpwstr>561cec43-6236-4cab-bc88-14c0f4ba036c</vt:lpwstr>
  </property>
  <property fmtid="{D5CDD505-2E9C-101B-9397-08002B2CF9AE}" pid="4" name="ICV">
    <vt:lpwstr>20227EB5CA1741EE9FE986DDD7B84FCF</vt:lpwstr>
  </property>
</Properties>
</file>